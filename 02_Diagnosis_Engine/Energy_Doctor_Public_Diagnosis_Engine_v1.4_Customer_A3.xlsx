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914c1a37b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s_Response" sheetId="1" r:id="R27d0524ace014921"/>
    <x:sheet xmlns:r="http://schemas.openxmlformats.org/officeDocument/2006/relationships" name="WQ_Normalize" sheetId="2" r:id="R47aa84e6de324263"/>
    <x:sheet xmlns:r="http://schemas.openxmlformats.org/officeDocument/2006/relationships" name="Issue_Candidate" sheetId="3" r:id="Rfb069ca17a4846c8"/>
    <x:sheet xmlns:r="http://schemas.openxmlformats.org/officeDocument/2006/relationships" name="TOP5_Calc" sheetId="4" r:id="Rce4f50f026bd4968"/>
    <x:sheet xmlns:r="http://schemas.openxmlformats.org/officeDocument/2006/relationships" name="Guardrail" sheetId="5" r:id="R0531b861a9e14687"/>
    <x:sheet xmlns:r="http://schemas.openxmlformats.org/officeDocument/2006/relationships" name="Web_KPI" sheetId="6" r:id="R27328742212246d0"/>
    <x:sheet xmlns:r="http://schemas.openxmlformats.org/officeDocument/2006/relationships" name="A3_Output" sheetId="7" r:id="R57be62d2571546e3"/>
    <x:sheet xmlns:r="http://schemas.openxmlformats.org/officeDocument/2006/relationships" name="TOP5_Final" sheetId="8" r:id="R86b50990fc6c48d4"/>
    <x:sheet xmlns:r="http://schemas.openxmlformats.org/officeDocument/2006/relationships" name="Mock_Test_Cases" sheetId="9" r:id="R59b7f7a60ab8481f"/>
    <x:sheet xmlns:r="http://schemas.openxmlformats.org/officeDocument/2006/relationships" name="Validation_Findings" sheetId="10" r:id="Red121ab4642e4cdb"/>
    <x:sheet xmlns:r="http://schemas.openxmlformats.org/officeDocument/2006/relationships" name="A3_Report_P1" sheetId="11" r:id="Rbacb4735e27744b1"/>
    <x:sheet xmlns:r="http://schemas.openxmlformats.org/officeDocument/2006/relationships" name="A3_Report_P2" sheetId="12" r:id="R5e9809bced65495e"/>
    <x:sheet xmlns:r="http://schemas.openxmlformats.org/officeDocument/2006/relationships" name="A3_Radar_Data" sheetId="13" r:id="Rd1a31862ff1c4b41"/>
    <x:sheet xmlns:r="http://schemas.openxmlformats.org/officeDocument/2006/relationships" name="LP_A3_Sample" sheetId="14" r:id="R334c4430a71a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0">
    <x:font>
      <x:sz val="11"/>
      <x:name val="Carlito"/>
    </x:font>
    <x:font>
      <x:b/>
      <x:sz val="14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0D1B3D"/>
      <x:name val="Carlito"/>
    </x:font>
    <x:font>
      <x:b/>
      <x:sz val="11"/>
      <x:color rgb="FF17365D"/>
      <x:name val="Carlito"/>
    </x:font>
    <x:font>
      <x:b/>
      <x:sz val="13"/>
      <x:color rgb="FFFFFFFF"/>
      <x:name val="Carlito"/>
    </x:font>
    <x:font>
      <x:b/>
      <x:sz val="20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sz val="12"/>
      <x:color rgb="FF1F2937"/>
      <x:name val="Carlito"/>
    </x:font>
    <x:font>
      <x:b/>
      <x:sz val="14"/>
      <x:color rgb="FF17365D"/>
      <x:name val="Carlito"/>
    </x:font>
    <x:font>
      <x:sz val="9"/>
      <x:color rgb="FF5B6573"/>
      <x:name val="Carlito"/>
    </x:font>
    <x:font>
      <x:b/>
      <x:sz val="10"/>
      <x:color rgb="FF1F2937"/>
      <x:name val="Carlito"/>
    </x:font>
    <x:font>
      <x:b/>
      <x:sz val="12"/>
      <x:color rgb="FF2E7D32"/>
      <x:name val="Carlito"/>
    </x:font>
    <x:font>
      <x:b/>
      <x:sz val="13"/>
      <x:color rgb="FF17365D"/>
      <x:name val="Carlito"/>
    </x:font>
    <x:font>
      <x:b/>
      <x:sz val="12"/>
      <x:color rgb="FF1F2937"/>
      <x:name val="Carlito"/>
    </x:font>
    <x:font>
      <x:b/>
      <x:sz val="11"/>
      <x:color rgb="FF2E7D32"/>
      <x:name val="Carlito"/>
    </x:font>
    <x:font>
      <x:sz val="11"/>
      <x:color rgb="FF1F2937"/>
      <x:name val="Carlito"/>
    </x:font>
    <x:font>
      <x:sz val="9"/>
      <x:color rgb="FF6B7280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0D1B3D"/>
      </x:patternFill>
    </x:fill>
    <x:fill>
      <x:patternFill patternType="solid">
        <x:fgColor rgb="FFF4F8FC"/>
      </x:patternFill>
    </x:fill>
    <x:fill>
      <x:patternFill patternType="solid">
        <x:fgColor rgb="FF1E88E5"/>
      </x:patternFill>
    </x:fill>
    <x:fill>
      <x:patternFill patternType="solid">
        <x:fgColor rgb="FFEAF5FF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E7D32"/>
      </x:patternFill>
    </x:fill>
    <x:fill>
      <x:patternFill patternType="solid">
        <x:fgColor rgb="FF17365D"/>
      </x:patternFill>
    </x:fill>
    <x:fill>
      <x:patternFill patternType="solid">
        <x:fgColor rgb="FF2E7D32"/>
      </x:patternFill>
    </x:fill>
    <x:fill>
      <x:patternFill patternType="solid">
        <x:fgColor rgb="FFF3F6F8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FF2F2"/>
      </x:patternFill>
    </x:fill>
    <x:fill>
      <x:patternFill patternType="solid">
        <x:fgColor rgb="FFF4CCCC"/>
      </x:patternFill>
    </x:fill>
    <x:fill>
      <x:patternFill patternType="solid">
        <x:fgColor rgb="FFD9E1F2"/>
      </x:patternFill>
    </x:fill>
    <x:fill>
      <x:patternFill patternType="solid">
        <x:fgColor rgb="FFED7D31"/>
      </x:patternFill>
    </x:fill>
    <x:fill>
      <x:patternFill patternType="solid">
        <x:fgColor rgb="FFEAF4E2"/>
      </x:patternFill>
    </x:fill>
    <x:fill>
      <x:patternFill patternType="solid">
        <x:fgColor rgb="FF2F75B5"/>
      </x:patternFill>
    </x:fill>
    <x:fill>
      <x:patternFill patternType="solid">
        <x:fgColor rgb="FFC00000"/>
      </x:patternFill>
    </x:fill>
    <x:fill>
      <x:patternFill patternType="solid">
        <x:fgColor rgb="FF2E7D32"/>
      </x:patternFill>
    </x:fill>
    <x:fill>
      <x:patternFill patternType="solid">
        <x:fgColor rgb="FF17365D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F2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</x:fills>
  <x:borders count="58"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E6B8B7"/>
      </x:left>
      <x:top style="thin">
        <x:color rgb="FFE6B8B7"/>
      </x:top>
    </x:border>
    <x:border>
      <x:top style="thin">
        <x:color rgb="FFE6B8B7"/>
      </x:top>
    </x:border>
    <x:border>
      <x:right style="thin">
        <x:color rgb="FFE6B8B7"/>
      </x:right>
      <x:top style="thin">
        <x:color rgb="FFE6B8B7"/>
      </x:top>
    </x:border>
    <x:border>
      <x:left style="thin">
        <x:color rgb="FFE6B8B7"/>
      </x:left>
    </x:border>
    <x:border>
      <x:right style="thin">
        <x:color rgb="FFE6B8B7"/>
      </x:right>
    </x:border>
    <x:border>
      <x:left style="thin">
        <x:color rgb="FFE6B8B7"/>
      </x:left>
      <x:bottom style="thin">
        <x:color rgb="FFE6B8B7"/>
      </x:bottom>
    </x:border>
    <x:border>
      <x:bottom style="thin">
        <x:color rgb="FFE6B8B7"/>
      </x:bottom>
    </x:border>
    <x:border>
      <x:right style="thin">
        <x:color rgb="FFE6B8B7"/>
      </x:right>
      <x:bottom style="thin">
        <x:color rgb="FFE6B8B7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2E7D32"/>
      </x:left>
      <x:top style="thin">
        <x:color rgb="FF2E7D32"/>
      </x:top>
    </x:border>
    <x:border>
      <x:top style="thin">
        <x:color rgb="FF2E7D32"/>
      </x:top>
    </x:border>
    <x:border>
      <x:right style="thin">
        <x:color rgb="FF2E7D32"/>
      </x:right>
      <x:top style="thin">
        <x:color rgb="FF2E7D32"/>
      </x:top>
    </x:border>
    <x:border>
      <x:left style="thin">
        <x:color rgb="FF2E7D32"/>
      </x:left>
    </x:border>
    <x:border>
      <x:right style="thin">
        <x:color rgb="FF2E7D32"/>
      </x:right>
    </x:border>
    <x:border>
      <x:left style="thin">
        <x:color rgb="FF2E7D32"/>
      </x:left>
      <x:bottom style="thin">
        <x:color rgb="FF2E7D32"/>
      </x:bottom>
    </x:border>
    <x:border>
      <x:bottom style="thin">
        <x:color rgb="FF2E7D32"/>
      </x:bottom>
    </x:border>
    <x:border>
      <x:right style="thin">
        <x:color rgb="FF2E7D32"/>
      </x:right>
      <x:bottom style="thin">
        <x:color rgb="FF2E7D32"/>
      </x:bottom>
    </x:border>
  </x:borders>
  <x:cellStyleXfs count="1">
    <x:xf numFmtId="0" fontId="0" fillId="0" borderId="0"/>
  </x:cellStyleXfs>
  <x:cellXfs count="5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2" xfId="0" applyNumberFormat="1" applyFont="1" applyFill="1" applyBorder="1"/>
    <x:xf numFmtId="0" fontId="10" fillId="13" borderId="3" xfId="0" applyNumberFormat="1" applyFont="1" applyFill="1" applyBorder="1"/>
    <x:xf numFmtId="0" fontId="10" fillId="13" borderId="4" xfId="0" applyNumberFormat="1" applyFont="1" applyFill="1" applyBorder="1"/>
    <x:xf numFmtId="0" fontId="10" fillId="13" borderId="5" xfId="0" applyNumberFormat="1" applyFont="1" applyFill="1" applyBorder="1"/>
    <x:xf numFmtId="0" fontId="10" fillId="13" xfId="0" applyNumberFormat="1" applyFont="1" applyFill="1" applyBorder="0"/>
    <x:xf numFmtId="0" fontId="10" fillId="13" borderId="6" xfId="0" applyNumberFormat="1" applyFont="1" applyFill="1" applyBorder="1"/>
    <x:xf numFmtId="0" fontId="10" fillId="13" borderId="7" xfId="0" applyNumberFormat="1" applyFont="1" applyFill="1" applyBorder="1"/>
    <x:xf numFmtId="0" fontId="10" fillId="13" borderId="8" xfId="0" applyNumberFormat="1" applyFont="1" applyFill="1" applyBorder="1"/>
    <x:xf numFmtId="0" fontId="10" fillId="13" borderId="9" xfId="0" applyNumberFormat="1" applyFont="1" applyFill="1" applyBorder="1"/>
    <x:xf numFmtId="0" fontId="10" fillId="13" borderId="2" xfId="0" applyNumberFormat="1" applyFont="1" applyFill="1" applyBorder="1" applyAlignment="1">
      <x:alignment wrapText="1"/>
    </x:xf>
    <x:xf numFmtId="0" fontId="10" fillId="13" borderId="3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wrapText="1"/>
    </x:xf>
    <x:xf numFmtId="0" fontId="10" fillId="13" borderId="5" xfId="0" applyNumberFormat="1" applyFont="1" applyFill="1" applyBorder="1" applyAlignment="1">
      <x:alignment wrapText="1"/>
    </x:xf>
    <x:xf numFmtId="0" fontId="10" fillId="13" xfId="0" applyNumberFormat="1" applyFont="1" applyFill="1" applyBorder="0" applyAlignment="1">
      <x:alignment wrapText="1"/>
    </x:xf>
    <x:xf numFmtId="0" fontId="10" fillId="13" borderId="6" xfId="0" applyNumberFormat="1" applyFont="1" applyFill="1" applyBorder="1" applyAlignment="1">
      <x:alignment wrapText="1"/>
    </x:xf>
    <x:xf numFmtId="0" fontId="10" fillId="13" borderId="7" xfId="0" applyNumberFormat="1" applyFont="1" applyFill="1" applyBorder="1" applyAlignment="1">
      <x:alignment wrapText="1"/>
    </x:xf>
    <x:xf numFmtId="0" fontId="10" fillId="13" borderId="8" xfId="0" applyNumberFormat="1" applyFont="1" applyFill="1" applyBorder="1" applyAlignment="1">
      <x:alignment wrapText="1"/>
    </x:xf>
    <x:xf numFmtId="0" fontId="10" fillId="13" borderId="9" xfId="0" applyNumberFormat="1" applyFont="1" applyFill="1" applyBorder="1" applyAlignment="1">
      <x:alignment wrapText="1"/>
    </x:xf>
    <x:xf numFmtId="0" fontId="10" fillId="13" borderId="2" xfId="0" applyNumberFormat="1" applyFont="1" applyFill="1" applyBorder="1" applyAlignment="1">
      <x:alignment vertical="top" wrapText="1"/>
    </x:xf>
    <x:xf numFmtId="0" fontId="10" fillId="13" borderId="3" xfId="0" applyNumberFormat="1" applyFont="1" applyFill="1" applyBorder="1" applyAlignment="1">
      <x:alignment vertical="top" wrapText="1"/>
    </x:xf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xfId="0" applyNumberFormat="1" applyFont="1" applyFill="1" applyBorder="0" applyAlignment="1">
      <x:alignment vertical="top" wrapText="1"/>
    </x:xf>
    <x:xf numFmtId="0" fontId="10" fillId="13" borderId="6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8" xfId="0" applyNumberFormat="1" applyFont="1" applyFill="1" applyBorder="1" applyAlignment="1">
      <x:alignment vertical="top" wrapText="1"/>
    </x:xf>
    <x:xf numFmtId="0" fontId="10" fillId="13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10" xfId="0" applyNumberFormat="1" applyFont="1" applyFill="1" applyBorder="1"/>
    <x:xf numFmtId="0" fontId="11" fillId="14" borderId="11" xfId="0" applyNumberFormat="1" applyFont="1" applyFill="1" applyBorder="1"/>
    <x:xf numFmtId="0" fontId="11" fillId="14" borderId="12" xfId="0" applyNumberFormat="1" applyFont="1" applyFill="1" applyBorder="1"/>
    <x:xf numFmtId="0" fontId="11" fillId="14" borderId="13" xfId="0" applyNumberFormat="1" applyFont="1" applyFill="1" applyBorder="1"/>
    <x:xf numFmtId="0" fontId="11" fillId="14" xfId="0" applyNumberFormat="1" applyFont="1" applyFill="1" applyBorder="0"/>
    <x:xf numFmtId="0" fontId="11" fillId="14" borderId="14" xfId="0" applyNumberFormat="1" applyFont="1" applyFill="1" applyBorder="1"/>
    <x:xf numFmtId="0" fontId="11" fillId="14" borderId="15" xfId="0" applyNumberFormat="1" applyFont="1" applyFill="1" applyBorder="1"/>
    <x:xf numFmtId="0" fontId="11" fillId="14" borderId="16" xfId="0" applyNumberFormat="1" applyFont="1" applyFill="1" applyBorder="1"/>
    <x:xf numFmtId="0" fontId="11" fillId="14" borderId="17" xfId="0" applyNumberFormat="1" applyFont="1" applyFill="1" applyBorder="1"/>
    <x:xf numFmtId="0" fontId="11" fillId="14" borderId="10" xfId="0" applyNumberFormat="1" applyFont="1" applyFill="1" applyBorder="1" applyAlignment="1">
      <x:alignment wrapText="1"/>
    </x:xf>
    <x:xf numFmtId="0" fontId="11" fillId="14" borderId="11" xfId="0" applyNumberFormat="1" applyFont="1" applyFill="1" applyBorder="1" applyAlignment="1">
      <x:alignment wrapText="1"/>
    </x:xf>
    <x:xf numFmtId="0" fontId="11" fillId="14" borderId="12" xfId="0" applyNumberFormat="1" applyFont="1" applyFill="1" applyBorder="1" applyAlignment="1">
      <x:alignment wrapText="1"/>
    </x:xf>
    <x:xf numFmtId="0" fontId="11" fillId="14" borderId="13" xfId="0" applyNumberFormat="1" applyFont="1" applyFill="1" applyBorder="1" applyAlignment="1">
      <x:alignment wrapText="1"/>
    </x:xf>
    <x:xf numFmtId="0" fontId="11" fillId="14" xfId="0" applyNumberFormat="1" applyFont="1" applyFill="1" applyBorder="0" applyAlignment="1">
      <x:alignment wrapText="1"/>
    </x:xf>
    <x:xf numFmtId="0" fontId="11" fillId="14" borderId="14" xfId="0" applyNumberFormat="1" applyFont="1" applyFill="1" applyBorder="1" applyAlignment="1">
      <x:alignment wrapText="1"/>
    </x:xf>
    <x:xf numFmtId="0" fontId="11" fillId="14" borderId="15" xfId="0" applyNumberFormat="1" applyFont="1" applyFill="1" applyBorder="1" applyAlignment="1">
      <x:alignment wrapText="1"/>
    </x:xf>
    <x:xf numFmtId="0" fontId="11" fillId="14" borderId="16" xfId="0" applyNumberFormat="1" applyFont="1" applyFill="1" applyBorder="1" applyAlignment="1">
      <x:alignment wrapText="1"/>
    </x:xf>
    <x:xf numFmtId="0" fontId="11" fillId="14" borderId="17" xfId="0" applyNumberFormat="1" applyFont="1" applyFill="1" applyBorder="1" applyAlignment="1">
      <x:alignment wrapText="1"/>
    </x:xf>
    <x:xf numFmtId="0" fontId="11" fillId="14" borderId="10" xfId="0" applyNumberFormat="1" applyFont="1" applyFill="1" applyBorder="1" applyAlignment="1">
      <x:alignment horizontal="center" wrapText="1"/>
    </x:xf>
    <x:xf numFmtId="0" fontId="11" fillId="14" borderId="11" xfId="0" applyNumberFormat="1" applyFont="1" applyFill="1" applyBorder="1" applyAlignment="1">
      <x:alignment horizontal="center" wrapText="1"/>
    </x:xf>
    <x:xf numFmtId="0" fontId="11" fillId="14" borderId="12" xfId="0" applyNumberFormat="1" applyFont="1" applyFill="1" applyBorder="1" applyAlignment="1">
      <x:alignment horizontal="center" wrapText="1"/>
    </x:xf>
    <x:xf numFmtId="0" fontId="11" fillId="14" borderId="13" xfId="0" applyNumberFormat="1" applyFont="1" applyFill="1" applyBorder="1" applyAlignment="1">
      <x:alignment horizontal="center" wrapText="1"/>
    </x:xf>
    <x:xf numFmtId="0" fontId="11" fillId="14" xfId="0" applyNumberFormat="1" applyFont="1" applyFill="1" applyBorder="0" applyAlignment="1">
      <x:alignment horizontal="center" wrapText="1"/>
    </x:xf>
    <x:xf numFmtId="0" fontId="11" fillId="14" borderId="14" xfId="0" applyNumberFormat="1" applyFont="1" applyFill="1" applyBorder="1" applyAlignment="1">
      <x:alignment horizontal="center" wrapText="1"/>
    </x:xf>
    <x:xf numFmtId="0" fontId="11" fillId="14" borderId="15" xfId="0" applyNumberFormat="1" applyFont="1" applyFill="1" applyBorder="1" applyAlignment="1">
      <x:alignment horizontal="center" wrapText="1"/>
    </x:xf>
    <x:xf numFmtId="0" fontId="11" fillId="14" borderId="16" xfId="0" applyNumberFormat="1" applyFont="1" applyFill="1" applyBorder="1" applyAlignment="1">
      <x:alignment horizontal="center" wrapText="1"/>
    </x:xf>
    <x:xf numFmtId="0" fontId="11" fillId="14" borderId="17" xfId="0" applyNumberFormat="1" applyFont="1" applyFill="1" applyBorder="1" applyAlignment="1">
      <x:alignment horizontal="center" wrapText="1"/>
    </x:xf>
    <x:xf numFmtId="0" fontId="11" fillId="14" borderId="10" xfId="0" applyNumberFormat="1" applyFont="1" applyFill="1" applyBorder="1" applyAlignment="1">
      <x:alignment horizontal="center" vertical="center" wrapText="1"/>
    </x:xf>
    <x:xf numFmtId="0" fontId="11" fillId="14" borderId="11" xfId="0" applyNumberFormat="1" applyFont="1" applyFill="1" applyBorder="1" applyAlignment="1">
      <x:alignment horizontal="center" vertical="center" wrapText="1"/>
    </x:xf>
    <x:xf numFmtId="0" fontId="11" fillId="14" borderId="12" xfId="0" applyNumberFormat="1" applyFont="1" applyFill="1" applyBorder="1" applyAlignment="1">
      <x:alignment horizontal="center" vertical="center" wrapText="1"/>
    </x:xf>
    <x:xf numFmtId="0" fontId="11" fillId="14" borderId="13" xfId="0" applyNumberFormat="1" applyFont="1" applyFill="1" applyBorder="1" applyAlignment="1">
      <x:alignment horizontal="center" vertical="center" wrapText="1"/>
    </x:xf>
    <x:xf numFmtId="0" fontId="11" fillId="14" xfId="0" applyNumberFormat="1" applyFont="1" applyFill="1" applyBorder="0" applyAlignment="1">
      <x:alignment horizontal="center" vertical="center" wrapText="1"/>
    </x:xf>
    <x:xf numFmtId="0" fontId="11" fillId="14" borderId="14" xfId="0" applyNumberFormat="1" applyFont="1" applyFill="1" applyBorder="1" applyAlignment="1">
      <x:alignment horizontal="center" vertical="center" wrapText="1"/>
    </x:xf>
    <x:xf numFmtId="0" fontId="11" fillId="14" borderId="15" xfId="0" applyNumberFormat="1" applyFont="1" applyFill="1" applyBorder="1" applyAlignment="1">
      <x:alignment horizontal="center" vertical="center" wrapText="1"/>
    </x:xf>
    <x:xf numFmtId="0" fontId="11" fillId="14" borderId="16" xfId="0" applyNumberFormat="1" applyFont="1" applyFill="1" applyBorder="1" applyAlignment="1">
      <x:alignment horizontal="center" vertical="center" wrapText="1"/>
    </x:xf>
    <x:xf numFmtId="0" fontId="11" fillId="14" borderId="17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10" xfId="0" applyNumberFormat="1" applyFont="1" applyFill="1" applyBorder="1"/>
    <x:xf numFmtId="0" fontId="11" fillId="15" borderId="11" xfId="0" applyNumberFormat="1" applyFont="1" applyFill="1" applyBorder="1"/>
    <x:xf numFmtId="0" fontId="11" fillId="15" borderId="12" xfId="0" applyNumberFormat="1" applyFont="1" applyFill="1" applyBorder="1"/>
    <x:xf numFmtId="0" fontId="11" fillId="15" borderId="13" xfId="0" applyNumberFormat="1" applyFont="1" applyFill="1" applyBorder="1"/>
    <x:xf numFmtId="0" fontId="11" fillId="15" xfId="0" applyNumberFormat="1" applyFont="1" applyFill="1" applyBorder="0"/>
    <x:xf numFmtId="0" fontId="11" fillId="15" borderId="14" xfId="0" applyNumberFormat="1" applyFont="1" applyFill="1" applyBorder="1"/>
    <x:xf numFmtId="0" fontId="11" fillId="15" borderId="15" xfId="0" applyNumberFormat="1" applyFont="1" applyFill="1" applyBorder="1"/>
    <x:xf numFmtId="0" fontId="11" fillId="15" borderId="16" xfId="0" applyNumberFormat="1" applyFont="1" applyFill="1" applyBorder="1"/>
    <x:xf numFmtId="0" fontId="11" fillId="15" borderId="17" xfId="0" applyNumberFormat="1" applyFont="1" applyFill="1" applyBorder="1"/>
    <x:xf numFmtId="0" fontId="11" fillId="15" borderId="10" xfId="0" applyNumberFormat="1" applyFont="1" applyFill="1" applyBorder="1" applyAlignment="1">
      <x:alignment wrapText="1"/>
    </x:xf>
    <x:xf numFmtId="0" fontId="11" fillId="15" borderId="11" xfId="0" applyNumberFormat="1" applyFont="1" applyFill="1" applyBorder="1" applyAlignment="1">
      <x:alignment wrapText="1"/>
    </x:xf>
    <x:xf numFmtId="0" fontId="11" fillId="15" borderId="12" xfId="0" applyNumberFormat="1" applyFont="1" applyFill="1" applyBorder="1" applyAlignment="1">
      <x:alignment wrapText="1"/>
    </x:xf>
    <x:xf numFmtId="0" fontId="11" fillId="15" borderId="13" xfId="0" applyNumberFormat="1" applyFont="1" applyFill="1" applyBorder="1" applyAlignment="1">
      <x:alignment wrapText="1"/>
    </x:xf>
    <x:xf numFmtId="0" fontId="11" fillId="15" xfId="0" applyNumberFormat="1" applyFont="1" applyFill="1" applyBorder="0" applyAlignment="1">
      <x:alignment wrapText="1"/>
    </x:xf>
    <x:xf numFmtId="0" fontId="11" fillId="15" borderId="14" xfId="0" applyNumberFormat="1" applyFont="1" applyFill="1" applyBorder="1" applyAlignment="1">
      <x:alignment wrapText="1"/>
    </x:xf>
    <x:xf numFmtId="0" fontId="11" fillId="15" borderId="15" xfId="0" applyNumberFormat="1" applyFont="1" applyFill="1" applyBorder="1" applyAlignment="1">
      <x:alignment wrapText="1"/>
    </x:xf>
    <x:xf numFmtId="0" fontId="11" fillId="15" borderId="16" xfId="0" applyNumberFormat="1" applyFont="1" applyFill="1" applyBorder="1" applyAlignment="1">
      <x:alignment wrapText="1"/>
    </x:xf>
    <x:xf numFmtId="0" fontId="11" fillId="15" borderId="17" xfId="0" applyNumberFormat="1" applyFont="1" applyFill="1" applyBorder="1" applyAlignment="1">
      <x:alignment wrapText="1"/>
    </x:xf>
    <x:xf numFmtId="0" fontId="11" fillId="15" borderId="10" xfId="0" applyNumberFormat="1" applyFont="1" applyFill="1" applyBorder="1" applyAlignment="1">
      <x:alignment horizontal="center" wrapText="1"/>
    </x:xf>
    <x:xf numFmtId="0" fontId="11" fillId="15" borderId="11" xfId="0" applyNumberFormat="1" applyFont="1" applyFill="1" applyBorder="1" applyAlignment="1">
      <x:alignment horizontal="center" wrapText="1"/>
    </x:xf>
    <x:xf numFmtId="0" fontId="11" fillId="15" borderId="12" xfId="0" applyNumberFormat="1" applyFont="1" applyFill="1" applyBorder="1" applyAlignment="1">
      <x:alignment horizontal="center" wrapText="1"/>
    </x:xf>
    <x:xf numFmtId="0" fontId="11" fillId="15" borderId="13" xfId="0" applyNumberFormat="1" applyFont="1" applyFill="1" applyBorder="1" applyAlignment="1">
      <x:alignment horizontal="center" wrapText="1"/>
    </x:xf>
    <x:xf numFmtId="0" fontId="11" fillId="15" xfId="0" applyNumberFormat="1" applyFont="1" applyFill="1" applyBorder="0" applyAlignment="1">
      <x:alignment horizontal="center" wrapText="1"/>
    </x:xf>
    <x:xf numFmtId="0" fontId="11" fillId="15" borderId="14" xfId="0" applyNumberFormat="1" applyFont="1" applyFill="1" applyBorder="1" applyAlignment="1">
      <x:alignment horizontal="center" wrapText="1"/>
    </x:xf>
    <x:xf numFmtId="0" fontId="11" fillId="15" borderId="15" xfId="0" applyNumberFormat="1" applyFont="1" applyFill="1" applyBorder="1" applyAlignment="1">
      <x:alignment horizontal="center" wrapText="1"/>
    </x:xf>
    <x:xf numFmtId="0" fontId="11" fillId="15" borderId="16" xfId="0" applyNumberFormat="1" applyFont="1" applyFill="1" applyBorder="1" applyAlignment="1">
      <x:alignment horizontal="center" wrapText="1"/>
    </x:xf>
    <x:xf numFmtId="0" fontId="11" fillId="15" borderId="17" xfId="0" applyNumberFormat="1" applyFont="1" applyFill="1" applyBorder="1" applyAlignment="1">
      <x:alignment horizontal="center" wrapText="1"/>
    </x:xf>
    <x:xf numFmtId="0" fontId="11" fillId="15" borderId="10" xfId="0" applyNumberFormat="1" applyFont="1" applyFill="1" applyBorder="1" applyAlignment="1">
      <x:alignment horizontal="center" vertical="center" wrapText="1"/>
    </x:xf>
    <x:xf numFmtId="0" fontId="11" fillId="15" borderId="11" xfId="0" applyNumberFormat="1" applyFont="1" applyFill="1" applyBorder="1" applyAlignment="1">
      <x:alignment horizontal="center" vertical="center" wrapText="1"/>
    </x:xf>
    <x:xf numFmtId="0" fontId="11" fillId="15" borderId="12" xfId="0" applyNumberFormat="1" applyFont="1" applyFill="1" applyBorder="1" applyAlignment="1">
      <x:alignment horizontal="center" vertical="center" wrapText="1"/>
    </x:xf>
    <x:xf numFmtId="0" fontId="11" fillId="15" borderId="13" xfId="0" applyNumberFormat="1" applyFont="1" applyFill="1" applyBorder="1" applyAlignment="1">
      <x:alignment horizontal="center" vertical="center" wrapText="1"/>
    </x:xf>
    <x:xf numFmtId="0" fontId="11" fillId="15" xfId="0" applyNumberFormat="1" applyFont="1" applyFill="1" applyBorder="0" applyAlignment="1">
      <x:alignment horizontal="center" vertical="center" wrapText="1"/>
    </x:xf>
    <x:xf numFmtId="0" fontId="11" fillId="15" borderId="14" xfId="0" applyNumberFormat="1" applyFont="1" applyFill="1" applyBorder="1" applyAlignment="1">
      <x:alignment horizontal="center" vertical="center" wrapText="1"/>
    </x:xf>
    <x:xf numFmtId="0" fontId="11" fillId="15" borderId="15" xfId="0" applyNumberFormat="1" applyFont="1" applyFill="1" applyBorder="1" applyAlignment="1">
      <x:alignment horizontal="center" vertical="center" wrapText="1"/>
    </x:xf>
    <x:xf numFmtId="0" fontId="11" fillId="15" borderId="16" xfId="0" applyNumberFormat="1" applyFont="1" applyFill="1" applyBorder="1" applyAlignment="1">
      <x:alignment horizontal="center" vertical="center" wrapText="1"/>
    </x:xf>
    <x:xf numFmtId="0" fontId="11" fillId="15" borderId="17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18" xfId="0" applyNumberFormat="1" applyFont="1" applyFill="1" applyBorder="1"/>
    <x:xf numFmtId="0" fontId="0" fillId="17" borderId="19" xfId="0" applyNumberFormat="1" applyFont="1" applyFill="1" applyBorder="1"/>
    <x:xf numFmtId="0" fontId="0" fillId="17" borderId="20" xfId="0" applyNumberFormat="1" applyFont="1" applyFill="1" applyBorder="1"/>
    <x:xf numFmtId="0" fontId="0" fillId="17" borderId="21" xfId="0" applyNumberFormat="1" applyFont="1" applyFill="1" applyBorder="1"/>
    <x:xf numFmtId="0" fontId="0" fillId="17" xfId="0" applyNumberFormat="1" applyFont="1" applyFill="1" applyBorder="0"/>
    <x:xf numFmtId="0" fontId="0" fillId="17" borderId="22" xfId="0" applyNumberFormat="1" applyFont="1" applyFill="1" applyBorder="1"/>
    <x:xf numFmtId="0" fontId="0" fillId="17" borderId="23" xfId="0" applyNumberFormat="1" applyFont="1" applyFill="1" applyBorder="1"/>
    <x:xf numFmtId="0" fontId="0" fillId="17" borderId="24" xfId="0" applyNumberFormat="1" applyFont="1" applyFill="1" applyBorder="1"/>
    <x:xf numFmtId="0" fontId="0" fillId="17" borderId="25" xfId="0" applyNumberFormat="1" applyFont="1" applyFill="1" applyBorder="1"/>
    <x:xf numFmtId="0" fontId="0" fillId="17" borderId="18" xfId="0" applyNumberFormat="1" applyFont="1" applyFill="1" applyBorder="1" applyAlignment="1">
      <x:alignment wrapText="1"/>
    </x:xf>
    <x:xf numFmtId="0" fontId="0" fillId="17" borderId="19" xfId="0" applyNumberFormat="1" applyFont="1" applyFill="1" applyBorder="1" applyAlignment="1">
      <x:alignment wrapText="1"/>
    </x:xf>
    <x:xf numFmtId="0" fontId="0" fillId="17" borderId="20" xfId="0" applyNumberFormat="1" applyFont="1" applyFill="1" applyBorder="1" applyAlignment="1">
      <x:alignment wrapText="1"/>
    </x:xf>
    <x:xf numFmtId="0" fontId="0" fillId="17" borderId="21" xfId="0" applyNumberFormat="1" applyFont="1" applyFill="1" applyBorder="1" applyAlignment="1">
      <x:alignment wrapText="1"/>
    </x:xf>
    <x:xf numFmtId="0" fontId="0" fillId="17" xfId="0" applyNumberFormat="1" applyFont="1" applyFill="1" applyBorder="0" applyAlignment="1">
      <x:alignment wrapText="1"/>
    </x:xf>
    <x:xf numFmtId="0" fontId="0" fillId="17" borderId="22" xfId="0" applyNumberFormat="1" applyFont="1" applyFill="1" applyBorder="1" applyAlignment="1">
      <x:alignment wrapText="1"/>
    </x:xf>
    <x:xf numFmtId="0" fontId="0" fillId="17" borderId="23" xfId="0" applyNumberFormat="1" applyFont="1" applyFill="1" applyBorder="1" applyAlignment="1">
      <x:alignment wrapText="1"/>
    </x:xf>
    <x:xf numFmtId="0" fontId="0" fillId="17" borderId="24" xfId="0" applyNumberFormat="1" applyFont="1" applyFill="1" applyBorder="1" applyAlignment="1">
      <x:alignment wrapText="1"/>
    </x:xf>
    <x:xf numFmtId="0" fontId="0" fillId="17" borderId="25" xfId="0" applyNumberFormat="1" applyFont="1" applyFill="1" applyBorder="1" applyAlignment="1">
      <x:alignment wrapText="1"/>
    </x:xf>
    <x:xf numFmtId="0" fontId="0" fillId="18" borderId="18" xfId="0" applyNumberFormat="1" applyFont="1" applyFill="1" applyBorder="1" applyAlignment="1">
      <x:alignment wrapText="1"/>
    </x:xf>
    <x:xf numFmtId="0" fontId="0" fillId="18" borderId="19" xfId="0" applyNumberFormat="1" applyFont="1" applyFill="1" applyBorder="1" applyAlignment="1">
      <x:alignment wrapText="1"/>
    </x:xf>
    <x:xf numFmtId="0" fontId="0" fillId="18" borderId="20" xfId="0" applyNumberFormat="1" applyFont="1" applyFill="1" applyBorder="1" applyAlignment="1">
      <x:alignment wrapText="1"/>
    </x:xf>
    <x:xf numFmtId="0" fontId="8" fillId="18" borderId="18" xfId="0" applyNumberFormat="1" applyFont="1" applyFill="1" applyBorder="1" applyAlignment="1">
      <x:alignment wrapText="1"/>
    </x:xf>
    <x:xf numFmtId="0" fontId="8" fillId="18" borderId="19" xfId="0" applyNumberFormat="1" applyFont="1" applyFill="1" applyBorder="1" applyAlignment="1">
      <x:alignment wrapText="1"/>
    </x:xf>
    <x:xf numFmtId="0" fontId="8" fillId="18" borderId="20" xfId="0" applyNumberFormat="1" applyFont="1" applyFill="1" applyBorder="1" applyAlignment="1">
      <x:alignment wrapText="1"/>
    </x:xf>
    <x:xf numFmtId="0" fontId="0" fillId="17" borderId="21" xfId="0" applyNumberFormat="1" applyFont="1" applyFill="1" applyBorder="1" applyAlignment="1">
      <x:alignment vertical="center" wrapText="1"/>
    </x:xf>
    <x:xf numFmtId="0" fontId="0" fillId="17" xfId="0" applyNumberFormat="1" applyFont="1" applyFill="1" applyBorder="0" applyAlignment="1">
      <x:alignment vertical="center" wrapText="1"/>
    </x:xf>
    <x:xf numFmtId="0" fontId="0" fillId="17" borderId="22" xfId="0" applyNumberFormat="1" applyFont="1" applyFill="1" applyBorder="1" applyAlignment="1">
      <x:alignment vertical="center" wrapText="1"/>
    </x:xf>
    <x:xf numFmtId="0" fontId="0" fillId="17" borderId="23" xfId="0" applyNumberFormat="1" applyFont="1" applyFill="1" applyBorder="1" applyAlignment="1">
      <x:alignment vertical="center" wrapText="1"/>
    </x:xf>
    <x:xf numFmtId="0" fontId="0" fillId="17" borderId="24" xfId="0" applyNumberFormat="1" applyFont="1" applyFill="1" applyBorder="1" applyAlignment="1">
      <x:alignment vertical="center" wrapText="1"/>
    </x:xf>
    <x:xf numFmtId="0" fontId="0" fillId="17" borderId="25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wrapText="1"/>
    </x:xf>
    <x:xf numFmtId="0" fontId="8" fillId="19" borderId="26" xfId="0" applyNumberFormat="1" applyFont="1" applyFill="1" applyBorder="1" applyAlignment="1">
      <x:alignment wrapText="1"/>
    </x:xf>
    <x:xf numFmtId="0" fontId="8" fillId="19" borderId="27" xfId="0" applyNumberFormat="1" applyFont="1" applyFill="1" applyBorder="1" applyAlignment="1">
      <x:alignment wrapText="1"/>
    </x:xf>
    <x:xf numFmtId="0" fontId="8" fillId="19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1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 applyAlignment="1">
      <x:alignment horizontal="center" wrapText="1"/>
    </x:xf>
    <x:xf numFmtId="0" fontId="0" fillId="0" borderId="32" xfId="0" applyNumberFormat="1" applyFont="1" applyFill="1" applyBorder="1" applyAlignment="1">
      <x:alignment horizontal="center" wrapText="1"/>
    </x:xf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horizont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19" borderId="34" xfId="0" applyNumberFormat="1" applyFont="1" applyFill="1" applyBorder="1" applyAlignment="1">
      <x:alignment horizontal="center" vertical="center" wrapText="1"/>
    </x:xf>
    <x:xf numFmtId="0" fontId="8" fillId="19" borderId="35" xfId="0" applyNumberFormat="1" applyFont="1" applyFill="1" applyBorder="1" applyAlignment="1">
      <x:alignment horizontal="center" vertical="center" wrapText="1"/>
    </x:xf>
    <x:xf numFmtId="0" fontId="8" fillId="19" borderId="36" xfId="0" applyNumberFormat="1" applyFont="1" applyFill="1" applyBorder="1" applyAlignment="1">
      <x:alignment horizontal="center"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/>
    <x:xf numFmtId="0" fontId="3" fillId="16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/>
    </x:xf>
    <x:xf numFmtId="0" fontId="0" fillId="13" borderId="26" xfId="0" applyNumberFormat="1" applyFont="1" applyFill="1" applyBorder="1"/>
    <x:xf numFmtId="0" fontId="0" fillId="13" borderId="27" xfId="0" applyNumberFormat="1" applyFont="1" applyFill="1" applyBorder="1"/>
    <x:xf numFmtId="0" fontId="0" fillId="13" borderId="28" xfId="0" applyNumberFormat="1" applyFont="1" applyFill="1" applyBorder="1"/>
    <x:xf numFmtId="0" fontId="0" fillId="13" borderId="29" xfId="0" applyNumberFormat="1" applyFont="1" applyFill="1" applyBorder="1"/>
    <x:xf numFmtId="0" fontId="0" fillId="13" xfId="0" applyNumberFormat="1" applyFont="1" applyFill="1" applyBorder="0"/>
    <x:xf numFmtId="0" fontId="0" fillId="13" borderId="30" xfId="0" applyNumberFormat="1" applyFont="1" applyFill="1" applyBorder="1"/>
    <x:xf numFmtId="0" fontId="0" fillId="13" borderId="31" xfId="0" applyNumberFormat="1" applyFont="1" applyFill="1" applyBorder="1"/>
    <x:xf numFmtId="0" fontId="0" fillId="13" borderId="32" xfId="0" applyNumberFormat="1" applyFont="1" applyFill="1" applyBorder="1"/>
    <x:xf numFmtId="0" fontId="0" fillId="13" borderId="33" xfId="0" applyNumberFormat="1" applyFont="1" applyFill="1" applyBorder="1"/>
    <x:xf numFmtId="0" fontId="0" fillId="13" borderId="26" xfId="0" applyNumberFormat="1" applyFont="1" applyFill="1" applyBorder="1" applyAlignment="1">
      <x:alignment wrapText="1"/>
    </x:xf>
    <x:xf numFmtId="0" fontId="0" fillId="13" borderId="27" xfId="0" applyNumberFormat="1" applyFont="1" applyFill="1" applyBorder="1" applyAlignment="1">
      <x:alignment wrapText="1"/>
    </x:xf>
    <x:xf numFmtId="0" fontId="0" fillId="13" borderId="28" xfId="0" applyNumberFormat="1" applyFont="1" applyFill="1" applyBorder="1" applyAlignment="1">
      <x:alignment wrapText="1"/>
    </x:xf>
    <x:xf numFmtId="0" fontId="0" fillId="13" borderId="29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13" borderId="30" xfId="0" applyNumberFormat="1" applyFont="1" applyFill="1" applyBorder="1" applyAlignment="1">
      <x:alignment wrapText="1"/>
    </x:xf>
    <x:xf numFmtId="0" fontId="0" fillId="13" borderId="31" xfId="0" applyNumberFormat="1" applyFont="1" applyFill="1" applyBorder="1" applyAlignment="1">
      <x:alignment wrapText="1"/>
    </x:xf>
    <x:xf numFmtId="0" fontId="0" fillId="13" borderId="32" xfId="0" applyNumberFormat="1" applyFont="1" applyFill="1" applyBorder="1" applyAlignment="1">
      <x:alignment wrapText="1"/>
    </x:xf>
    <x:xf numFmtId="0" fontId="0" fillId="13" borderId="33" xfId="0" applyNumberFormat="1" applyFont="1" applyFill="1" applyBorder="1" applyAlignment="1">
      <x:alignment wrapText="1"/>
    </x:xf>
    <x:xf numFmtId="0" fontId="0" fillId="13" borderId="26" xfId="0" applyNumberFormat="1" applyFont="1" applyFill="1" applyBorder="1" applyAlignment="1">
      <x:alignment vertical="top" wrapText="1"/>
    </x:xf>
    <x:xf numFmtId="0" fontId="0" fillId="13" borderId="27" xfId="0" applyNumberFormat="1" applyFont="1" applyFill="1" applyBorder="1" applyAlignment="1">
      <x:alignment vertical="top" wrapText="1"/>
    </x:xf>
    <x:xf numFmtId="0" fontId="0" fillId="13" borderId="28" xfId="0" applyNumberFormat="1" applyFont="1" applyFill="1" applyBorder="1" applyAlignment="1">
      <x:alignment vertical="top" wrapText="1"/>
    </x:xf>
    <x:xf numFmtId="0" fontId="0" fillId="13" borderId="29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3" borderId="30" xfId="0" applyNumberFormat="1" applyFont="1" applyFill="1" applyBorder="1" applyAlignment="1">
      <x:alignment vertical="top" wrapText="1"/>
    </x:xf>
    <x:xf numFmtId="0" fontId="0" fillId="13" borderId="31" xfId="0" applyNumberFormat="1" applyFont="1" applyFill="1" applyBorder="1" applyAlignment="1">
      <x:alignment vertical="top" wrapText="1"/>
    </x:xf>
    <x:xf numFmtId="0" fontId="0" fillId="13" borderId="32" xfId="0" applyNumberFormat="1" applyFont="1" applyFill="1" applyBorder="1" applyAlignment="1">
      <x:alignment vertical="top" wrapText="1"/>
    </x:xf>
    <x:xf numFmtId="0" fontId="0" fillId="13" borderId="33" xfId="0" applyNumberFormat="1" applyFont="1" applyFill="1" applyBorder="1" applyAlignment="1">
      <x:alignment vertical="top" wrapText="1"/>
    </x:xf>
    <x:xf numFmtId="0" fontId="0" fillId="11" borderId="26" xfId="0" applyNumberFormat="1" applyFont="1" applyFill="1" applyBorder="1"/>
    <x:xf numFmtId="0" fontId="0" fillId="11" borderId="27" xfId="0" applyNumberFormat="1" applyFont="1" applyFill="1" applyBorder="1"/>
    <x:xf numFmtId="0" fontId="0" fillId="11" borderId="28" xfId="0" applyNumberFormat="1" applyFont="1" applyFill="1" applyBorder="1"/>
    <x:xf numFmtId="0" fontId="0" fillId="11" borderId="29" xfId="0" applyNumberFormat="1" applyFont="1" applyFill="1" applyBorder="1"/>
    <x:xf numFmtId="0" fontId="0" fillId="11" xfId="0" applyNumberFormat="1" applyFont="1" applyFill="1" applyBorder="0"/>
    <x:xf numFmtId="0" fontId="0" fillId="11" borderId="30" xfId="0" applyNumberFormat="1" applyFont="1" applyFill="1" applyBorder="1"/>
    <x:xf numFmtId="0" fontId="0" fillId="11" borderId="31" xfId="0" applyNumberFormat="1" applyFont="1" applyFill="1" applyBorder="1"/>
    <x:xf numFmtId="0" fontId="0" fillId="11" borderId="32" xfId="0" applyNumberFormat="1" applyFont="1" applyFill="1" applyBorder="1"/>
    <x:xf numFmtId="0" fontId="0" fillId="11" borderId="33" xfId="0" applyNumberFormat="1" applyFont="1" applyFill="1" applyBorder="1"/>
    <x:xf numFmtId="0" fontId="0" fillId="11" borderId="26" xfId="0" applyNumberFormat="1" applyFont="1" applyFill="1" applyBorder="1" applyAlignment="1">
      <x:alignment wrapText="1"/>
    </x:xf>
    <x:xf numFmtId="0" fontId="0" fillId="11" borderId="27" xfId="0" applyNumberFormat="1" applyFont="1" applyFill="1" applyBorder="1" applyAlignment="1">
      <x:alignment wrapText="1"/>
    </x:xf>
    <x:xf numFmtId="0" fontId="0" fillId="11" borderId="28" xfId="0" applyNumberFormat="1" applyFont="1" applyFill="1" applyBorder="1" applyAlignment="1">
      <x:alignment wrapText="1"/>
    </x:xf>
    <x:xf numFmtId="0" fontId="0" fillId="11" borderId="29" xfId="0" applyNumberFormat="1" applyFont="1" applyFill="1" applyBorder="1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0" fillId="11" borderId="30" xfId="0" applyNumberFormat="1" applyFont="1" applyFill="1" applyBorder="1" applyAlignment="1">
      <x:alignment wrapText="1"/>
    </x:xf>
    <x:xf numFmtId="0" fontId="0" fillId="11" borderId="31" xfId="0" applyNumberFormat="1" applyFont="1" applyFill="1" applyBorder="1" applyAlignment="1">
      <x:alignment wrapText="1"/>
    </x:xf>
    <x:xf numFmtId="0" fontId="0" fillId="11" borderId="32" xfId="0" applyNumberFormat="1" applyFont="1" applyFill="1" applyBorder="1" applyAlignment="1">
      <x:alignment wrapText="1"/>
    </x:xf>
    <x:xf numFmtId="0" fontId="0" fillId="11" borderId="33" xfId="0" applyNumberFormat="1" applyFont="1" applyFill="1" applyBorder="1" applyAlignment="1">
      <x:alignment wrapText="1"/>
    </x:xf>
    <x:xf numFmtId="0" fontId="0" fillId="11" borderId="26" xfId="0" applyNumberFormat="1" applyFont="1" applyFill="1" applyBorder="1" applyAlignment="1">
      <x:alignment vertical="top" wrapText="1"/>
    </x:xf>
    <x:xf numFmtId="0" fontId="0" fillId="11" borderId="27" xfId="0" applyNumberFormat="1" applyFont="1" applyFill="1" applyBorder="1" applyAlignment="1">
      <x:alignment vertical="top" wrapText="1"/>
    </x:xf>
    <x:xf numFmtId="0" fontId="0" fillId="11" borderId="28" xfId="0" applyNumberFormat="1" applyFont="1" applyFill="1" applyBorder="1" applyAlignment="1">
      <x:alignment vertical="top" wrapText="1"/>
    </x:xf>
    <x:xf numFmtId="0" fontId="0" fillId="11" borderId="29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0" fillId="11" borderId="30" xfId="0" applyNumberFormat="1" applyFont="1" applyFill="1" applyBorder="1" applyAlignment="1">
      <x:alignment vertical="top" wrapText="1"/>
    </x:xf>
    <x:xf numFmtId="0" fontId="0" fillId="11" borderId="31" xfId="0" applyNumberFormat="1" applyFont="1" applyFill="1" applyBorder="1" applyAlignment="1">
      <x:alignment vertical="top" wrapText="1"/>
    </x:xf>
    <x:xf numFmtId="0" fontId="0" fillId="11" borderId="32" xfId="0" applyNumberFormat="1" applyFont="1" applyFill="1" applyBorder="1" applyAlignment="1">
      <x:alignment vertical="top" wrapText="1"/>
    </x:xf>
    <x:xf numFmtId="0" fontId="0" fillId="11" borderId="33" xfId="0" applyNumberFormat="1" applyFont="1" applyFill="1" applyBorder="1" applyAlignment="1">
      <x:alignment vertical="top" wrapText="1"/>
    </x:xf>
    <x:xf numFmtId="0" fontId="0" fillId="15" borderId="42" xfId="0" applyNumberFormat="1" applyFont="1" applyFill="1" applyBorder="1"/>
    <x:xf numFmtId="0" fontId="0" fillId="15" borderId="43" xfId="0" applyNumberFormat="1" applyFont="1" applyFill="1" applyBorder="1"/>
    <x:xf numFmtId="0" fontId="0" fillId="15" borderId="44" xfId="0" applyNumberFormat="1" applyFont="1" applyFill="1" applyBorder="1"/>
    <x:xf numFmtId="0" fontId="0" fillId="15" borderId="45" xfId="0" applyNumberFormat="1" applyFont="1" applyFill="1" applyBorder="1"/>
    <x:xf numFmtId="0" fontId="0" fillId="15" xfId="0" applyNumberFormat="1" applyFont="1" applyFill="1" applyBorder="0"/>
    <x:xf numFmtId="0" fontId="0" fillId="15" borderId="46" xfId="0" applyNumberFormat="1" applyFont="1" applyFill="1" applyBorder="1"/>
    <x:xf numFmtId="0" fontId="0" fillId="15" borderId="47" xfId="0" applyNumberFormat="1" applyFont="1" applyFill="1" applyBorder="1"/>
    <x:xf numFmtId="0" fontId="0" fillId="15" borderId="48" xfId="0" applyNumberFormat="1" applyFont="1" applyFill="1" applyBorder="1"/>
    <x:xf numFmtId="0" fontId="0" fillId="15" borderId="49" xfId="0" applyNumberFormat="1" applyFont="1" applyFill="1" applyBorder="1"/>
    <x:xf numFmtId="0" fontId="0" fillId="15" borderId="42" xfId="0" applyNumberFormat="1" applyFont="1" applyFill="1" applyBorder="1" applyAlignment="1">
      <x:alignment wrapText="1"/>
    </x:xf>
    <x:xf numFmtId="0" fontId="0" fillId="15" borderId="43" xfId="0" applyNumberFormat="1" applyFont="1" applyFill="1" applyBorder="1" applyAlignment="1">
      <x:alignment wrapText="1"/>
    </x:xf>
    <x:xf numFmtId="0" fontId="0" fillId="15" borderId="44" xfId="0" applyNumberFormat="1" applyFont="1" applyFill="1" applyBorder="1" applyAlignment="1">
      <x:alignment wrapText="1"/>
    </x:xf>
    <x:xf numFmtId="0" fontId="0" fillId="15" borderId="45" xfId="0" applyNumberFormat="1" applyFont="1" applyFill="1" applyBorder="1" applyAlignment="1">
      <x:alignment wrapText="1"/>
    </x:xf>
    <x:xf numFmtId="0" fontId="0" fillId="15" xfId="0" applyNumberFormat="1" applyFont="1" applyFill="1" applyBorder="0" applyAlignment="1">
      <x:alignment wrapText="1"/>
    </x:xf>
    <x:xf numFmtId="0" fontId="0" fillId="15" borderId="46" xfId="0" applyNumberFormat="1" applyFont="1" applyFill="1" applyBorder="1" applyAlignment="1">
      <x:alignment wrapText="1"/>
    </x:xf>
    <x:xf numFmtId="0" fontId="0" fillId="15" borderId="47" xfId="0" applyNumberFormat="1" applyFont="1" applyFill="1" applyBorder="1" applyAlignment="1">
      <x:alignment wrapText="1"/>
    </x:xf>
    <x:xf numFmtId="0" fontId="0" fillId="15" borderId="48" xfId="0" applyNumberFormat="1" applyFont="1" applyFill="1" applyBorder="1" applyAlignment="1">
      <x:alignment wrapText="1"/>
    </x:xf>
    <x:xf numFmtId="0" fontId="0" fillId="15" borderId="49" xfId="0" applyNumberFormat="1" applyFont="1" applyFill="1" applyBorder="1" applyAlignment="1">
      <x:alignment wrapText="1"/>
    </x:xf>
    <x:xf numFmtId="0" fontId="0" fillId="15" borderId="42" xfId="0" applyNumberFormat="1" applyFont="1" applyFill="1" applyBorder="1" applyAlignment="1">
      <x:alignment vertical="top" wrapText="1"/>
    </x:xf>
    <x:xf numFmtId="0" fontId="0" fillId="15" borderId="43" xfId="0" applyNumberFormat="1" applyFont="1" applyFill="1" applyBorder="1" applyAlignment="1">
      <x:alignment vertical="top" wrapText="1"/>
    </x:xf>
    <x:xf numFmtId="0" fontId="0" fillId="15" borderId="44" xfId="0" applyNumberFormat="1" applyFont="1" applyFill="1" applyBorder="1" applyAlignment="1">
      <x:alignment vertical="top" wrapText="1"/>
    </x:xf>
    <x:xf numFmtId="0" fontId="0" fillId="15" borderId="45" xfId="0" applyNumberFormat="1" applyFont="1" applyFill="1" applyBorder="1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0" fillId="15" borderId="46" xfId="0" applyNumberFormat="1" applyFont="1" applyFill="1" applyBorder="1" applyAlignment="1">
      <x:alignment vertical="top" wrapText="1"/>
    </x:xf>
    <x:xf numFmtId="0" fontId="0" fillId="15" borderId="47" xfId="0" applyNumberFormat="1" applyFont="1" applyFill="1" applyBorder="1" applyAlignment="1">
      <x:alignment vertical="top" wrapText="1"/>
    </x:xf>
    <x:xf numFmtId="0" fontId="0" fillId="15" borderId="48" xfId="0" applyNumberFormat="1" applyFont="1" applyFill="1" applyBorder="1" applyAlignment="1">
      <x:alignment vertical="top" wrapText="1"/>
    </x:xf>
    <x:xf numFmtId="0" fontId="0" fillId="15" borderId="4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50" xfId="0" applyNumberFormat="1" applyFont="1" applyFill="1" applyBorder="1"/>
    <x:xf numFmtId="0" fontId="14" fillId="21" borderId="51" xfId="0" applyNumberFormat="1" applyFont="1" applyFill="1" applyBorder="1"/>
    <x:xf numFmtId="0" fontId="14" fillId="21" borderId="52" xfId="0" applyNumberFormat="1" applyFont="1" applyFill="1" applyBorder="1"/>
    <x:xf numFmtId="0" fontId="14" fillId="21" borderId="53" xfId="0" applyNumberFormat="1" applyFont="1" applyFill="1" applyBorder="1"/>
    <x:xf numFmtId="0" fontId="14" fillId="21" xfId="0" applyNumberFormat="1" applyFont="1" applyFill="1" applyBorder="0"/>
    <x:xf numFmtId="0" fontId="14" fillId="21" borderId="54" xfId="0" applyNumberFormat="1" applyFont="1" applyFill="1" applyBorder="1"/>
    <x:xf numFmtId="0" fontId="14" fillId="21" borderId="55" xfId="0" applyNumberFormat="1" applyFont="1" applyFill="1" applyBorder="1"/>
    <x:xf numFmtId="0" fontId="14" fillId="21" borderId="56" xfId="0" applyNumberFormat="1" applyFont="1" applyFill="1" applyBorder="1"/>
    <x:xf numFmtId="0" fontId="14" fillId="21" borderId="57" xfId="0" applyNumberFormat="1" applyFont="1" applyFill="1" applyBorder="1"/>
    <x:xf numFmtId="0" fontId="14" fillId="21" borderId="50" xfId="0" applyNumberFormat="1" applyFont="1" applyFill="1" applyBorder="1" applyAlignment="1">
      <x:alignment wrapText="1"/>
    </x:xf>
    <x:xf numFmtId="0" fontId="14" fillId="21" borderId="51" xfId="0" applyNumberFormat="1" applyFont="1" applyFill="1" applyBorder="1" applyAlignment="1">
      <x:alignment wrapText="1"/>
    </x:xf>
    <x:xf numFmtId="0" fontId="14" fillId="21" borderId="52" xfId="0" applyNumberFormat="1" applyFont="1" applyFill="1" applyBorder="1" applyAlignment="1">
      <x:alignment wrapText="1"/>
    </x:xf>
    <x:xf numFmtId="0" fontId="14" fillId="21" borderId="53" xfId="0" applyNumberFormat="1" applyFont="1" applyFill="1" applyBorder="1" applyAlignment="1">
      <x:alignment wrapText="1"/>
    </x:xf>
    <x:xf numFmtId="0" fontId="14" fillId="21" xfId="0" applyNumberFormat="1" applyFont="1" applyFill="1" applyBorder="0" applyAlignment="1">
      <x:alignment wrapText="1"/>
    </x:xf>
    <x:xf numFmtId="0" fontId="14" fillId="21" borderId="54" xfId="0" applyNumberFormat="1" applyFont="1" applyFill="1" applyBorder="1" applyAlignment="1">
      <x:alignment wrapText="1"/>
    </x:xf>
    <x:xf numFmtId="0" fontId="14" fillId="21" borderId="55" xfId="0" applyNumberFormat="1" applyFont="1" applyFill="1" applyBorder="1" applyAlignment="1">
      <x:alignment wrapText="1"/>
    </x:xf>
    <x:xf numFmtId="0" fontId="14" fillId="21" borderId="56" xfId="0" applyNumberFormat="1" applyFont="1" applyFill="1" applyBorder="1" applyAlignment="1">
      <x:alignment wrapText="1"/>
    </x:xf>
    <x:xf numFmtId="0" fontId="14" fillId="21" borderId="57" xfId="0" applyNumberFormat="1" applyFont="1" applyFill="1" applyBorder="1" applyAlignment="1">
      <x:alignment wrapText="1"/>
    </x:xf>
    <x:xf numFmtId="0" fontId="14" fillId="21" borderId="50" xfId="0" applyNumberFormat="1" applyFont="1" applyFill="1" applyBorder="1" applyAlignment="1">
      <x:alignment vertical="center" wrapText="1"/>
    </x:xf>
    <x:xf numFmtId="0" fontId="14" fillId="21" borderId="51" xfId="0" applyNumberFormat="1" applyFont="1" applyFill="1" applyBorder="1" applyAlignment="1">
      <x:alignment vertical="center" wrapText="1"/>
    </x:xf>
    <x:xf numFmtId="0" fontId="14" fillId="21" borderId="52" xfId="0" applyNumberFormat="1" applyFont="1" applyFill="1" applyBorder="1" applyAlignment="1">
      <x:alignment vertical="center" wrapText="1"/>
    </x:xf>
    <x:xf numFmtId="0" fontId="14" fillId="21" borderId="53" xfId="0" applyNumberFormat="1" applyFont="1" applyFill="1" applyBorder="1" applyAlignment="1">
      <x:alignment vertical="center" wrapText="1"/>
    </x:xf>
    <x:xf numFmtId="0" fontId="14" fillId="21" xfId="0" applyNumberFormat="1" applyFont="1" applyFill="1" applyBorder="0" applyAlignment="1">
      <x:alignment vertical="center" wrapText="1"/>
    </x:xf>
    <x:xf numFmtId="0" fontId="14" fillId="21" borderId="54" xfId="0" applyNumberFormat="1" applyFont="1" applyFill="1" applyBorder="1" applyAlignment="1">
      <x:alignment vertical="center" wrapText="1"/>
    </x:xf>
    <x:xf numFmtId="0" fontId="14" fillId="21" borderId="55" xfId="0" applyNumberFormat="1" applyFont="1" applyFill="1" applyBorder="1" applyAlignment="1">
      <x:alignment vertical="center" wrapText="1"/>
    </x:xf>
    <x:xf numFmtId="0" fontId="14" fillId="21" borderId="56" xfId="0" applyNumberFormat="1" applyFont="1" applyFill="1" applyBorder="1" applyAlignment="1">
      <x:alignment vertical="center" wrapText="1"/>
    </x:xf>
    <x:xf numFmtId="0" fontId="14" fillId="21" borderId="57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3" borderId="26" xfId="0" applyNumberFormat="1" applyFont="1" applyFill="1" applyBorder="1" applyAlignment="1">
      <x:alignment vertical="center" wrapText="1"/>
    </x:xf>
    <x:xf numFmtId="0" fontId="0" fillId="13" borderId="27" xfId="0" applyNumberFormat="1" applyFont="1" applyFill="1" applyBorder="1" applyAlignment="1">
      <x:alignment vertical="center" wrapText="1"/>
    </x:xf>
    <x:xf numFmtId="0" fontId="0" fillId="13" borderId="28" xfId="0" applyNumberFormat="1" applyFont="1" applyFill="1" applyBorder="1" applyAlignment="1">
      <x:alignment vertical="center" wrapText="1"/>
    </x:xf>
    <x:xf numFmtId="0" fontId="0" fillId="13" borderId="29" xfId="0" applyNumberFormat="1" applyFont="1" applyFill="1" applyBorder="1" applyAlignment="1">
      <x:alignment vertical="center" wrapText="1"/>
    </x:xf>
    <x:xf numFmtId="0" fontId="0" fillId="13" xfId="0" applyNumberFormat="1" applyFont="1" applyFill="1" applyBorder="0" applyAlignment="1">
      <x:alignment vertical="center" wrapText="1"/>
    </x:xf>
    <x:xf numFmtId="0" fontId="0" fillId="13" borderId="30" xfId="0" applyNumberFormat="1" applyFont="1" applyFill="1" applyBorder="1" applyAlignment="1">
      <x:alignment vertical="center" wrapText="1"/>
    </x:xf>
    <x:xf numFmtId="0" fontId="0" fillId="13" borderId="31" xfId="0" applyNumberFormat="1" applyFont="1" applyFill="1" applyBorder="1" applyAlignment="1">
      <x:alignment vertical="center" wrapText="1"/>
    </x:xf>
    <x:xf numFmtId="0" fontId="0" fillId="13" borderId="32" xfId="0" applyNumberFormat="1" applyFont="1" applyFill="1" applyBorder="1" applyAlignment="1">
      <x:alignment vertical="center" wrapText="1"/>
    </x:xf>
    <x:xf numFmtId="0" fontId="0" fillId="13" borderId="33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1" borderId="26" xfId="0" applyNumberFormat="1" applyFont="1" applyFill="1" applyBorder="1" applyAlignment="1">
      <x:alignment vertical="center" wrapText="1"/>
    </x:xf>
    <x:xf numFmtId="0" fontId="0" fillId="11" borderId="27" xfId="0" applyNumberFormat="1" applyFont="1" applyFill="1" applyBorder="1" applyAlignment="1">
      <x:alignment vertical="center" wrapText="1"/>
    </x:xf>
    <x:xf numFmtId="0" fontId="0" fillId="11" borderId="28" xfId="0" applyNumberFormat="1" applyFont="1" applyFill="1" applyBorder="1" applyAlignment="1">
      <x:alignment vertical="center" wrapText="1"/>
    </x:xf>
    <x:xf numFmtId="0" fontId="0" fillId="15" borderId="42" xfId="0" applyNumberFormat="1" applyFont="1" applyFill="1" applyBorder="1" applyAlignment="1">
      <x:alignment vertical="center" wrapText="1"/>
    </x:xf>
    <x:xf numFmtId="0" fontId="0" fillId="15" borderId="43" xfId="0" applyNumberFormat="1" applyFont="1" applyFill="1" applyBorder="1" applyAlignment="1">
      <x:alignment vertical="center" wrapText="1"/>
    </x:xf>
    <x:xf numFmtId="0" fontId="0" fillId="15" borderId="44" xfId="0" applyNumberFormat="1" applyFont="1" applyFill="1" applyBorder="1" applyAlignment="1">
      <x:alignment vertical="center" wrapText="1"/>
    </x:xf>
    <x:xf numFmtId="0" fontId="0" fillId="11" borderId="29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30" xfId="0" applyNumberFormat="1" applyFont="1" applyFill="1" applyBorder="1" applyAlignment="1">
      <x:alignment vertical="center" wrapText="1"/>
    </x:xf>
    <x:xf numFmtId="0" fontId="0" fillId="15" borderId="45" xfId="0" applyNumberFormat="1" applyFont="1" applyFill="1" applyBorder="1" applyAlignment="1">
      <x:alignment vertical="center" wrapText="1"/>
    </x:xf>
    <x:xf numFmtId="0" fontId="0" fillId="15" xfId="0" applyNumberFormat="1" applyFont="1" applyFill="1" applyBorder="0" applyAlignment="1">
      <x:alignment vertical="center" wrapText="1"/>
    </x:xf>
    <x:xf numFmtId="0" fontId="0" fillId="15" borderId="46" xfId="0" applyNumberFormat="1" applyFont="1" applyFill="1" applyBorder="1" applyAlignment="1">
      <x:alignment vertical="center" wrapText="1"/>
    </x:xf>
    <x:xf numFmtId="0" fontId="0" fillId="11" borderId="31" xfId="0" applyNumberFormat="1" applyFont="1" applyFill="1" applyBorder="1" applyAlignment="1">
      <x:alignment vertical="center" wrapText="1"/>
    </x:xf>
    <x:xf numFmtId="0" fontId="0" fillId="11" borderId="32" xfId="0" applyNumberFormat="1" applyFont="1" applyFill="1" applyBorder="1" applyAlignment="1">
      <x:alignment vertical="center" wrapText="1"/>
    </x:xf>
    <x:xf numFmtId="0" fontId="0" fillId="11" borderId="33" xfId="0" applyNumberFormat="1" applyFont="1" applyFill="1" applyBorder="1" applyAlignment="1">
      <x:alignment vertical="center" wrapText="1"/>
    </x:xf>
    <x:xf numFmtId="0" fontId="0" fillId="15" borderId="47" xfId="0" applyNumberFormat="1" applyFont="1" applyFill="1" applyBorder="1" applyAlignment="1">
      <x:alignment vertical="center" wrapText="1"/>
    </x:xf>
    <x:xf numFmtId="0" fontId="0" fillId="15" borderId="48" xfId="0" applyNumberFormat="1" applyFont="1" applyFill="1" applyBorder="1" applyAlignment="1">
      <x:alignment vertical="center" wrapText="1"/>
    </x:xf>
    <x:xf numFmtId="0" fontId="0" fillId="15" borderId="49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horizontal="center" vertical="center" wrapText="1"/>
    </x:xf>
    <x:xf numFmtId="0" fontId="0" fillId="0" borderId="39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0" fontId="9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9" fillId="22" borderId="0" xfId="0" applyNumberFormat="1" applyFont="1" applyFill="1" applyBorder="1"/>
    <x:xf numFmtId="0" fontId="6" fillId="22" borderId="0" xfId="0" applyNumberFormat="1" applyFont="1" applyFill="1" applyBorder="1"/>
    <x:xf numFmtId="0" fontId="15" fillId="14" borderId="10" xfId="0" applyNumberFormat="1" applyFont="1" applyFill="1" applyBorder="1" applyAlignment="1">
      <x:alignment horizontal="center" vertical="center" wrapText="1"/>
    </x:xf>
    <x:xf numFmtId="0" fontId="15" fillId="14" borderId="11" xfId="0" applyNumberFormat="1" applyFont="1" applyFill="1" applyBorder="1" applyAlignment="1">
      <x:alignment horizontal="center" vertical="center" wrapText="1"/>
    </x:xf>
    <x:xf numFmtId="0" fontId="15" fillId="14" borderId="12" xfId="0" applyNumberFormat="1" applyFont="1" applyFill="1" applyBorder="1" applyAlignment="1">
      <x:alignment horizontal="center" vertical="center" wrapText="1"/>
    </x:xf>
    <x:xf numFmtId="0" fontId="15" fillId="14" borderId="13" xfId="0" applyNumberFormat="1" applyFont="1" applyFill="1" applyBorder="1" applyAlignment="1">
      <x:alignment horizontal="center" vertical="center" wrapText="1"/>
    </x:xf>
    <x:xf numFmtId="0" fontId="15" fillId="14" xfId="0" applyNumberFormat="1" applyFont="1" applyFill="1" applyBorder="0" applyAlignment="1">
      <x:alignment horizontal="center" vertical="center" wrapText="1"/>
    </x:xf>
    <x:xf numFmtId="0" fontId="15" fillId="14" borderId="14" xfId="0" applyNumberFormat="1" applyFont="1" applyFill="1" applyBorder="1" applyAlignment="1">
      <x:alignment horizontal="center" vertical="center" wrapText="1"/>
    </x:xf>
    <x:xf numFmtId="0" fontId="15" fillId="14" borderId="15" xfId="0" applyNumberFormat="1" applyFont="1" applyFill="1" applyBorder="1" applyAlignment="1">
      <x:alignment horizontal="center" vertical="center" wrapText="1"/>
    </x:xf>
    <x:xf numFmtId="0" fontId="15" fillId="14" borderId="16" xfId="0" applyNumberFormat="1" applyFont="1" applyFill="1" applyBorder="1" applyAlignment="1">
      <x:alignment horizontal="center" vertical="center" wrapText="1"/>
    </x:xf>
    <x:xf numFmtId="0" fontId="15" fillId="14" borderId="17" xfId="0" applyNumberFormat="1" applyFont="1" applyFill="1" applyBorder="1" applyAlignment="1">
      <x:alignment horizontal="center" vertical="center" wrapText="1"/>
    </x:xf>
    <x:xf numFmtId="0" fontId="15" fillId="15" borderId="10" xfId="0" applyNumberFormat="1" applyFont="1" applyFill="1" applyBorder="1" applyAlignment="1">
      <x:alignment horizontal="center" vertical="center" wrapText="1"/>
    </x:xf>
    <x:xf numFmtId="0" fontId="15" fillId="15" borderId="11" xfId="0" applyNumberFormat="1" applyFont="1" applyFill="1" applyBorder="1" applyAlignment="1">
      <x:alignment horizontal="center" vertical="center" wrapText="1"/>
    </x:xf>
    <x:xf numFmtId="0" fontId="15" fillId="15" borderId="12" xfId="0" applyNumberFormat="1" applyFont="1" applyFill="1" applyBorder="1" applyAlignment="1">
      <x:alignment horizontal="center" vertical="center" wrapText="1"/>
    </x:xf>
    <x:xf numFmtId="0" fontId="15" fillId="15" borderId="13" xfId="0" applyNumberFormat="1" applyFont="1" applyFill="1" applyBorder="1" applyAlignment="1">
      <x:alignment horizontal="center" vertical="center" wrapText="1"/>
    </x:xf>
    <x:xf numFmtId="0" fontId="15" fillId="15" xfId="0" applyNumberFormat="1" applyFont="1" applyFill="1" applyBorder="0" applyAlignment="1">
      <x:alignment horizontal="center" vertical="center" wrapText="1"/>
    </x:xf>
    <x:xf numFmtId="0" fontId="15" fillId="15" borderId="14" xfId="0" applyNumberFormat="1" applyFont="1" applyFill="1" applyBorder="1" applyAlignment="1">
      <x:alignment horizontal="center" vertical="center" wrapText="1"/>
    </x:xf>
    <x:xf numFmtId="0" fontId="15" fillId="15" borderId="15" xfId="0" applyNumberFormat="1" applyFont="1" applyFill="1" applyBorder="1" applyAlignment="1">
      <x:alignment horizontal="center" vertical="center" wrapText="1"/>
    </x:xf>
    <x:xf numFmtId="0" fontId="15" fillId="15" borderId="16" xfId="0" applyNumberFormat="1" applyFont="1" applyFill="1" applyBorder="1" applyAlignment="1">
      <x:alignment horizontal="center" vertical="center" wrapText="1"/>
    </x:xf>
    <x:xf numFmtId="0" fontId="15" fillId="15" borderId="17" xfId="0" applyNumberFormat="1" applyFont="1" applyFill="1" applyBorder="1" applyAlignment="1">
      <x:alignment horizontal="center" vertical="center" wrapText="1"/>
    </x:xf>
    <x:xf numFmtId="0" fontId="3" fillId="23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borderId="0" xfId="0" applyNumberFormat="1" applyFont="1" applyFill="1" applyBorder="1" applyAlignment="1">
      <x:alignment wrapText="1"/>
    </x:xf>
    <x:xf numFmtId="0" fontId="8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26" xfId="0" applyNumberFormat="1" applyFont="1" applyFill="1" applyBorder="1"/>
    <x:xf numFmtId="0" fontId="5" fillId="27" borderId="27" xfId="0" applyNumberFormat="1" applyFont="1" applyFill="1" applyBorder="1"/>
    <x:xf numFmtId="0" fontId="5" fillId="27" borderId="28" xfId="0" applyNumberFormat="1" applyFont="1" applyFill="1" applyBorder="1"/>
    <x:xf numFmtId="0" fontId="5" fillId="27" borderId="29" xfId="0" applyNumberFormat="1" applyFont="1" applyFill="1" applyBorder="1"/>
    <x:xf numFmtId="0" fontId="5" fillId="27" xfId="0" applyNumberFormat="1" applyFont="1" applyFill="1" applyBorder="0"/>
    <x:xf numFmtId="0" fontId="5" fillId="27" borderId="30" xfId="0" applyNumberFormat="1" applyFont="1" applyFill="1" applyBorder="1"/>
    <x:xf numFmtId="0" fontId="5" fillId="27" borderId="31" xfId="0" applyNumberFormat="1" applyFont="1" applyFill="1" applyBorder="1"/>
    <x:xf numFmtId="0" fontId="5" fillId="27" borderId="32" xfId="0" applyNumberFormat="1" applyFont="1" applyFill="1" applyBorder="1"/>
    <x:xf numFmtId="0" fontId="5" fillId="27" borderId="33" xfId="0" applyNumberFormat="1" applyFont="1" applyFill="1" applyBorder="1"/>
    <x:xf numFmtId="0" fontId="5" fillId="27" borderId="26" xfId="0" applyNumberFormat="1" applyFont="1" applyFill="1" applyBorder="1" applyAlignment="1">
      <x:alignment wrapText="1"/>
    </x:xf>
    <x:xf numFmtId="0" fontId="5" fillId="27" borderId="27" xfId="0" applyNumberFormat="1" applyFont="1" applyFill="1" applyBorder="1" applyAlignment="1">
      <x:alignment wrapText="1"/>
    </x:xf>
    <x:xf numFmtId="0" fontId="5" fillId="27" borderId="28" xfId="0" applyNumberFormat="1" applyFont="1" applyFill="1" applyBorder="1" applyAlignment="1">
      <x:alignment wrapText="1"/>
    </x:xf>
    <x:xf numFmtId="0" fontId="5" fillId="27" borderId="29" xfId="0" applyNumberFormat="1" applyFont="1" applyFill="1" applyBorder="1" applyAlignment="1">
      <x:alignment wrapText="1"/>
    </x:xf>
    <x:xf numFmtId="0" fontId="5" fillId="27" xfId="0" applyNumberFormat="1" applyFont="1" applyFill="1" applyBorder="0" applyAlignment="1">
      <x:alignment wrapText="1"/>
    </x:xf>
    <x:xf numFmtId="0" fontId="5" fillId="27" borderId="30" xfId="0" applyNumberFormat="1" applyFont="1" applyFill="1" applyBorder="1" applyAlignment="1">
      <x:alignment wrapText="1"/>
    </x:xf>
    <x:xf numFmtId="0" fontId="5" fillId="27" borderId="31" xfId="0" applyNumberFormat="1" applyFont="1" applyFill="1" applyBorder="1" applyAlignment="1">
      <x:alignment wrapText="1"/>
    </x:xf>
    <x:xf numFmtId="0" fontId="5" fillId="27" borderId="32" xfId="0" applyNumberFormat="1" applyFont="1" applyFill="1" applyBorder="1" applyAlignment="1">
      <x:alignment wrapText="1"/>
    </x:xf>
    <x:xf numFmtId="0" fontId="5" fillId="27" borderId="33" xfId="0" applyNumberFormat="1" applyFont="1" applyFill="1" applyBorder="1" applyAlignment="1">
      <x:alignment wrapText="1"/>
    </x:xf>
    <x:xf numFmtId="0" fontId="5" fillId="27" borderId="26" xfId="0" applyNumberFormat="1" applyFont="1" applyFill="1" applyBorder="1" applyAlignment="1">
      <x:alignment horizontal="center" wrapText="1"/>
    </x:xf>
    <x:xf numFmtId="0" fontId="5" fillId="27" borderId="27" xfId="0" applyNumberFormat="1" applyFont="1" applyFill="1" applyBorder="1" applyAlignment="1">
      <x:alignment horizontal="center" wrapText="1"/>
    </x:xf>
    <x:xf numFmtId="0" fontId="5" fillId="27" borderId="28" xfId="0" applyNumberFormat="1" applyFont="1" applyFill="1" applyBorder="1" applyAlignment="1">
      <x:alignment horizontal="center" wrapText="1"/>
    </x:xf>
    <x:xf numFmtId="0" fontId="5" fillId="27" borderId="29" xfId="0" applyNumberFormat="1" applyFont="1" applyFill="1" applyBorder="1" applyAlignment="1">
      <x:alignment horizontal="center" wrapText="1"/>
    </x:xf>
    <x:xf numFmtId="0" fontId="5" fillId="27" xfId="0" applyNumberFormat="1" applyFont="1" applyFill="1" applyBorder="0" applyAlignment="1">
      <x:alignment horizontal="center" wrapText="1"/>
    </x:xf>
    <x:xf numFmtId="0" fontId="5" fillId="27" borderId="30" xfId="0" applyNumberFormat="1" applyFont="1" applyFill="1" applyBorder="1" applyAlignment="1">
      <x:alignment horizontal="center" wrapText="1"/>
    </x:xf>
    <x:xf numFmtId="0" fontId="5" fillId="27" borderId="31" xfId="0" applyNumberFormat="1" applyFont="1" applyFill="1" applyBorder="1" applyAlignment="1">
      <x:alignment horizontal="center" wrapText="1"/>
    </x:xf>
    <x:xf numFmtId="0" fontId="5" fillId="27" borderId="32" xfId="0" applyNumberFormat="1" applyFont="1" applyFill="1" applyBorder="1" applyAlignment="1">
      <x:alignment horizontal="center" wrapText="1"/>
    </x:xf>
    <x:xf numFmtId="0" fontId="5" fillId="27" borderId="33" xfId="0" applyNumberFormat="1" applyFont="1" applyFill="1" applyBorder="1" applyAlignment="1">
      <x:alignment horizontal="center" wrapText="1"/>
    </x:xf>
    <x:xf numFmtId="0" fontId="5" fillId="27" borderId="26" xfId="0" applyNumberFormat="1" applyFont="1" applyFill="1" applyBorder="1" applyAlignment="1">
      <x:alignment horizontal="center" vertical="center" wrapText="1"/>
    </x:xf>
    <x:xf numFmtId="0" fontId="5" fillId="27" borderId="27" xfId="0" applyNumberFormat="1" applyFont="1" applyFill="1" applyBorder="1" applyAlignment="1">
      <x:alignment horizontal="center" vertical="center" wrapText="1"/>
    </x:xf>
    <x:xf numFmtId="0" fontId="5" fillId="27" borderId="28" xfId="0" applyNumberFormat="1" applyFont="1" applyFill="1" applyBorder="1" applyAlignment="1">
      <x:alignment horizontal="center" vertical="center" wrapText="1"/>
    </x:xf>
    <x:xf numFmtId="0" fontId="5" fillId="27" borderId="29" xfId="0" applyNumberFormat="1" applyFont="1" applyFill="1" applyBorder="1" applyAlignment="1">
      <x:alignment horizontal="center" vertical="center" wrapText="1"/>
    </x:xf>
    <x:xf numFmtId="0" fontId="5" fillId="27" xfId="0" applyNumberFormat="1" applyFont="1" applyFill="1" applyBorder="0" applyAlignment="1">
      <x:alignment horizontal="center" vertical="center" wrapText="1"/>
    </x:xf>
    <x:xf numFmtId="0" fontId="5" fillId="27" borderId="30" xfId="0" applyNumberFormat="1" applyFont="1" applyFill="1" applyBorder="1" applyAlignment="1">
      <x:alignment horizontal="center" vertical="center" wrapText="1"/>
    </x:xf>
    <x:xf numFmtId="0" fontId="5" fillId="27" borderId="31" xfId="0" applyNumberFormat="1" applyFont="1" applyFill="1" applyBorder="1" applyAlignment="1">
      <x:alignment horizontal="center" vertical="center" wrapText="1"/>
    </x:xf>
    <x:xf numFmtId="0" fontId="5" fillId="27" borderId="32" xfId="0" applyNumberFormat="1" applyFont="1" applyFill="1" applyBorder="1" applyAlignment="1">
      <x:alignment horizontal="center" vertical="center" wrapText="1"/>
    </x:xf>
    <x:xf numFmtId="0" fontId="5" fillId="27" borderId="33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26" xfId="0" applyNumberFormat="1" applyFont="1" applyFill="1" applyBorder="1"/>
    <x:xf numFmtId="0" fontId="5" fillId="28" borderId="27" xfId="0" applyNumberFormat="1" applyFont="1" applyFill="1" applyBorder="1"/>
    <x:xf numFmtId="0" fontId="5" fillId="28" borderId="28" xfId="0" applyNumberFormat="1" applyFont="1" applyFill="1" applyBorder="1"/>
    <x:xf numFmtId="0" fontId="5" fillId="28" borderId="29" xfId="0" applyNumberFormat="1" applyFont="1" applyFill="1" applyBorder="1"/>
    <x:xf numFmtId="0" fontId="5" fillId="28" xfId="0" applyNumberFormat="1" applyFont="1" applyFill="1" applyBorder="0"/>
    <x:xf numFmtId="0" fontId="5" fillId="28" borderId="30" xfId="0" applyNumberFormat="1" applyFont="1" applyFill="1" applyBorder="1"/>
    <x:xf numFmtId="0" fontId="5" fillId="28" borderId="31" xfId="0" applyNumberFormat="1" applyFont="1" applyFill="1" applyBorder="1"/>
    <x:xf numFmtId="0" fontId="5" fillId="28" borderId="32" xfId="0" applyNumberFormat="1" applyFont="1" applyFill="1" applyBorder="1"/>
    <x:xf numFmtId="0" fontId="5" fillId="28" borderId="33" xfId="0" applyNumberFormat="1" applyFont="1" applyFill="1" applyBorder="1"/>
    <x:xf numFmtId="0" fontId="5" fillId="28" borderId="26" xfId="0" applyNumberFormat="1" applyFont="1" applyFill="1" applyBorder="1" applyAlignment="1">
      <x:alignment wrapText="1"/>
    </x:xf>
    <x:xf numFmtId="0" fontId="5" fillId="28" borderId="27" xfId="0" applyNumberFormat="1" applyFont="1" applyFill="1" applyBorder="1" applyAlignment="1">
      <x:alignment wrapText="1"/>
    </x:xf>
    <x:xf numFmtId="0" fontId="5" fillId="28" borderId="28" xfId="0" applyNumberFormat="1" applyFont="1" applyFill="1" applyBorder="1" applyAlignment="1">
      <x:alignment wrapText="1"/>
    </x:xf>
    <x:xf numFmtId="0" fontId="5" fillId="28" borderId="29" xfId="0" applyNumberFormat="1" applyFont="1" applyFill="1" applyBorder="1" applyAlignment="1">
      <x:alignment wrapText="1"/>
    </x:xf>
    <x:xf numFmtId="0" fontId="5" fillId="28" xfId="0" applyNumberFormat="1" applyFont="1" applyFill="1" applyBorder="0" applyAlignment="1">
      <x:alignment wrapText="1"/>
    </x:xf>
    <x:xf numFmtId="0" fontId="5" fillId="28" borderId="30" xfId="0" applyNumberFormat="1" applyFont="1" applyFill="1" applyBorder="1" applyAlignment="1">
      <x:alignment wrapText="1"/>
    </x:xf>
    <x:xf numFmtId="0" fontId="5" fillId="28" borderId="31" xfId="0" applyNumberFormat="1" applyFont="1" applyFill="1" applyBorder="1" applyAlignment="1">
      <x:alignment wrapText="1"/>
    </x:xf>
    <x:xf numFmtId="0" fontId="5" fillId="28" borderId="32" xfId="0" applyNumberFormat="1" applyFont="1" applyFill="1" applyBorder="1" applyAlignment="1">
      <x:alignment wrapText="1"/>
    </x:xf>
    <x:xf numFmtId="0" fontId="5" fillId="28" borderId="33" xfId="0" applyNumberFormat="1" applyFont="1" applyFill="1" applyBorder="1" applyAlignment="1">
      <x:alignment wrapText="1"/>
    </x:xf>
    <x:xf numFmtId="0" fontId="5" fillId="28" borderId="26" xfId="0" applyNumberFormat="1" applyFont="1" applyFill="1" applyBorder="1" applyAlignment="1">
      <x:alignment horizontal="center" wrapText="1"/>
    </x:xf>
    <x:xf numFmtId="0" fontId="5" fillId="28" borderId="27" xfId="0" applyNumberFormat="1" applyFont="1" applyFill="1" applyBorder="1" applyAlignment="1">
      <x:alignment horizontal="center" wrapText="1"/>
    </x:xf>
    <x:xf numFmtId="0" fontId="5" fillId="28" borderId="28" xfId="0" applyNumberFormat="1" applyFont="1" applyFill="1" applyBorder="1" applyAlignment="1">
      <x:alignment horizontal="center" wrapText="1"/>
    </x:xf>
    <x:xf numFmtId="0" fontId="5" fillId="28" borderId="29" xfId="0" applyNumberFormat="1" applyFont="1" applyFill="1" applyBorder="1" applyAlignment="1">
      <x:alignment horizontal="center" wrapText="1"/>
    </x:xf>
    <x:xf numFmtId="0" fontId="5" fillId="28" xfId="0" applyNumberFormat="1" applyFont="1" applyFill="1" applyBorder="0" applyAlignment="1">
      <x:alignment horizontal="center" wrapText="1"/>
    </x:xf>
    <x:xf numFmtId="0" fontId="5" fillId="28" borderId="30" xfId="0" applyNumberFormat="1" applyFont="1" applyFill="1" applyBorder="1" applyAlignment="1">
      <x:alignment horizontal="center" wrapText="1"/>
    </x:xf>
    <x:xf numFmtId="0" fontId="5" fillId="28" borderId="31" xfId="0" applyNumberFormat="1" applyFont="1" applyFill="1" applyBorder="1" applyAlignment="1">
      <x:alignment horizontal="center" wrapText="1"/>
    </x:xf>
    <x:xf numFmtId="0" fontId="5" fillId="28" borderId="32" xfId="0" applyNumberFormat="1" applyFont="1" applyFill="1" applyBorder="1" applyAlignment="1">
      <x:alignment horizontal="center" wrapText="1"/>
    </x:xf>
    <x:xf numFmtId="0" fontId="5" fillId="28" borderId="33" xfId="0" applyNumberFormat="1" applyFont="1" applyFill="1" applyBorder="1" applyAlignment="1">
      <x:alignment horizontal="center" wrapText="1"/>
    </x:xf>
    <x:xf numFmtId="0" fontId="5" fillId="28" borderId="26" xfId="0" applyNumberFormat="1" applyFont="1" applyFill="1" applyBorder="1" applyAlignment="1">
      <x:alignment horizontal="center" vertical="center" wrapText="1"/>
    </x:xf>
    <x:xf numFmtId="0" fontId="5" fillId="28" borderId="27" xfId="0" applyNumberFormat="1" applyFont="1" applyFill="1" applyBorder="1" applyAlignment="1">
      <x:alignment horizontal="center" vertical="center" wrapText="1"/>
    </x:xf>
    <x:xf numFmtId="0" fontId="5" fillId="28" borderId="28" xfId="0" applyNumberFormat="1" applyFont="1" applyFill="1" applyBorder="1" applyAlignment="1">
      <x:alignment horizontal="center" vertical="center" wrapText="1"/>
    </x:xf>
    <x:xf numFmtId="0" fontId="5" fillId="28" borderId="29" xfId="0" applyNumberFormat="1" applyFont="1" applyFill="1" applyBorder="1" applyAlignment="1">
      <x:alignment horizontal="center" vertical="center" wrapText="1"/>
    </x:xf>
    <x:xf numFmtId="0" fontId="5" fillId="28" xfId="0" applyNumberFormat="1" applyFont="1" applyFill="1" applyBorder="0" applyAlignment="1">
      <x:alignment horizontal="center" vertical="center" wrapText="1"/>
    </x:xf>
    <x:xf numFmtId="0" fontId="5" fillId="28" borderId="30" xfId="0" applyNumberFormat="1" applyFont="1" applyFill="1" applyBorder="1" applyAlignment="1">
      <x:alignment horizontal="center" vertical="center" wrapText="1"/>
    </x:xf>
    <x:xf numFmtId="0" fontId="5" fillId="28" borderId="31" xfId="0" applyNumberFormat="1" applyFont="1" applyFill="1" applyBorder="1" applyAlignment="1">
      <x:alignment horizontal="center" vertical="center" wrapText="1"/>
    </x:xf>
    <x:xf numFmtId="0" fontId="5" fillId="28" borderId="32" xfId="0" applyNumberFormat="1" applyFont="1" applyFill="1" applyBorder="1" applyAlignment="1">
      <x:alignment horizontal="center" vertical="center" wrapText="1"/>
    </x:xf>
    <x:xf numFmtId="0" fontId="5" fillId="28" borderId="33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26" xfId="0" applyNumberFormat="1" applyFont="1" applyFill="1" applyBorder="1"/>
    <x:xf numFmtId="0" fontId="5" fillId="29" borderId="27" xfId="0" applyNumberFormat="1" applyFont="1" applyFill="1" applyBorder="1"/>
    <x:xf numFmtId="0" fontId="5" fillId="29" borderId="28" xfId="0" applyNumberFormat="1" applyFont="1" applyFill="1" applyBorder="1"/>
    <x:xf numFmtId="0" fontId="5" fillId="29" borderId="29" xfId="0" applyNumberFormat="1" applyFont="1" applyFill="1" applyBorder="1"/>
    <x:xf numFmtId="0" fontId="5" fillId="29" xfId="0" applyNumberFormat="1" applyFont="1" applyFill="1" applyBorder="0"/>
    <x:xf numFmtId="0" fontId="5" fillId="29" borderId="30" xfId="0" applyNumberFormat="1" applyFont="1" applyFill="1" applyBorder="1"/>
    <x:xf numFmtId="0" fontId="5" fillId="29" borderId="31" xfId="0" applyNumberFormat="1" applyFont="1" applyFill="1" applyBorder="1"/>
    <x:xf numFmtId="0" fontId="5" fillId="29" borderId="32" xfId="0" applyNumberFormat="1" applyFont="1" applyFill="1" applyBorder="1"/>
    <x:xf numFmtId="0" fontId="5" fillId="29" borderId="33" xfId="0" applyNumberFormat="1" applyFont="1" applyFill="1" applyBorder="1"/>
    <x:xf numFmtId="0" fontId="5" fillId="29" borderId="26" xfId="0" applyNumberFormat="1" applyFont="1" applyFill="1" applyBorder="1" applyAlignment="1">
      <x:alignment wrapText="1"/>
    </x:xf>
    <x:xf numFmtId="0" fontId="5" fillId="29" borderId="27" xfId="0" applyNumberFormat="1" applyFont="1" applyFill="1" applyBorder="1" applyAlignment="1">
      <x:alignment wrapText="1"/>
    </x:xf>
    <x:xf numFmtId="0" fontId="5" fillId="29" borderId="28" xfId="0" applyNumberFormat="1" applyFont="1" applyFill="1" applyBorder="1" applyAlignment="1">
      <x:alignment wrapText="1"/>
    </x:xf>
    <x:xf numFmtId="0" fontId="5" fillId="29" borderId="29" xfId="0" applyNumberFormat="1" applyFont="1" applyFill="1" applyBorder="1" applyAlignment="1">
      <x:alignment wrapText="1"/>
    </x:xf>
    <x:xf numFmtId="0" fontId="5" fillId="29" xfId="0" applyNumberFormat="1" applyFont="1" applyFill="1" applyBorder="0" applyAlignment="1">
      <x:alignment wrapText="1"/>
    </x:xf>
    <x:xf numFmtId="0" fontId="5" fillId="29" borderId="30" xfId="0" applyNumberFormat="1" applyFont="1" applyFill="1" applyBorder="1" applyAlignment="1">
      <x:alignment wrapText="1"/>
    </x:xf>
    <x:xf numFmtId="0" fontId="5" fillId="29" borderId="31" xfId="0" applyNumberFormat="1" applyFont="1" applyFill="1" applyBorder="1" applyAlignment="1">
      <x:alignment wrapText="1"/>
    </x:xf>
    <x:xf numFmtId="0" fontId="5" fillId="29" borderId="32" xfId="0" applyNumberFormat="1" applyFont="1" applyFill="1" applyBorder="1" applyAlignment="1">
      <x:alignment wrapText="1"/>
    </x:xf>
    <x:xf numFmtId="0" fontId="5" fillId="29" borderId="33" xfId="0" applyNumberFormat="1" applyFont="1" applyFill="1" applyBorder="1" applyAlignment="1">
      <x:alignment wrapText="1"/>
    </x:xf>
    <x:xf numFmtId="0" fontId="5" fillId="29" borderId="26" xfId="0" applyNumberFormat="1" applyFont="1" applyFill="1" applyBorder="1" applyAlignment="1">
      <x:alignment horizontal="center" wrapText="1"/>
    </x:xf>
    <x:xf numFmtId="0" fontId="5" fillId="29" borderId="27" xfId="0" applyNumberFormat="1" applyFont="1" applyFill="1" applyBorder="1" applyAlignment="1">
      <x:alignment horizontal="center" wrapText="1"/>
    </x:xf>
    <x:xf numFmtId="0" fontId="5" fillId="29" borderId="28" xfId="0" applyNumberFormat="1" applyFont="1" applyFill="1" applyBorder="1" applyAlignment="1">
      <x:alignment horizontal="center" wrapText="1"/>
    </x:xf>
    <x:xf numFmtId="0" fontId="5" fillId="29" borderId="29" xfId="0" applyNumberFormat="1" applyFont="1" applyFill="1" applyBorder="1" applyAlignment="1">
      <x:alignment horizontal="center" wrapText="1"/>
    </x:xf>
    <x:xf numFmtId="0" fontId="5" fillId="29" xfId="0" applyNumberFormat="1" applyFont="1" applyFill="1" applyBorder="0" applyAlignment="1">
      <x:alignment horizontal="center" wrapText="1"/>
    </x:xf>
    <x:xf numFmtId="0" fontId="5" fillId="29" borderId="30" xfId="0" applyNumberFormat="1" applyFont="1" applyFill="1" applyBorder="1" applyAlignment="1">
      <x:alignment horizontal="center" wrapText="1"/>
    </x:xf>
    <x:xf numFmtId="0" fontId="5" fillId="29" borderId="31" xfId="0" applyNumberFormat="1" applyFont="1" applyFill="1" applyBorder="1" applyAlignment="1">
      <x:alignment horizontal="center" wrapText="1"/>
    </x:xf>
    <x:xf numFmtId="0" fontId="5" fillId="29" borderId="32" xfId="0" applyNumberFormat="1" applyFont="1" applyFill="1" applyBorder="1" applyAlignment="1">
      <x:alignment horizontal="center" wrapText="1"/>
    </x:xf>
    <x:xf numFmtId="0" fontId="5" fillId="29" borderId="33" xfId="0" applyNumberFormat="1" applyFont="1" applyFill="1" applyBorder="1" applyAlignment="1">
      <x:alignment horizontal="center" wrapText="1"/>
    </x:xf>
    <x:xf numFmtId="0" fontId="5" fillId="29" borderId="26" xfId="0" applyNumberFormat="1" applyFont="1" applyFill="1" applyBorder="1" applyAlignment="1">
      <x:alignment horizontal="center" vertical="center" wrapText="1"/>
    </x:xf>
    <x:xf numFmtId="0" fontId="5" fillId="29" borderId="27" xfId="0" applyNumberFormat="1" applyFont="1" applyFill="1" applyBorder="1" applyAlignment="1">
      <x:alignment horizontal="center" vertical="center" wrapText="1"/>
    </x:xf>
    <x:xf numFmtId="0" fontId="5" fillId="29" borderId="28" xfId="0" applyNumberFormat="1" applyFont="1" applyFill="1" applyBorder="1" applyAlignment="1">
      <x:alignment horizontal="center" vertical="center" wrapText="1"/>
    </x:xf>
    <x:xf numFmtId="0" fontId="5" fillId="29" borderId="29" xfId="0" applyNumberFormat="1" applyFont="1" applyFill="1" applyBorder="1" applyAlignment="1">
      <x:alignment horizontal="center" vertical="center" wrapText="1"/>
    </x:xf>
    <x:xf numFmtId="0" fontId="5" fillId="29" xfId="0" applyNumberFormat="1" applyFont="1" applyFill="1" applyBorder="0" applyAlignment="1">
      <x:alignment horizontal="center" vertical="center" wrapText="1"/>
    </x:xf>
    <x:xf numFmtId="0" fontId="5" fillId="29" borderId="30" xfId="0" applyNumberFormat="1" applyFont="1" applyFill="1" applyBorder="1" applyAlignment="1">
      <x:alignment horizontal="center" vertical="center" wrapText="1"/>
    </x:xf>
    <x:xf numFmtId="0" fontId="5" fillId="29" borderId="31" xfId="0" applyNumberFormat="1" applyFont="1" applyFill="1" applyBorder="1" applyAlignment="1">
      <x:alignment horizontal="center" vertical="center" wrapText="1"/>
    </x:xf>
    <x:xf numFmtId="0" fontId="5" fillId="29" borderId="32" xfId="0" applyNumberFormat="1" applyFont="1" applyFill="1" applyBorder="1" applyAlignment="1">
      <x:alignment horizontal="center" vertical="center" wrapText="1"/>
    </x:xf>
    <x:xf numFmtId="0" fontId="5" fillId="29" borderId="33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6" fillId="30" borderId="0" xfId="0" applyNumberFormat="1" applyFont="1" applyFill="1" applyBorder="1" applyAlignment="1">
      <x:alignment wrapText="1"/>
    </x:xf>
    <x:xf numFmtId="0" fontId="16" fillId="30" borderId="0" xfId="0" applyNumberFormat="1" applyFont="1" applyFill="1" applyBorder="1" applyAlignment="1">
      <x:alignment horizontal="center" wrapText="1"/>
    </x:xf>
    <x:xf numFmtId="0" fontId="16" fillId="30" borderId="0" xfId="0" applyNumberFormat="1" applyFont="1" applyFill="1" applyBorder="1" applyAlignment="1">
      <x:alignment horizontal="center" vertical="center" wrapText="1"/>
    </x:xf>
    <x:xf numFmtId="0" fontId="17" fillId="28" borderId="0" xfId="0" applyNumberFormat="1" applyFont="1" applyFill="1" applyBorder="1"/>
    <x:xf numFmtId="0" fontId="17" fillId="28" borderId="0" xfId="0" applyNumberFormat="1" applyFont="1" applyFill="1" applyBorder="1" applyAlignment="1">
      <x:alignment wrapText="1"/>
    </x:xf>
    <x:xf numFmtId="0" fontId="17" fillId="28" borderId="0" xfId="0" applyNumberFormat="1" applyFont="1" applyFill="1" applyBorder="1" applyAlignment="1">
      <x:alignment horizontal="center" wrapText="1"/>
    </x:xf>
    <x:xf numFmtId="0" fontId="17" fillId="28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0" fontId="0" fillId="31" borderId="0" xfId="0" applyNumberFormat="1" applyFont="1" applyFill="1" applyBorder="1"/>
    <x:xf numFmtId="0" fontId="8" fillId="31" borderId="0" xfId="0" applyNumberFormat="1" applyFont="1" applyFill="1" applyBorder="1"/>
    <x:xf numFmtId="0" fontId="8" fillId="31" borderId="0" xfId="0" applyNumberFormat="1" applyFont="1" applyFill="1" applyBorder="1" applyAlignment="1">
      <x:alignment wrapText="1"/>
    </x:xf>
    <x:xf numFmtId="0" fontId="8" fillId="31" borderId="26" xfId="0" applyNumberFormat="1" applyFont="1" applyFill="1" applyBorder="1" applyAlignment="1">
      <x:alignment wrapText="1"/>
    </x:xf>
    <x:xf numFmtId="0" fontId="8" fillId="31" borderId="27" xfId="0" applyNumberFormat="1" applyFont="1" applyFill="1" applyBorder="1" applyAlignment="1">
      <x:alignment wrapText="1"/>
    </x:xf>
    <x:xf numFmtId="0" fontId="8" fillId="31" borderId="28" xfId="0" applyNumberFormat="1" applyFont="1" applyFill="1" applyBorder="1" applyAlignment="1">
      <x:alignment wrapText="1"/>
    </x:xf>
    <x:xf numFmtId="0" fontId="18" fillId="26" borderId="0" xfId="0" applyNumberFormat="1" applyFont="1" applyFill="1" applyBorder="1"/>
    <x:xf numFmtId="0" fontId="18" fillId="26" borderId="0" xfId="0" applyNumberFormat="1" applyFont="1" applyFill="1" applyBorder="1" applyAlignment="1">
      <x:alignment wrapText="1"/>
    </x:xf>
    <x:xf numFmtId="0" fontId="18" fillId="26" borderId="0" xfId="0" applyNumberFormat="1" applyFont="1" applyFill="1" applyBorder="1" applyAlignment="1">
      <x:alignment horizontal="center" wrapText="1"/>
    </x:xf>
    <x:xf numFmtId="0" fontId="18" fillId="26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center"/>
    </x:xf>
    <x:xf numFmtId="0" fontId="1" fillId="24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horizontal="center"/>
    </x:xf>
    <x:xf numFmtId="0" fontId="19" fillId="3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</x:font>
      <x:fill>
        <x:patternFill>
          <x:bgColor rgb="FFFDE2E2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82387c7604a5a" /><Relationship Type="http://schemas.openxmlformats.org/officeDocument/2006/relationships/theme" Target="/xl/theme/theme1.xml" Id="R77f36fff46074fda" /><Relationship Type="http://schemas.openxmlformats.org/officeDocument/2006/relationships/sharedStrings" Target="/xl/sharedStrings.xml" Id="R6f37f799c34b40f3" /><Relationship Type="http://schemas.openxmlformats.org/officeDocument/2006/relationships/worksheet" Target="/xl/worksheets/sheet1.xml" Id="R27d0524ace014921" /><Relationship Type="http://schemas.openxmlformats.org/officeDocument/2006/relationships/worksheet" Target="/xl/worksheets/sheet2.xml" Id="R47aa84e6de324263" /><Relationship Type="http://schemas.openxmlformats.org/officeDocument/2006/relationships/worksheet" Target="/xl/worksheets/sheet3.xml" Id="Rfb069ca17a4846c8" /><Relationship Type="http://schemas.openxmlformats.org/officeDocument/2006/relationships/worksheet" Target="/xl/worksheets/sheet4.xml" Id="Rce4f50f026bd4968" /><Relationship Type="http://schemas.openxmlformats.org/officeDocument/2006/relationships/worksheet" Target="/xl/worksheets/sheet5.xml" Id="R0531b861a9e14687" /><Relationship Type="http://schemas.openxmlformats.org/officeDocument/2006/relationships/worksheet" Target="/xl/worksheets/sheet6.xml" Id="R27328742212246d0" /><Relationship Type="http://schemas.openxmlformats.org/officeDocument/2006/relationships/worksheet" Target="/xl/worksheets/sheet7.xml" Id="R57be62d2571546e3" /><Relationship Type="http://schemas.openxmlformats.org/officeDocument/2006/relationships/worksheet" Target="/xl/worksheets/sheet8.xml" Id="R86b50990fc6c48d4" /><Relationship Type="http://schemas.openxmlformats.org/officeDocument/2006/relationships/worksheet" Target="/xl/worksheets/sheet9.xml" Id="R59b7f7a60ab8481f" /><Relationship Type="http://schemas.openxmlformats.org/officeDocument/2006/relationships/worksheet" Target="/xl/worksheets/sheet10.xml" Id="Red121ab4642e4cdb" /><Relationship Type="http://schemas.openxmlformats.org/officeDocument/2006/relationships/worksheet" Target="/xl/worksheets/sheet11.xml" Id="Rbacb4735e27744b1" /><Relationship Type="http://schemas.openxmlformats.org/officeDocument/2006/relationships/worksheet" Target="/xl/worksheets/sheet12.xml" Id="R5e9809bced65495e" /><Relationship Type="http://schemas.openxmlformats.org/officeDocument/2006/relationships/worksheet" Target="/xl/worksheets/sheet13.xml" Id="Rd1a31862ff1c4b41" /><Relationship Type="http://schemas.openxmlformats.org/officeDocument/2006/relationships/worksheet" Target="/xl/worksheets/sheet14.xml" Id="R334c4430a71a49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b73bc56db24d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投資判断レーダー</a:t>
            </a:r>
          </a:p>
        </c:rich>
      </c:tx>
    </c:title>
    <c:plotArea>
      <c:radarChart>
        <c:radarStyle val="standard"/>
        <c:ser>
          <c:idx val="0"/>
          <c:order val="0"/>
          <c:tx>
            <c:v>投資対応必要度</c:v>
          </c:tx>
          <c:cat>
            <c:strRef>
              <c:f>'A3_Radar_Data'!$A$3:$A$7</c:f>
              <c:strCache>
                <c:ptCount val="0"/>
              </c:strCache>
            </c:strRef>
          </c:cat>
          <c:val>
            <c:numRef>
              <c:f>'A3_Radar_Data'!$B$3:$B$7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18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73bc56db24d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d8b730fa114ac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28" hidden="0" customWidth="1"/>
    <x:col min="21" max="21" width="15" hidden="0" customWidth="1"/>
    <x:col min="22" max="22" width="28" hidden="0" customWidth="1"/>
  </x:cols>
  <x:sheetData>
    <x:row r="1">
      <x:c r="A1" s="4" t="str">
        <x:v>Energy Doctor 公開診断計算Engine v1.0｜Microsoft Forms回答取込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>
      <x:c r="A2" s="10" t="str">
        <x:v>公開18問（V2.2 シート68）を入力。所要時間は設計条件にせず、模擬案件・実測後にLP表示を決定する。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3">
      <x:c r="A3" s="18" t="str">
        <x:v>Case_ID</x:v>
      </x:c>
      <x:c r="B3" s="18" t="str">
        <x:v>回答日時</x:v>
      </x:c>
      <x:c r="C3" s="18" t="str">
        <x:v>会社名</x:v>
      </x:c>
      <x:c r="D3" s="18" t="str">
        <x:v>事業所名</x:v>
      </x:c>
      <x:c r="E3" s="18" t="str">
        <x:v>WQ-001</x:v>
      </x:c>
      <x:c r="F3" s="18" t="str">
        <x:v>WQ-101</x:v>
      </x:c>
      <x:c r="G3" s="18" t="str">
        <x:v>WQ-102</x:v>
      </x:c>
      <x:c r="H3" s="18" t="str">
        <x:v>WQ-103</x:v>
      </x:c>
      <x:c r="I3" s="18" t="str">
        <x:v>WQ-104</x:v>
      </x:c>
      <x:c r="J3" s="18" t="str">
        <x:v>WQ-201</x:v>
      </x:c>
      <x:c r="K3" s="18" t="str">
        <x:v>WQ-202</x:v>
      </x:c>
      <x:c r="L3" s="18" t="str">
        <x:v>WQ-203</x:v>
      </x:c>
      <x:c r="M3" s="18" t="str">
        <x:v>WQ-204</x:v>
      </x:c>
      <x:c r="N3" s="18" t="str">
        <x:v>WQ-301</x:v>
      </x:c>
      <x:c r="O3" s="18" t="str">
        <x:v>WQ-302</x:v>
      </x:c>
      <x:c r="P3" s="18" t="str">
        <x:v>WQ-303</x:v>
      </x:c>
      <x:c r="Q3" s="18" t="str">
        <x:v>WQ-401</x:v>
      </x:c>
      <x:c r="R3" s="18" t="str">
        <x:v>WQ-402</x:v>
      </x:c>
      <x:c r="S3" s="18" t="str">
        <x:v>WQ-403</x:v>
      </x:c>
      <x:c r="T3" s="18" t="str">
        <x:v>WQ-404</x:v>
      </x:c>
      <x:c r="U3" s="18" t="str">
        <x:v>WQ-405</x:v>
      </x:c>
      <x:c r="V3" s="18" t="str">
        <x:v>WQ-501</x:v>
      </x:c>
    </x:row>
    <x:row r="4">
      <x:c r="A4" s="24" t="str">
        <x:v>TC-WEB-A</x:v>
      </x:c>
      <x:c r="B4" s="24" t="str">
        <x:v>2026-08-13 10:00</x:v>
      </x:c>
      <x:c r="C4" s="24" t="str">
        <x:v>SAMPLE製作所</x:v>
      </x:c>
      <x:c r="D4" s="24" t="str">
        <x:v>大阪工場</x:v>
      </x:c>
      <x:c r="E4" s="24" t="str">
        <x:v>設備更新／省エネ／投資優先順位</x:v>
      </x:c>
      <x:c r="F4" s="24" t="str">
        <x:v>一部把握</x:v>
      </x:c>
      <x:c r="G4" s="24" t="str">
        <x:v>記録のみ</x:v>
      </x:c>
      <x:c r="H4" s="24" t="str">
        <x:v>ない</x:v>
      </x:c>
      <x:c r="I4" s="24" t="str">
        <x:v>未確認</x:v>
      </x:c>
      <x:c r="J4" s="24" t="str">
        <x:v>請求額のみ</x:v>
      </x:c>
      <x:c r="K4" s="24" t="str">
        <x:v>全体のみ</x:v>
      </x:c>
      <x:c r="L4" s="24" t="str">
        <x:v>困難</x:v>
      </x:c>
      <x:c r="M4" s="24" t="str">
        <x:v>検討のみ</x:v>
      </x:c>
      <x:c r="N4" s="24" t="str">
        <x:v>結露／暑熱</x:v>
      </x:c>
      <x:c r="O4" s="24" t="str">
        <x:v>問題時のみ</x:v>
      </x:c>
      <x:c r="P4" s="24" t="str">
        <x:v>影響の可能性</x:v>
      </x:c>
      <x:c r="Q4" s="24" t="str">
        <x:v>一部ある</x:v>
      </x:c>
      <x:c r="R4" s="24" t="str">
        <x:v>担当者ごと</x:v>
      </x:c>
      <x:c r="S4" s="24" t="str">
        <x:v>案件ごと</x:v>
      </x:c>
      <x:c r="T4" s="24" t="str">
        <x:v>供給継続</x:v>
      </x:c>
      <x:c r="U4" s="24" t="str">
        <x:v>1年以内</x:v>
      </x:c>
      <x:c r="V4" s="24" t="str">
        <x:v>受変電設備の更新時期と停電対策が気になっている</x:v>
      </x:c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</x:row>
  </x:sheetData>
  <x:mergeCells>
    <x:mergeCell ref="A1:V1"/>
    <x:mergeCell ref="A2:V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公開WQ 正規化｜Web Response Score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不明は0点にしない。Scoreは空欄、Unknown=1、Evidence C=35。通常Web自己申告はL2相当としてC=70。正式Qスコアを上書きしない。</x:v>
      </x:c>
      <x:c r="B2" s="10"/>
      <x:c r="C2" s="10"/>
      <x:c r="D2" s="10"/>
      <x:c r="E2" s="10"/>
      <x:c r="F2" s="10"/>
      <x:c r="G2" s="10"/>
      <x:c r="H2" s="10"/>
    </x:row>
    <x:row r="3">
      <x:c r="A3" s="18" t="str">
        <x:v>WQ</x:v>
      </x:c>
      <x:c r="B3" s="18" t="str">
        <x:v>テーマ</x:v>
      </x:c>
      <x:c r="C3" s="18" t="str">
        <x:v>回答</x:v>
      </x:c>
      <x:c r="D3" s="18" t="str">
        <x:v>状態Score</x:v>
      </x:c>
      <x:c r="E3" s="18" t="str">
        <x:v>緊急Score</x:v>
      </x:c>
      <x:c r="F3" s="18" t="str">
        <x:v>Unknown</x:v>
      </x:c>
      <x:c r="G3" s="18" t="str">
        <x:v>Evidence C</x:v>
      </x:c>
      <x:c r="H3" s="18" t="str">
        <x:v>用途</x:v>
      </x:c>
    </x:row>
    <x:row r="4">
      <x:c r="A4" s="24" t="str">
        <x:v>WQ-101</x:v>
      </x:c>
      <x:c r="B4" s="24" t="str">
        <x:v>設備年式把握</x:v>
      </x:c>
      <x:c r="C4" s="24" t="str">
        <x:f>Forms_Response!F4</x:f>
        <x:v>一部把握</x:v>
      </x:c>
      <x:c r="D4" s="24" t="n">
        <x:f>IF(C4="把握している",100,IF(C4="一部把握",60,IF(C4="ほとんど把握していない",20,"")))</x:f>
        <x:v>60</x:v>
      </x:c>
      <x:c r="E4" s="24"/>
      <x:c r="F4" s="24" t="n">
        <x:f>--(OR(C4="不明",C4=""))</x:f>
        <x:v>0</x:v>
      </x:c>
      <x:c r="G4" s="24" t="n">
        <x:f>IF(F4=1,35,70)</x:f>
        <x:v>70</x:v>
      </x:c>
      <x:c r="H4" s="24" t="str">
        <x:v>EDI/DRI</x:v>
      </x:c>
    </x:row>
    <x:row r="5">
      <x:c r="A5" s="24" t="str">
        <x:v>WQ-102</x:v>
      </x:c>
      <x:c r="B5" s="24" t="str">
        <x:v>故障履歴</x:v>
      </x:c>
      <x:c r="C5" s="24" t="str">
        <x:f>Forms_Response!G4</x:f>
        <x:v>記録のみ</x:v>
      </x:c>
      <x:c r="D5" s="24" t="n">
        <x:f>IF(C5="定期的に確認",100,IF(C5="記録のみ",60,IF(C5="記録なし",20,"")))</x:f>
        <x:v>60</x:v>
      </x:c>
      <x:c r="E5" s="24"/>
      <x:c r="F5" s="24" t="n">
        <x:f>--(OR(C5="不明",C5=""))</x:f>
        <x:v>0</x:v>
      </x:c>
      <x:c r="G5" s="24" t="n">
        <x:f>IF(F5=1,35,70)</x:f>
        <x:v>70</x:v>
      </x:c>
      <x:c r="H5" s="24" t="str">
        <x:v>EDI/DRI</x:v>
      </x:c>
    </x:row>
    <x:row r="6">
      <x:c r="A6" s="24" t="str">
        <x:v>WQ-103</x:v>
      </x:c>
      <x:c r="B6" s="24" t="str">
        <x:v>代替手段</x:v>
      </x:c>
      <x:c r="C6" s="24" t="str">
        <x:f>Forms_Response!H4</x:f>
        <x:v>ない</x:v>
      </x:c>
      <x:c r="D6" s="24" t="n">
        <x:f>IF(C6="十分ある",100,IF(C6="一部ある",60,IF(C6="ない",0,"")))</x:f>
        <x:v>0</x:v>
      </x:c>
      <x:c r="E6" s="24" t="n">
        <x:f>IF(C6="十分ある",15,IF(C6="一部ある",40,IF(C6="ない",75,"")))</x:f>
        <x:v>75</x:v>
      </x:c>
      <x:c r="F6" s="24" t="n">
        <x:f>--(OR(C6="不明",C6=""))</x:f>
        <x:v>0</x:v>
      </x:c>
      <x:c r="G6" s="24" t="n">
        <x:f>IF(F6=1,35,70)</x:f>
        <x:v>70</x:v>
      </x:c>
      <x:c r="H6" s="24" t="str">
        <x:v>EDI/EPI</x:v>
      </x:c>
    </x:row>
    <x:row r="7">
      <x:c r="A7" s="24" t="str">
        <x:v>WQ-104</x:v>
      </x:c>
      <x:c r="B7" s="24" t="str">
        <x:v>保守・予備品</x:v>
      </x:c>
      <x:c r="C7" s="24" t="str">
        <x:f>Forms_Response!I4</x:f>
        <x:v>未確認</x:v>
      </x:c>
      <x:c r="D7" s="24" t="n">
        <x:f>IF(C7="定期確認",100,IF(C7="一部確認",60,IF(C7="未確認",20,"")))</x:f>
        <x:v>20</x:v>
      </x:c>
      <x:c r="E7" s="24" t="n">
        <x:f>IF(C7="定期確認",15,IF(C7="一部確認",40,IF(C7="未確認",75,"")))</x:f>
        <x:v>75</x:v>
      </x:c>
      <x:c r="F7" s="24" t="n">
        <x:f>--(OR(C7="不明",C7=""))</x:f>
        <x:v>0</x:v>
      </x:c>
      <x:c r="G7" s="24" t="n">
        <x:f>IF(F7=1,35,70)</x:f>
        <x:v>70</x:v>
      </x:c>
      <x:c r="H7" s="24" t="str">
        <x:v>EDI/DRI/EPI</x:v>
      </x:c>
    </x:row>
    <x:row r="8">
      <x:c r="A8" s="24" t="str">
        <x:v>WQ-201</x:v>
      </x:c>
      <x:c r="B8" s="24" t="str">
        <x:v>電力・デマンド</x:v>
      </x:c>
      <x:c r="C8" s="24" t="str">
        <x:f>Forms_Response!J4</x:f>
        <x:v>請求額のみ</x:v>
      </x:c>
      <x:c r="D8" s="24" t="n">
        <x:f>IF(C8="毎月確認",100,IF(C8="年数回確認",70,IF(C8="請求額のみ",35,IF(C8="未確認",10,""))))</x:f>
        <x:v>35</x:v>
      </x:c>
      <x:c r="E8" s="24"/>
      <x:c r="F8" s="24" t="n">
        <x:f>--(OR(C8="不明",C8=""))</x:f>
        <x:v>0</x:v>
      </x:c>
      <x:c r="G8" s="24" t="n">
        <x:f>IF(F8=1,35,70)</x:f>
        <x:v>70</x:v>
      </x:c>
      <x:c r="H8" s="24" t="str">
        <x:v>EDI/DRI</x:v>
      </x:c>
    </x:row>
    <x:row r="9">
      <x:c r="A9" s="24" t="str">
        <x:v>WQ-202</x:v>
      </x:c>
      <x:c r="B9" s="24" t="str">
        <x:v>使用内訳</x:v>
      </x:c>
      <x:c r="C9" s="24" t="str">
        <x:f>Forms_Response!K4</x:f>
        <x:v>全体のみ</x:v>
      </x:c>
      <x:c r="D9" s="24" t="n">
        <x:f>IF(C9="詳細に把握",100,IF(C9="一部把握",60,IF(C9="全体のみ",30,IF(C9="未把握",10,""))))</x:f>
        <x:v>30</x:v>
      </x:c>
      <x:c r="E9" s="24"/>
      <x:c r="F9" s="24" t="n">
        <x:f>--(OR(C9="不明",C9=""))</x:f>
        <x:v>0</x:v>
      </x:c>
      <x:c r="G9" s="24" t="n">
        <x:f>IF(F9=1,35,70)</x:f>
        <x:v>70</x:v>
      </x:c>
      <x:c r="H9" s="24" t="str">
        <x:v>EDI/DRI</x:v>
      </x:c>
    </x:row>
    <x:row r="10">
      <x:c r="A10" s="24" t="str">
        <x:v>WQ-203</x:v>
      </x:c>
      <x:c r="B10" s="24" t="str">
        <x:v>異常原因確認</x:v>
      </x:c>
      <x:c r="C10" s="24" t="str">
        <x:f>Forms_Response!L4</x:f>
        <x:v>困難</x:v>
      </x:c>
      <x:c r="D10" s="24" t="n">
        <x:f>IF(C10="迅速に確認",100,IF(C10="時間をかければ確認",60,IF(C10="困難",20,"")))</x:f>
        <x:v>20</x:v>
      </x:c>
      <x:c r="E10" s="24"/>
      <x:c r="F10" s="24" t="n">
        <x:f>--(OR(C10="不明",C10=""))</x:f>
        <x:v>0</x:v>
      </x:c>
      <x:c r="G10" s="24" t="n">
        <x:f>IF(F10=1,35,70)</x:f>
        <x:v>70</x:v>
      </x:c>
      <x:c r="H10" s="24" t="str">
        <x:v>DRI</x:v>
      </x:c>
    </x:row>
    <x:row r="11">
      <x:c r="A11" s="24" t="str">
        <x:v>WQ-204</x:v>
      </x:c>
      <x:c r="B11" s="24" t="str">
        <x:v>省エネ改善</x:v>
      </x:c>
      <x:c r="C11" s="24" t="str">
        <x:f>Forms_Response!M4</x:f>
        <x:v>検討のみ</x:v>
      </x:c>
      <x:c r="D11" s="24" t="n">
        <x:f>IF(C11="複数実施",100,IF(C11="一部実施",60,IF(C11="検討のみ",35,IF(C11="未実施",20,""))))</x:f>
        <x:v>35</x:v>
      </x:c>
      <x:c r="E11" s="24"/>
      <x:c r="F11" s="24" t="n">
        <x:f>--(OR(C11="不明",C11=""))</x:f>
        <x:v>0</x:v>
      </x:c>
      <x:c r="G11" s="24" t="n">
        <x:f>IF(F11=1,35,70)</x:f>
        <x:v>70</x:v>
      </x:c>
      <x:c r="H11" s="24" t="str">
        <x:v>EDI/DRI/EPI</x:v>
      </x:c>
    </x:row>
    <x:row r="12">
      <x:c r="A12" s="24" t="str">
        <x:v>WQ-301</x:v>
      </x:c>
      <x:c r="B12" s="24" t="str">
        <x:v>建屋環境</x:v>
      </x:c>
      <x:c r="C12" s="24" t="str">
        <x:f>Forms_Response!N4</x:f>
        <x:v>結露／暑熱</x:v>
      </x:c>
      <x:c r="D12" s="24" t="n">
        <x:f>IF(C12="特になし",100,IF(OR(C12="不明",C12=""),"",60))</x:f>
        <x:v>60</x:v>
      </x:c>
      <x:c r="E12" s="24"/>
      <x:c r="F12" s="24" t="n">
        <x:f>--(OR(C12="不明",C12=""))</x:f>
        <x:v>0</x:v>
      </x:c>
      <x:c r="G12" s="24" t="n">
        <x:f>IF(F12=1,35,70)</x:f>
        <x:v>70</x:v>
      </x:c>
      <x:c r="H12" s="24" t="str">
        <x:v>EDI/EPI</x:v>
      </x:c>
    </x:row>
    <x:row r="13">
      <x:c r="A13" s="24" t="str">
        <x:v>WQ-302</x:v>
      </x:c>
      <x:c r="B13" s="24" t="str">
        <x:v>建屋点検</x:v>
      </x:c>
      <x:c r="C13" s="24" t="str">
        <x:f>Forms_Response!O4</x:f>
        <x:v>問題時のみ</x:v>
      </x:c>
      <x:c r="D13" s="24" t="n">
        <x:f>IF(C13="定期点検",100,IF(C13="問題時のみ",60,IF(C13="ほとんど未確認",20,"")))</x:f>
        <x:v>60</x:v>
      </x:c>
      <x:c r="E13" s="24"/>
      <x:c r="F13" s="24" t="n">
        <x:f>--(OR(C13="不明",C13=""))</x:f>
        <x:v>0</x:v>
      </x:c>
      <x:c r="G13" s="24" t="n">
        <x:f>IF(F13=1,35,70)</x:f>
        <x:v>70</x:v>
      </x:c>
      <x:c r="H13" s="24" t="str">
        <x:v>EDI/DRI</x:v>
      </x:c>
    </x:row>
    <x:row r="14">
      <x:c r="A14" s="24" t="str">
        <x:v>WQ-303</x:v>
      </x:c>
      <x:c r="B14" s="24" t="str">
        <x:v>事業影響</x:v>
      </x:c>
      <x:c r="C14" s="24" t="str">
        <x:f>Forms_Response!P4</x:f>
        <x:v>影響の可能性</x:v>
      </x:c>
      <x:c r="D14" s="24" t="n">
        <x:f>IF(C14="明確な影響あり",25,IF(C14="影響の可能性",65,IF(C14="影響なし",100,"")))</x:f>
        <x:v>65</x:v>
      </x:c>
      <x:c r="E14" s="24" t="n">
        <x:f>IF(C14="明確な影響あり",100,IF(C14="影響の可能性",75,IF(C14="影響なし",15,"")))</x:f>
        <x:v>75</x:v>
      </x:c>
      <x:c r="F14" s="24" t="n">
        <x:f>--(OR(C14="不明",C14=""))</x:f>
        <x:v>0</x:v>
      </x:c>
      <x:c r="G14" s="24" t="n">
        <x:f>IF(F14=1,35,70)</x:f>
        <x:v>70</x:v>
      </x:c>
      <x:c r="H14" s="24" t="str">
        <x:v>EDI/EPI</x:v>
      </x:c>
    </x:row>
    <x:row r="15">
      <x:c r="A15" s="24" t="str">
        <x:v>WQ-401</x:v>
      </x:c>
      <x:c r="B15" s="24" t="str">
        <x:v>管理体制</x:v>
      </x:c>
      <x:c r="C15" s="24" t="str">
        <x:f>Forms_Response!Q4</x:f>
        <x:v>一部ある</x:v>
      </x:c>
      <x:c r="D15" s="24" t="n">
        <x:f>IF(C15="明確にある",100,IF(C15="一部ある",60,IF(C15="ない",20,"")))</x:f>
        <x:v>60</x:v>
      </x:c>
      <x:c r="E15" s="24"/>
      <x:c r="F15" s="24" t="n">
        <x:f>--(OR(C15="不明",C15=""))</x:f>
        <x:v>0</x:v>
      </x:c>
      <x:c r="G15" s="24" t="n">
        <x:f>IF(F15=1,35,70)</x:f>
        <x:v>70</x:v>
      </x:c>
      <x:c r="H15" s="24" t="str">
        <x:v>EDI/DRI</x:v>
      </x:c>
    </x:row>
    <x:row r="16">
      <x:c r="A16" s="24" t="str">
        <x:v>WQ-402</x:v>
      </x:c>
      <x:c r="B16" s="24" t="str">
        <x:v>判断基準</x:v>
      </x:c>
      <x:c r="C16" s="24" t="str">
        <x:f>Forms_Response!R4</x:f>
        <x:v>担当者ごと</x:v>
      </x:c>
      <x:c r="D16" s="24" t="n">
        <x:f>IF(C16="明文化済み",100,IF(C16="慣例で判断",70,IF(C16="担当者ごと",35,IF(C16="基準なし",20,""))))</x:f>
        <x:v>35</x:v>
      </x:c>
      <x:c r="E16" s="24"/>
      <x:c r="F16" s="24" t="n">
        <x:f>--(OR(C16="不明",C16=""))</x:f>
        <x:v>0</x:v>
      </x:c>
      <x:c r="G16" s="24" t="n">
        <x:f>IF(F16=1,35,70)</x:f>
        <x:v>70</x:v>
      </x:c>
      <x:c r="H16" s="24" t="str">
        <x:v>DRI</x:v>
      </x:c>
    </x:row>
    <x:row r="17">
      <x:c r="A17" s="24" t="str">
        <x:v>WQ-403</x:v>
      </x:c>
      <x:c r="B17" s="24" t="str">
        <x:v>中期計画</x:v>
      </x:c>
      <x:c r="C17" s="24" t="str">
        <x:f>Forms_Response!S4</x:f>
        <x:v>案件ごと</x:v>
      </x:c>
      <x:c r="D17" s="24" t="n">
        <x:f>IF(C17="予算付き計画あり",100,IF(C17="計画のみ",70,IF(C17="案件ごと",40,IF(C17="計画なし",20,""))))</x:f>
        <x:v>40</x:v>
      </x:c>
      <x:c r="E17" s="24"/>
      <x:c r="F17" s="24" t="n">
        <x:f>--(OR(C17="不明",C17=""))</x:f>
        <x:v>0</x:v>
      </x:c>
      <x:c r="G17" s="24" t="n">
        <x:f>IF(F17=1,35,70)</x:f>
        <x:v>70</x:v>
      </x:c>
      <x:c r="H17" s="24" t="str">
        <x:v>EDI/DRI</x:v>
      </x:c>
    </x:row>
    <x:row r="18">
      <x:c r="A18" s="24" t="str">
        <x:v>WQ-404</x:v>
      </x:c>
      <x:c r="B18" s="24" t="str">
        <x:v>重大未解決</x:v>
      </x:c>
      <x:c r="C18" s="24" t="str">
        <x:f>Forms_Response!T4</x:f>
        <x:v>供給継続</x:v>
      </x:c>
      <x:c r="D18" s="24"/>
      <x:c r="E18" s="24"/>
      <x:c r="F18" s="24" t="n">
        <x:f>--(OR(C18="不明",C18=""))</x:f>
        <x:v>0</x:v>
      </x:c>
      <x:c r="G18" s="24" t="n">
        <x:f>IF(F18=1,35,70)</x:f>
        <x:v>70</x:v>
      </x:c>
      <x:c r="H18" s="24" t="str">
        <x:v>Guardrail</x:v>
      </x:c>
    </x:row>
    <x:row r="19">
      <x:c r="A19" s="24" t="str">
        <x:v>WQ-405</x:v>
      </x:c>
      <x:c r="B19" s="24" t="str">
        <x:v>対応時期</x:v>
      </x:c>
      <x:c r="C19" s="24" t="str">
        <x:f>Forms_Response!U4</x:f>
        <x:v>1年以内</x:v>
      </x:c>
      <x:c r="D19" s="24"/>
      <x:c r="E19" s="24" t="n">
        <x:f>IF(C19="3か月以内",100,IF(C19="6か月以内",75,IF(C19="1年以内",75,IF(C19="時期未定",20,""))))</x:f>
        <x:v>75</x:v>
      </x:c>
      <x:c r="F19" s="24" t="n">
        <x:f>--(OR(C19="不明",C19=""))</x:f>
        <x:v>0</x:v>
      </x:c>
      <x:c r="G19" s="24" t="n">
        <x:f>IF(F19=1,35,70)</x:f>
        <x:v>70</x:v>
      </x:c>
      <x:c r="H19" s="24" t="str">
        <x:v>EPI横断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5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4" t="str">
        <x:v>課題候補生成｜TOP5正式式へ渡す I/U/P/R/C/O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課題は製品名ではなく『確認・判断すべき課題』として生成。I/U/P/R/C/Oは公開回答からの簡易推定。正式診断では詳細質問・Evidenceで更新する。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8" t="str">
        <x:v>Issue_ID</x:v>
      </x:c>
      <x:c r="B3" s="18" t="str">
        <x:v>分野</x:v>
      </x:c>
      <x:c r="C3" s="18" t="str">
        <x:v>課題名称</x:v>
      </x:c>
      <x:c r="D3" s="18" t="str">
        <x:v>主WQ</x:v>
      </x:c>
      <x:c r="E3" s="18" t="str">
        <x:v>I</x:v>
      </x:c>
      <x:c r="F3" s="18" t="str">
        <x:v>U</x:v>
      </x:c>
      <x:c r="G3" s="18" t="str">
        <x:v>P</x:v>
      </x:c>
      <x:c r="H3" s="18" t="str">
        <x:v>R</x:v>
      </x:c>
      <x:c r="I3" s="18" t="str">
        <x:v>C</x:v>
      </x:c>
      <x:c r="J3" s="18" t="str">
        <x:v>O</x:v>
      </x:c>
      <x:c r="K3" s="18" t="str">
        <x:v>Guard加算</x:v>
      </x:c>
      <x:c r="L3" s="18" t="str">
        <x:v>発火</x:v>
      </x:c>
    </x:row>
    <x:row r="4">
      <x:c r="A4" s="24" t="str">
        <x:v>IS-01</x:v>
      </x:c>
      <x:c r="B4" s="24" t="str">
        <x:v>設備</x:v>
      </x:c>
      <x:c r="C4" s="24" t="str">
        <x:v>主要設備の年式・更新履歴整理</x:v>
      </x:c>
      <x:c r="D4" s="24" t="str">
        <x:v>WQ-101</x:v>
      </x:c>
      <x:c r="E4" s="24" t="n">
        <x:f>40</x:f>
        <x:v>40</x:v>
      </x:c>
      <x:c r="F4" s="24" t="n">
        <x:f>WQ_Normalize!E19</x:f>
        <x:v>75</x:v>
      </x:c>
      <x:c r="G4" s="24" t="n">
        <x:f>IF(WQ_Normalize!D4=60,40,IF(WQ_Normalize!D4=20,75,0))</x:f>
        <x:v>40</x:v>
      </x:c>
      <x:c r="H4" s="24" t="n">
        <x:f>Web_KPI!F6</x:f>
        <x:v>30</x:v>
      </x:c>
      <x:c r="I4" s="24" t="n">
        <x:f>WQ_Normalize!G4</x:f>
        <x:v>70</x:v>
      </x:c>
      <x:c r="J4" s="24" t="n">
        <x:f>60</x:f>
        <x:v>60</x:v>
      </x:c>
      <x:c r="K4" s="24" t="n">
        <x:f>0</x:f>
        <x:v>0</x:v>
      </x:c>
      <x:c r="L4" s="24" t="n">
        <x:f>--(WQ_Normalize!D4&lt;100)</x:f>
        <x:v>1</x:v>
      </x:c>
    </x:row>
    <x:row r="5">
      <x:c r="A5" s="24" t="str">
        <x:v>IS-02</x:v>
      </x:c>
      <x:c r="B5" s="24" t="str">
        <x:v>設備</x:v>
      </x:c>
      <x:c r="C5" s="24" t="str">
        <x:v>故障・停止履歴の整理と傾向確認</x:v>
      </x:c>
      <x:c r="D5" s="24" t="str">
        <x:v>WQ-102</x:v>
      </x:c>
      <x:c r="E5" s="24" t="n">
        <x:f>40</x:f>
        <x:v>40</x:v>
      </x:c>
      <x:c r="F5" s="24" t="n">
        <x:f>WQ_Normalize!E19</x:f>
        <x:v>75</x:v>
      </x:c>
      <x:c r="G5" s="24" t="n">
        <x:f>IF(WQ_Normalize!D5=60,40,IF(WQ_Normalize!D5=20,75,0))</x:f>
        <x:v>40</x:v>
      </x:c>
      <x:c r="H5" s="24" t="n">
        <x:f>Web_KPI!F6</x:f>
        <x:v>30</x:v>
      </x:c>
      <x:c r="I5" s="24" t="n">
        <x:f>WQ_Normalize!G5</x:f>
        <x:v>70</x:v>
      </x:c>
      <x:c r="J5" s="24" t="n">
        <x:f>60</x:f>
        <x:v>60</x:v>
      </x:c>
      <x:c r="K5" s="24" t="n">
        <x:f>0</x:f>
        <x:v>0</x:v>
      </x:c>
      <x:c r="L5" s="24" t="n">
        <x:f>--(WQ_Normalize!D5&lt;100)</x:f>
        <x:v>1</x:v>
      </x:c>
    </x:row>
    <x:row r="6">
      <x:c r="A6" s="24" t="str">
        <x:v>IS-03</x:v>
      </x:c>
      <x:c r="B6" s="24" t="str">
        <x:v>設備</x:v>
      </x:c>
      <x:c r="C6" s="24" t="str">
        <x:v>重要設備停止時の代替手段確認</x:v>
      </x:c>
      <x:c r="D6" s="24" t="str">
        <x:v>WQ-103</x:v>
      </x:c>
      <x:c r="E6" s="24" t="n">
        <x:f>IF(WQ_Normalize!C6="ない",75,40)</x:f>
        <x:v>75</x:v>
      </x:c>
      <x:c r="F6" s="24" t="n">
        <x:f>WQ_Normalize!E19</x:f>
        <x:v>75</x:v>
      </x:c>
      <x:c r="G6" s="24" t="n">
        <x:f>IF(WQ_Normalize!C6="ない",75,IF(WQ_Normalize!C6="一部ある",40,0))</x:f>
        <x:v>75</x:v>
      </x:c>
      <x:c r="H6" s="24" t="n">
        <x:f>Web_KPI!F6</x:f>
        <x:v>30</x:v>
      </x:c>
      <x:c r="I6" s="24" t="n">
        <x:f>WQ_Normalize!G6</x:f>
        <x:v>70</x:v>
      </x:c>
      <x:c r="J6" s="24" t="n">
        <x:f>60</x:f>
        <x:v>60</x:v>
      </x:c>
      <x:c r="K6" s="24" t="n">
        <x:f>IF(WQ_Normalize!C6="ない",5,0)</x:f>
        <x:v>5</x:v>
      </x:c>
      <x:c r="L6" s="24" t="n">
        <x:f>--OR(WQ_Normalize!C6="一部ある",WQ_Normalize!C6="ない")</x:f>
        <x:v>1</x:v>
      </x:c>
    </x:row>
    <x:row r="7">
      <x:c r="A7" s="24" t="str">
        <x:v>IS-04</x:v>
      </x:c>
      <x:c r="B7" s="24" t="str">
        <x:v>設備</x:v>
      </x:c>
      <x:c r="C7" s="24" t="str">
        <x:v>EOL・部品供給状況の確認</x:v>
      </x:c>
      <x:c r="D7" s="24" t="str">
        <x:v>WQ-104</x:v>
      </x:c>
      <x:c r="E7" s="24" t="n">
        <x:f>40</x:f>
        <x:v>40</x:v>
      </x:c>
      <x:c r="F7" s="24" t="n">
        <x:f>WQ_Normalize!E19</x:f>
        <x:v>75</x:v>
      </x:c>
      <x:c r="G7" s="24" t="n">
        <x:f>IF(WQ_Normalize!C7="未確認",75,IF(WQ_Normalize!C7="一部確認",40,0))</x:f>
        <x:v>75</x:v>
      </x:c>
      <x:c r="H7" s="24" t="n">
        <x:f>Web_KPI!F6</x:f>
        <x:v>30</x:v>
      </x:c>
      <x:c r="I7" s="24" t="n">
        <x:f>WQ_Normalize!G7</x:f>
        <x:v>70</x:v>
      </x:c>
      <x:c r="J7" s="24" t="n">
        <x:f>60</x:f>
        <x:v>60</x:v>
      </x:c>
      <x:c r="K7" s="24" t="n">
        <x:f>IF(WQ_Normalize!C7="未確認",5,0)</x:f>
        <x:v>5</x:v>
      </x:c>
      <x:c r="L7" s="24" t="n">
        <x:f>--OR(WQ_Normalize!C7="一部確認",WQ_Normalize!C7="未確認")</x:f>
        <x:v>1</x:v>
      </x:c>
    </x:row>
    <x:row r="8">
      <x:c r="A8" s="24" t="str">
        <x:v>EN-01</x:v>
      </x:c>
      <x:c r="B8" s="24" t="str">
        <x:v>エネルギー</x:v>
      </x:c>
      <x:c r="C8" s="24" t="str">
        <x:v>電力使用量・デマンド管理の高度化</x:v>
      </x:c>
      <x:c r="D8" s="24" t="str">
        <x:v>WQ-201</x:v>
      </x:c>
      <x:c r="E8" s="24" t="n">
        <x:f>40</x:f>
        <x:v>40</x:v>
      </x:c>
      <x:c r="F8" s="24" t="n">
        <x:f>WQ_Normalize!E19</x:f>
        <x:v>75</x:v>
      </x:c>
      <x:c r="G8" s="24" t="n">
        <x:f>IF(WQ_Normalize!D8=70,40,IF(WQ_Normalize!D8=35,75,IF(WQ_Normalize!D8=10,100,0)))</x:f>
        <x:v>75</x:v>
      </x:c>
      <x:c r="H8" s="24" t="n">
        <x:f>Web_KPI!F6</x:f>
        <x:v>30</x:v>
      </x:c>
      <x:c r="I8" s="24" t="n">
        <x:f>WQ_Normalize!G8</x:f>
        <x:v>70</x:v>
      </x:c>
      <x:c r="J8" s="24" t="n">
        <x:f>IF(ISNUMBER(SEARCH("省エネ",Forms_Response!E4)),100,60)</x:f>
        <x:v>100</x:v>
      </x:c>
      <x:c r="K8" s="24" t="n">
        <x:f>0</x:f>
        <x:v>0</x:v>
      </x:c>
      <x:c r="L8" s="24" t="n">
        <x:f>--(WQ_Normalize!D8&lt;100)</x:f>
        <x:v>1</x:v>
      </x:c>
    </x:row>
    <x:row r="9">
      <x:c r="A9" s="24" t="str">
        <x:v>EN-02</x:v>
      </x:c>
      <x:c r="B9" s="24" t="str">
        <x:v>エネルギー</x:v>
      </x:c>
      <x:c r="C9" s="24" t="str">
        <x:v>設備・工程別エネルギー使用の把握</x:v>
      </x:c>
      <x:c r="D9" s="24" t="str">
        <x:v>WQ-202</x:v>
      </x:c>
      <x:c r="E9" s="24" t="n">
        <x:f>40</x:f>
        <x:v>40</x:v>
      </x:c>
      <x:c r="F9" s="24" t="n">
        <x:f>WQ_Normalize!E19</x:f>
        <x:v>75</x:v>
      </x:c>
      <x:c r="G9" s="24" t="n">
        <x:f>IF(WQ_Normalize!D9=60,40,IF(WQ_Normalize!D9=30,75,IF(WQ_Normalize!D9=10,100,0)))</x:f>
        <x:v>75</x:v>
      </x:c>
      <x:c r="H9" s="24" t="n">
        <x:f>Web_KPI!F6</x:f>
        <x:v>30</x:v>
      </x:c>
      <x:c r="I9" s="24" t="n">
        <x:f>WQ_Normalize!G9</x:f>
        <x:v>70</x:v>
      </x:c>
      <x:c r="J9" s="24" t="n">
        <x:f>IF(ISNUMBER(SEARCH("省エネ",Forms_Response!E4)),100,60)</x:f>
        <x:v>100</x:v>
      </x:c>
      <x:c r="K9" s="24" t="n">
        <x:f>0</x:f>
        <x:v>0</x:v>
      </x:c>
      <x:c r="L9" s="24" t="n">
        <x:f>--(WQ_Normalize!D9&lt;100)</x:f>
        <x:v>1</x:v>
      </x:c>
    </x:row>
    <x:row r="10">
      <x:c r="A10" s="24" t="str">
        <x:v>EN-03</x:v>
      </x:c>
      <x:c r="B10" s="24" t="str">
        <x:v>エネルギー</x:v>
      </x:c>
      <x:c r="C10" s="24" t="str">
        <x:v>電力異常時の原因特定体制</x:v>
      </x:c>
      <x:c r="D10" s="24" t="str">
        <x:v>WQ-203</x:v>
      </x:c>
      <x:c r="E10" s="24" t="n">
        <x:f>40</x:f>
        <x:v>40</x:v>
      </x:c>
      <x:c r="F10" s="24" t="n">
        <x:f>WQ_Normalize!E19</x:f>
        <x:v>75</x:v>
      </x:c>
      <x:c r="G10" s="24" t="n">
        <x:f>IF(WQ_Normalize!D10=60,40,IF(WQ_Normalize!D10=20,75,0))</x:f>
        <x:v>75</x:v>
      </x:c>
      <x:c r="H10" s="24" t="n">
        <x:f>Web_KPI!F6</x:f>
        <x:v>30</x:v>
      </x:c>
      <x:c r="I10" s="24" t="n">
        <x:f>WQ_Normalize!G10</x:f>
        <x:v>70</x:v>
      </x:c>
      <x:c r="J10" s="24" t="n">
        <x:f>60</x:f>
        <x:v>60</x:v>
      </x:c>
      <x:c r="K10" s="24" t="n">
        <x:f>0</x:f>
        <x:v>0</x:v>
      </x:c>
      <x:c r="L10" s="24" t="n">
        <x:f>--(WQ_Normalize!D10&lt;100)</x:f>
        <x:v>1</x:v>
      </x:c>
    </x:row>
    <x:row r="11">
      <x:c r="A11" s="24" t="str">
        <x:v>EN-04</x:v>
      </x:c>
      <x:c r="B11" s="24" t="str">
        <x:v>エネルギー</x:v>
      </x:c>
      <x:c r="C11" s="24" t="str">
        <x:v>省エネ改善テーマと効果検証の整理</x:v>
      </x:c>
      <x:c r="D11" s="24" t="str">
        <x:v>WQ-204</x:v>
      </x:c>
      <x:c r="E11" s="24" t="n">
        <x:f>40</x:f>
        <x:v>40</x:v>
      </x:c>
      <x:c r="F11" s="24" t="n">
        <x:f>WQ_Normalize!E19</x:f>
        <x:v>75</x:v>
      </x:c>
      <x:c r="G11" s="24" t="n">
        <x:f>IF(WQ_Normalize!D11=60,30,IF(WQ_Normalize!D11=35,60,IF(WQ_Normalize!D11=20,75,15)))</x:f>
        <x:v>60</x:v>
      </x:c>
      <x:c r="H11" s="24" t="n">
        <x:f>Web_KPI!F6</x:f>
        <x:v>30</x:v>
      </x:c>
      <x:c r="I11" s="24" t="n">
        <x:f>WQ_Normalize!G11</x:f>
        <x:v>70</x:v>
      </x:c>
      <x:c r="J11" s="24" t="n">
        <x:f>IF(ISNUMBER(SEARCH("省エネ",Forms_Response!E4)),100,60)</x:f>
        <x:v>100</x:v>
      </x:c>
      <x:c r="K11" s="24" t="n">
        <x:f>0</x:f>
        <x:v>0</x:v>
      </x:c>
      <x:c r="L11" s="24" t="n">
        <x:f>--(WQ_Normalize!D11&lt;100)</x:f>
        <x:v>1</x:v>
      </x:c>
    </x:row>
    <x:row r="12">
      <x:c r="A12" s="24" t="str">
        <x:v>BL-01</x:v>
      </x:c>
      <x:c r="B12" s="24" t="str">
        <x:v>建屋</x:v>
      </x:c>
      <x:c r="C12" s="24" t="str">
        <x:v>建屋・環境課題の確認</x:v>
      </x:c>
      <x:c r="D12" s="24" t="str">
        <x:v>WQ-301</x:v>
      </x:c>
      <x:c r="E12" s="24" t="n">
        <x:f>IF(WQ_Normalize!C14="明確な影響あり",100,IF(WQ_Normalize!C14="影響の可能性",75,40))</x:f>
        <x:v>75</x:v>
      </x:c>
      <x:c r="F12" s="24" t="n">
        <x:f>WQ_Normalize!E19</x:f>
        <x:v>75</x:v>
      </x:c>
      <x:c r="G12" s="24" t="n">
        <x:f>IF(WQ_Normalize!C14="明確な影響あり",75,40)</x:f>
        <x:v>40</x:v>
      </x:c>
      <x:c r="H12" s="24" t="n">
        <x:f>Web_KPI!F6</x:f>
        <x:v>30</x:v>
      </x:c>
      <x:c r="I12" s="24" t="n">
        <x:f>WQ_Normalize!G12</x:f>
        <x:v>70</x:v>
      </x:c>
      <x:c r="J12" s="24" t="n">
        <x:f>60</x:f>
        <x:v>60</x:v>
      </x:c>
      <x:c r="K12" s="24" t="n">
        <x:f>0</x:f>
        <x:v>0</x:v>
      </x:c>
      <x:c r="L12" s="24" t="n">
        <x:f>--AND(WQ_Normalize!C12&lt;&gt;"特になし",WQ_Normalize!C12&lt;&gt;"不明")</x:f>
        <x:v>1</x:v>
      </x:c>
    </x:row>
    <x:row r="13">
      <x:c r="A13" s="24" t="str">
        <x:v>BL-02</x:v>
      </x:c>
      <x:c r="B13" s="24" t="str">
        <x:v>建屋</x:v>
      </x:c>
      <x:c r="C13" s="24" t="str">
        <x:v>建屋点検・修繕優先順位の整理</x:v>
      </x:c>
      <x:c r="D13" s="24" t="str">
        <x:v>WQ-302</x:v>
      </x:c>
      <x:c r="E13" s="24" t="n">
        <x:f>IF(WQ_Normalize!C14="明確な影響あり",100,75)</x:f>
        <x:v>75</x:v>
      </x:c>
      <x:c r="F13" s="24" t="n">
        <x:f>WQ_Normalize!E19</x:f>
        <x:v>75</x:v>
      </x:c>
      <x:c r="G13" s="24" t="n">
        <x:f>IF(WQ_Normalize!D13=60,40,IF(WQ_Normalize!D13=20,75,0))</x:f>
        <x:v>40</x:v>
      </x:c>
      <x:c r="H13" s="24" t="n">
        <x:f>Web_KPI!F6</x:f>
        <x:v>30</x:v>
      </x:c>
      <x:c r="I13" s="24" t="n">
        <x:f>WQ_Normalize!G13</x:f>
        <x:v>70</x:v>
      </x:c>
      <x:c r="J13" s="24" t="n">
        <x:f>60</x:f>
        <x:v>60</x:v>
      </x:c>
      <x:c r="K13" s="24" t="n">
        <x:f>0</x:f>
        <x:v>0</x:v>
      </x:c>
      <x:c r="L13" s="24" t="n">
        <x:f>--(WQ_Normalize!D13&lt;100)</x:f>
        <x:v>1</x:v>
      </x:c>
    </x:row>
    <x:row r="14">
      <x:c r="A14" s="24" t="str">
        <x:v>BL-03</x:v>
      </x:c>
      <x:c r="B14" s="24" t="str">
        <x:v>建屋</x:v>
      </x:c>
      <x:c r="C14" s="24" t="str">
        <x:v>建屋環境による品質・操業影響の優先確認</x:v>
      </x:c>
      <x:c r="D14" s="24" t="str">
        <x:v>WQ-301+303</x:v>
      </x:c>
      <x:c r="E14" s="24" t="n">
        <x:f>IF(WQ_Normalize!C14="明確な影響あり",100,75)</x:f>
        <x:v>75</x:v>
      </x:c>
      <x:c r="F14" s="24" t="n">
        <x:f>WQ_Normalize!E19</x:f>
        <x:v>75</x:v>
      </x:c>
      <x:c r="G14" s="24" t="n">
        <x:f>IF(WQ_Normalize!C14="明確な影響あり",75,60)</x:f>
        <x:v>60</x:v>
      </x:c>
      <x:c r="H14" s="24" t="n">
        <x:f>Web_KPI!F6</x:f>
        <x:v>30</x:v>
      </x:c>
      <x:c r="I14" s="24" t="n">
        <x:f>MIN(WQ_Normalize!G12,WQ_Normalize!G14)</x:f>
        <x:v>70</x:v>
      </x:c>
      <x:c r="J14" s="24" t="n">
        <x:f>60</x:f>
        <x:v>60</x:v>
      </x:c>
      <x:c r="K14" s="24" t="n">
        <x:f>IF(OR(ISNUMBER(SEARCH("安全",WQ_Normalize!C18)),ISNUMBER(SEARCH("品質",WQ_Normalize!C18))),12,0)</x:f>
        <x:v>0</x:v>
      </x:c>
      <x:c r="L14" s="24" t="n">
        <x:f>--AND(WQ_Normalize!C12&lt;&gt;"特になし",OR(WQ_Normalize!C14="明確な影響あり",WQ_Normalize!C14="影響の可能性"))</x:f>
        <x:v>1</x:v>
      </x:c>
    </x:row>
    <x:row r="15">
      <x:c r="A15" s="24" t="str">
        <x:v>MG-01</x:v>
      </x:c>
      <x:c r="B15" s="24" t="str">
        <x:v>管理</x:v>
      </x:c>
      <x:c r="C15" s="24" t="str">
        <x:v>部門横断の課題管理体制整備</x:v>
      </x:c>
      <x:c r="D15" s="24" t="str">
        <x:v>WQ-401</x:v>
      </x:c>
      <x:c r="E15" s="24" t="n">
        <x:f>40</x:f>
        <x:v>40</x:v>
      </x:c>
      <x:c r="F15" s="24" t="n">
        <x:f>WQ_Normalize!E19</x:f>
        <x:v>75</x:v>
      </x:c>
      <x:c r="G15" s="24" t="n">
        <x:f>IF(WQ_Normalize!D15=60,40,IF(WQ_Normalize!D15=20,75,0))</x:f>
        <x:v>40</x:v>
      </x:c>
      <x:c r="H15" s="24" t="n">
        <x:f>Web_KPI!F6</x:f>
        <x:v>30</x:v>
      </x:c>
      <x:c r="I15" s="24" t="n">
        <x:f>WQ_Normalize!G15</x:f>
        <x:v>70</x:v>
      </x:c>
      <x:c r="J15" s="24" t="n">
        <x:f>60</x:f>
        <x:v>60</x:v>
      </x:c>
      <x:c r="K15" s="24" t="n">
        <x:f>0</x:f>
        <x:v>0</x:v>
      </x:c>
      <x:c r="L15" s="24" t="n">
        <x:f>--(WQ_Normalize!D15&lt;100)</x:f>
        <x:v>1</x:v>
      </x:c>
    </x:row>
    <x:row r="16">
      <x:c r="A16" s="24" t="str">
        <x:v>MG-02</x:v>
      </x:c>
      <x:c r="B16" s="24" t="str">
        <x:v>管理</x:v>
      </x:c>
      <x:c r="C16" s="24" t="str">
        <x:v>設備投資の共通優先順位基準の整備</x:v>
      </x:c>
      <x:c r="D16" s="24" t="str">
        <x:v>WQ-402</x:v>
      </x:c>
      <x:c r="E16" s="24" t="n">
        <x:f>40</x:f>
        <x:v>40</x:v>
      </x:c>
      <x:c r="F16" s="24" t="n">
        <x:f>WQ_Normalize!E19</x:f>
        <x:v>75</x:v>
      </x:c>
      <x:c r="G16" s="24" t="n">
        <x:f>IF(WQ_Normalize!D16=70,40,IF(WQ_Normalize!D16=35,60,IF(WQ_Normalize!D16=20,75,0)))</x:f>
        <x:v>60</x:v>
      </x:c>
      <x:c r="H16" s="24" t="n">
        <x:f>Web_KPI!F6</x:f>
        <x:v>30</x:v>
      </x:c>
      <x:c r="I16" s="24" t="n">
        <x:f>WQ_Normalize!G16</x:f>
        <x:v>70</x:v>
      </x:c>
      <x:c r="J16" s="24" t="n">
        <x:f>60</x:f>
        <x:v>60</x:v>
      </x:c>
      <x:c r="K16" s="24" t="n">
        <x:f>0</x:f>
        <x:v>0</x:v>
      </x:c>
      <x:c r="L16" s="24" t="n">
        <x:f>--(WQ_Normalize!D16&lt;100)</x:f>
        <x:v>1</x:v>
      </x:c>
    </x:row>
    <x:row r="17">
      <x:c r="A17" s="24" t="str">
        <x:v>MG-03</x:v>
      </x:c>
      <x:c r="B17" s="24" t="str">
        <x:v>管理</x:v>
      </x:c>
      <x:c r="C17" s="24" t="str">
        <x:v>3年間の設備・建屋更新ロードマップ整理</x:v>
      </x:c>
      <x:c r="D17" s="24" t="str">
        <x:v>WQ-403</x:v>
      </x:c>
      <x:c r="E17" s="24" t="n">
        <x:f>40</x:f>
        <x:v>40</x:v>
      </x:c>
      <x:c r="F17" s="24" t="n">
        <x:f>WQ_Normalize!E19</x:f>
        <x:v>75</x:v>
      </x:c>
      <x:c r="G17" s="24" t="n">
        <x:f>IF(WQ_Normalize!D17=70,30,IF(WQ_Normalize!D17=40,60,IF(WQ_Normalize!D17=20,75,0)))</x:f>
        <x:v>60</x:v>
      </x:c>
      <x:c r="H17" s="24" t="n">
        <x:f>Web_KPI!F6</x:f>
        <x:v>30</x:v>
      </x:c>
      <x:c r="I17" s="24" t="n">
        <x:f>WQ_Normalize!G17</x:f>
        <x:v>70</x:v>
      </x:c>
      <x:c r="J17" s="24" t="n">
        <x:f>IF(WQ_Normalize!E19&gt;=75,100,60)</x:f>
        <x:v>100</x:v>
      </x:c>
      <x:c r="K17" s="24" t="n">
        <x:f>0</x:f>
        <x:v>0</x:v>
      </x:c>
      <x:c r="L17" s="24" t="n">
        <x:f>--(WQ_Normalize!D17&lt;100)</x:f>
        <x:v>1</x:v>
      </x:c>
    </x:row>
    <x:row r="18">
      <x:c r="A18" s="24" t="str">
        <x:v>GR-01</x:v>
      </x:c>
      <x:c r="B18" s="24" t="str">
        <x:v>Guardrail</x:v>
      </x:c>
      <x:c r="C18" s="24" t="str">
        <x:v>安全・法令・品質・供給継続の未解決事項確認</x:v>
      </x:c>
      <x:c r="D18" s="24" t="str">
        <x:v>WQ-404</x:v>
      </x:c>
      <x:c r="E18" s="24" t="n">
        <x:f>IF(OR(ISNUMBER(SEARCH("安全",WQ_Normalize!C18)),ISNUMBER(SEARCH("法令",WQ_Normalize!C18))),100,IF(OR(ISNUMBER(SEARCH("品質",WQ_Normalize!C18)),ISNUMBER(SEARCH("供給継続",WQ_Normalize!C18))),75,0))</x:f>
        <x:v>75</x:v>
      </x:c>
      <x:c r="F18" s="24" t="n">
        <x:f>WQ_Normalize!E19</x:f>
        <x:v>75</x:v>
      </x:c>
      <x:c r="G18" s="24" t="n">
        <x:f>IF(WQ_Normalize!C18="ない",0,75)</x:f>
        <x:v>75</x:v>
      </x:c>
      <x:c r="H18" s="24" t="n">
        <x:f>Web_KPI!F6</x:f>
        <x:v>30</x:v>
      </x:c>
      <x:c r="I18" s="24" t="n">
        <x:f>WQ_Normalize!G18</x:f>
        <x:v>70</x:v>
      </x:c>
      <x:c r="J18" s="24" t="n">
        <x:f>60</x:f>
        <x:v>60</x:v>
      </x:c>
      <x:c r="K18" s="24" t="n">
        <x:f>IF(WQ_Normalize!C18="ない",0,12)</x:f>
        <x:v>12</x:v>
      </x:c>
      <x:c r="L18" s="24" t="n">
        <x:f>--AND(WQ_Normalize!C18&lt;&gt;"ない",WQ_Normalize!C18&lt;&gt;"不明",WQ_Normalize!C18&lt;&gt;"")</x:f>
        <x:v>1</x:v>
      </x:c>
    </x:row>
    <x:row r="19">
      <x:c r="A19" s="24" t="str">
        <x:v>CU-01</x:v>
      </x:c>
      <x:c r="B19" s="24" t="str">
        <x:v>個別</x:v>
      </x:c>
      <x:c r="C19" s="24" t="str">
        <x:v>顧客固有課題のヒアリング</x:v>
      </x:c>
      <x:c r="D19" s="24" t="str">
        <x:v>WQ-501</x:v>
      </x:c>
      <x:c r="E19" s="24" t="n">
        <x:f>40</x:f>
        <x:v>40</x:v>
      </x:c>
      <x:c r="F19" s="24" t="n">
        <x:f>WQ_Normalize!E19</x:f>
        <x:v>75</x:v>
      </x:c>
      <x:c r="G19" s="24" t="n">
        <x:f>40</x:f>
        <x:v>40</x:v>
      </x:c>
      <x:c r="H19" s="24" t="n">
        <x:f>Web_KPI!F6</x:f>
        <x:v>30</x:v>
      </x:c>
      <x:c r="I19" s="24" t="n">
        <x:f>IF(Forms_Response!V4&lt;&gt;"",70,35)</x:f>
        <x:v>70</x:v>
      </x:c>
      <x:c r="J19" s="24" t="n">
        <x:f>60</x:f>
        <x:v>60</x:v>
      </x:c>
      <x:c r="K19" s="24" t="n">
        <x:f>0</x:f>
        <x:v>0</x:v>
      </x:c>
      <x:c r="L19" s="24" t="n">
        <x:f>--(Forms_Response!V4&lt;&gt;"")</x:f>
        <x:v>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>
      <x:c r="A1" s="4" t="str">
        <x:v>TOP5算定｜既存Baseline正式式を適用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TOP_BASE = 0.30I + 0.25U + 0.20P + 0.10R + 0.10C + 0.05O。Guardrail加算後にTOP_SCORE、評価帯、順位を算出。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8" t="str">
        <x:v>Issue_ID</x:v>
      </x:c>
      <x:c r="B3" s="18" t="str">
        <x:v>分野</x:v>
      </x:c>
      <x:c r="C3" s="18" t="str">
        <x:v>課題名称</x:v>
      </x:c>
      <x:c r="D3" s="18" t="str">
        <x:v>TOP_BASE</x:v>
      </x:c>
      <x:c r="E3" s="18" t="str">
        <x:v>Guard加算</x:v>
      </x:c>
      <x:c r="F3" s="18" t="str">
        <x:v>TOP_SCORE</x:v>
      </x:c>
      <x:c r="G3" s="18" t="str">
        <x:v>評価</x:v>
      </x:c>
      <x:c r="H3" s="18" t="str">
        <x:v>発火</x:v>
      </x:c>
      <x:c r="I3" s="18" t="str">
        <x:v>順位</x:v>
      </x:c>
      <x:c r="J3" s="18" t="str">
        <x:v>TOP5対象</x:v>
      </x:c>
      <x:c r="K3" s="18" t="str">
        <x:v>備考</x:v>
      </x:c>
    </x:row>
    <x:row r="4">
      <x:c r="A4" s="24" t="str">
        <x:f>Issue_Candidate!A4</x:f>
        <x:v>IS-01</x:v>
      </x:c>
      <x:c r="B4" s="24" t="str">
        <x:f>Issue_Candidate!B4</x:f>
        <x:v>設備</x:v>
      </x:c>
      <x:c r="C4" s="24" t="str">
        <x:f>Issue_Candidate!C4</x:f>
        <x:v>主要設備の年式・更新履歴整理</x:v>
      </x:c>
      <x:c r="D4" s="24" t="n">
        <x:f>ROUND(0.30*Issue_Candidate!E4+0.25*Issue_Candidate!F4+0.20*Issue_Candidate!G4+0.10*Issue_Candidate!H4+0.10*Issue_Candidate!I4+0.05*Issue_Candidate!J4,1)</x:f>
        <x:v>51.8</x:v>
      </x:c>
      <x:c r="E4" s="24" t="n">
        <x:f>Issue_Candidate!K4</x:f>
        <x:v>0</x:v>
      </x:c>
      <x:c r="F4" s="24" t="n">
        <x:f>MIN(100,D4+E4)</x:f>
        <x:v>51.8</x:v>
      </x:c>
      <x:c r="G4" s="24" t="str">
        <x:f>IF(F4&gt;=80,"S",IF(F4&gt;=65,"A",IF(F4&gt;=50,"B",IF(F4&gt;=35,"C","詳細のみ"))))</x:f>
        <x:v>B</x:v>
      </x:c>
      <x:c r="H4" s="24" t="n">
        <x:f>Issue_Candidate!L4</x:f>
        <x:v>1</x:v>
      </x:c>
      <x:c r="I4" s="24" t="n">
        <x:f>IF(H4=1,RANK.EQ(F4,$F$4:$F$19,0)+COUNTIF($F$4:F4,F4)-1,"")</x:f>
        <x:v>13</x:v>
      </x:c>
      <x:c r="J4" s="24" t="str">
        <x:f>IF(AND(H4=1,I4&lt;=5),"TOP5","")</x:f>
      </x:c>
      <x:c r="K4" s="24" t="str">
        <x:v>正式TOP5では同一原因統合・分野偏重抑制を追加レビュー</x:v>
      </x:c>
    </x:row>
    <x:row r="5">
      <x:c r="A5" s="24" t="str">
        <x:f>Issue_Candidate!A5</x:f>
        <x:v>IS-02</x:v>
      </x:c>
      <x:c r="B5" s="24" t="str">
        <x:f>Issue_Candidate!B5</x:f>
        <x:v>設備</x:v>
      </x:c>
      <x:c r="C5" s="24" t="str">
        <x:f>Issue_Candidate!C5</x:f>
        <x:v>故障・停止履歴の整理と傾向確認</x:v>
      </x:c>
      <x:c r="D5" s="24" t="n">
        <x:f>ROUND(0.30*Issue_Candidate!E5+0.25*Issue_Candidate!F5+0.20*Issue_Candidate!G5+0.10*Issue_Candidate!H5+0.10*Issue_Candidate!I5+0.05*Issue_Candidate!J5,1)</x:f>
        <x:v>51.8</x:v>
      </x:c>
      <x:c r="E5" s="24" t="n">
        <x:f>Issue_Candidate!K5</x:f>
        <x:v>0</x:v>
      </x:c>
      <x:c r="F5" s="24" t="n">
        <x:f>MIN(100,D5+E5)</x:f>
        <x:v>51.8</x:v>
      </x:c>
      <x:c r="G5" s="24" t="str">
        <x:f>IF(F5&gt;=80,"S",IF(F5&gt;=65,"A",IF(F5&gt;=50,"B",IF(F5&gt;=35,"C","詳細のみ"))))</x:f>
        <x:v>B</x:v>
      </x:c>
      <x:c r="H5" s="24" t="n">
        <x:f>Issue_Candidate!L5</x:f>
        <x:v>1</x:v>
      </x:c>
      <x:c r="I5" s="24" t="n">
        <x:f>IF(H5=1,RANK.EQ(F5,$F$4:$F$19,0)+COUNTIF($F$4:F5,F5)-1,"")</x:f>
        <x:v>14</x:v>
      </x:c>
      <x:c r="J5" s="24" t="str">
        <x:f>IF(AND(H5=1,I5&lt;=5),"TOP5","")</x:f>
      </x:c>
      <x:c r="K5" s="24" t="str">
        <x:v>正式TOP5では同一原因統合・分野偏重抑制を追加レビュー</x:v>
      </x:c>
    </x:row>
    <x:row r="6">
      <x:c r="A6" s="24" t="str">
        <x:f>Issue_Candidate!A6</x:f>
        <x:v>IS-03</x:v>
      </x:c>
      <x:c r="B6" s="24" t="str">
        <x:f>Issue_Candidate!B6</x:f>
        <x:v>設備</x:v>
      </x:c>
      <x:c r="C6" s="24" t="str">
        <x:f>Issue_Candidate!C6</x:f>
        <x:v>重要設備停止時の代替手段確認</x:v>
      </x:c>
      <x:c r="D6" s="24" t="n">
        <x:f>ROUND(0.30*Issue_Candidate!E6+0.25*Issue_Candidate!F6+0.20*Issue_Candidate!G6+0.10*Issue_Candidate!H6+0.10*Issue_Candidate!I6+0.05*Issue_Candidate!J6,1)</x:f>
        <x:v>69.3</x:v>
      </x:c>
      <x:c r="E6" s="24" t="n">
        <x:f>Issue_Candidate!K6</x:f>
        <x:v>5</x:v>
      </x:c>
      <x:c r="F6" s="24" t="n">
        <x:f>MIN(100,D6+E6)</x:f>
        <x:v>74.3</x:v>
      </x:c>
      <x:c r="G6" s="24" t="str">
        <x:f>IF(F6&gt;=80,"S",IF(F6&gt;=65,"A",IF(F6&gt;=50,"B",IF(F6&gt;=35,"C","詳細のみ"))))</x:f>
        <x:v>A</x:v>
      </x:c>
      <x:c r="H6" s="24" t="n">
        <x:f>Issue_Candidate!L6</x:f>
        <x:v>1</x:v>
      </x:c>
      <x:c r="I6" s="24" t="n">
        <x:f>IF(H6=1,RANK.EQ(F6,$F$4:$F$19,0)+COUNTIF($F$4:F6,F6)-1,"")</x:f>
        <x:v>2</x:v>
      </x:c>
      <x:c r="J6" s="24" t="str">
        <x:f>IF(AND(H6=1,I6&lt;=5),"TOP5","")</x:f>
        <x:v>TOP5</x:v>
      </x:c>
      <x:c r="K6" s="24" t="str">
        <x:v>正式TOP5では同一原因統合・分野偏重抑制を追加レビュー</x:v>
      </x:c>
    </x:row>
    <x:row r="7">
      <x:c r="A7" s="24" t="str">
        <x:f>Issue_Candidate!A7</x:f>
        <x:v>IS-04</x:v>
      </x:c>
      <x:c r="B7" s="24" t="str">
        <x:f>Issue_Candidate!B7</x:f>
        <x:v>設備</x:v>
      </x:c>
      <x:c r="C7" s="24" t="str">
        <x:f>Issue_Candidate!C7</x:f>
        <x:v>EOL・部品供給状況の確認</x:v>
      </x:c>
      <x:c r="D7" s="24" t="n">
        <x:f>ROUND(0.30*Issue_Candidate!E7+0.25*Issue_Candidate!F7+0.20*Issue_Candidate!G7+0.10*Issue_Candidate!H7+0.10*Issue_Candidate!I7+0.05*Issue_Candidate!J7,1)</x:f>
        <x:v>58.8</x:v>
      </x:c>
      <x:c r="E7" s="24" t="n">
        <x:f>Issue_Candidate!K7</x:f>
        <x:v>5</x:v>
      </x:c>
      <x:c r="F7" s="24" t="n">
        <x:f>MIN(100,D7+E7)</x:f>
        <x:v>63.8</x:v>
      </x:c>
      <x:c r="G7" s="24" t="str">
        <x:f>IF(F7&gt;=80,"S",IF(F7&gt;=65,"A",IF(F7&gt;=50,"B",IF(F7&gt;=35,"C","詳細のみ"))))</x:f>
        <x:v>B</x:v>
      </x:c>
      <x:c r="H7" s="24" t="n">
        <x:f>Issue_Candidate!L7</x:f>
        <x:v>1</x:v>
      </x:c>
      <x:c r="I7" s="24" t="n">
        <x:f>IF(H7=1,RANK.EQ(F7,$F$4:$F$19,0)+COUNTIF($F$4:F7,F7)-1,"")</x:f>
        <x:v>4</x:v>
      </x:c>
      <x:c r="J7" s="24" t="str">
        <x:f>IF(AND(H7=1,I7&lt;=5),"TOP5","")</x:f>
        <x:v>TOP5</x:v>
      </x:c>
      <x:c r="K7" s="24" t="str">
        <x:v>正式TOP5では同一原因統合・分野偏重抑制を追加レビュー</x:v>
      </x:c>
    </x:row>
    <x:row r="8">
      <x:c r="A8" s="24" t="str">
        <x:f>Issue_Candidate!A8</x:f>
        <x:v>EN-01</x:v>
      </x:c>
      <x:c r="B8" s="24" t="str">
        <x:f>Issue_Candidate!B8</x:f>
        <x:v>エネルギー</x:v>
      </x:c>
      <x:c r="C8" s="24" t="str">
        <x:f>Issue_Candidate!C8</x:f>
        <x:v>電力使用量・デマンド管理の高度化</x:v>
      </x:c>
      <x:c r="D8" s="24" t="n">
        <x:f>ROUND(0.30*Issue_Candidate!E8+0.25*Issue_Candidate!F8+0.20*Issue_Candidate!G8+0.10*Issue_Candidate!H8+0.10*Issue_Candidate!I8+0.05*Issue_Candidate!J8,1)</x:f>
        <x:v>60.8</x:v>
      </x:c>
      <x:c r="E8" s="24" t="n">
        <x:f>Issue_Candidate!K8</x:f>
        <x:v>0</x:v>
      </x:c>
      <x:c r="F8" s="24" t="n">
        <x:f>MIN(100,D8+E8)</x:f>
        <x:v>60.8</x:v>
      </x:c>
      <x:c r="G8" s="24" t="str">
        <x:f>IF(F8&gt;=80,"S",IF(F8&gt;=65,"A",IF(F8&gt;=50,"B",IF(F8&gt;=35,"C","詳細のみ"))))</x:f>
        <x:v>B</x:v>
      </x:c>
      <x:c r="H8" s="24" t="n">
        <x:f>Issue_Candidate!L8</x:f>
        <x:v>1</x:v>
      </x:c>
      <x:c r="I8" s="24" t="n">
        <x:f>IF(H8=1,RANK.EQ(F8,$F$4:$F$19,0)+COUNTIF($F$4:F8,F8)-1,"")</x:f>
        <x:v>7</x:v>
      </x:c>
      <x:c r="J8" s="24" t="str">
        <x:f>IF(AND(H8=1,I8&lt;=5),"TOP5","")</x:f>
      </x:c>
      <x:c r="K8" s="24" t="str">
        <x:v>正式TOP5では同一原因統合・分野偏重抑制を追加レビュー</x:v>
      </x:c>
    </x:row>
    <x:row r="9">
      <x:c r="A9" s="24" t="str">
        <x:f>Issue_Candidate!A9</x:f>
        <x:v>EN-02</x:v>
      </x:c>
      <x:c r="B9" s="24" t="str">
        <x:f>Issue_Candidate!B9</x:f>
        <x:v>エネルギー</x:v>
      </x:c>
      <x:c r="C9" s="24" t="str">
        <x:f>Issue_Candidate!C9</x:f>
        <x:v>設備・工程別エネルギー使用の把握</x:v>
      </x:c>
      <x:c r="D9" s="24" t="n">
        <x:f>ROUND(0.30*Issue_Candidate!E9+0.25*Issue_Candidate!F9+0.20*Issue_Candidate!G9+0.10*Issue_Candidate!H9+0.10*Issue_Candidate!I9+0.05*Issue_Candidate!J9,1)</x:f>
        <x:v>60.8</x:v>
      </x:c>
      <x:c r="E9" s="24" t="n">
        <x:f>Issue_Candidate!K9</x:f>
        <x:v>0</x:v>
      </x:c>
      <x:c r="F9" s="24" t="n">
        <x:f>MIN(100,D9+E9)</x:f>
        <x:v>60.8</x:v>
      </x:c>
      <x:c r="G9" s="24" t="str">
        <x:f>IF(F9&gt;=80,"S",IF(F9&gt;=65,"A",IF(F9&gt;=50,"B",IF(F9&gt;=35,"C","詳細のみ"))))</x:f>
        <x:v>B</x:v>
      </x:c>
      <x:c r="H9" s="24" t="n">
        <x:f>Issue_Candidate!L9</x:f>
        <x:v>1</x:v>
      </x:c>
      <x:c r="I9" s="24" t="n">
        <x:f>IF(H9=1,RANK.EQ(F9,$F$4:$F$19,0)+COUNTIF($F$4:F9,F9)-1,"")</x:f>
        <x:v>8</x:v>
      </x:c>
      <x:c r="J9" s="24" t="str">
        <x:f>IF(AND(H9=1,I9&lt;=5),"TOP5","")</x:f>
      </x:c>
      <x:c r="K9" s="24" t="str">
        <x:v>正式TOP5では同一原因統合・分野偏重抑制を追加レビュー</x:v>
      </x:c>
    </x:row>
    <x:row r="10">
      <x:c r="A10" s="24" t="str">
        <x:f>Issue_Candidate!A10</x:f>
        <x:v>EN-03</x:v>
      </x:c>
      <x:c r="B10" s="24" t="str">
        <x:f>Issue_Candidate!B10</x:f>
        <x:v>エネルギー</x:v>
      </x:c>
      <x:c r="C10" s="24" t="str">
        <x:f>Issue_Candidate!C10</x:f>
        <x:v>電力異常時の原因特定体制</x:v>
      </x:c>
      <x:c r="D10" s="24" t="n">
        <x:f>ROUND(0.30*Issue_Candidate!E10+0.25*Issue_Candidate!F10+0.20*Issue_Candidate!G10+0.10*Issue_Candidate!H10+0.10*Issue_Candidate!I10+0.05*Issue_Candidate!J10,1)</x:f>
        <x:v>58.8</x:v>
      </x:c>
      <x:c r="E10" s="24" t="n">
        <x:f>Issue_Candidate!K10</x:f>
        <x:v>0</x:v>
      </x:c>
      <x:c r="F10" s="24" t="n">
        <x:f>MIN(100,D10+E10)</x:f>
        <x:v>58.8</x:v>
      </x:c>
      <x:c r="G10" s="24" t="str">
        <x:f>IF(F10&gt;=80,"S",IF(F10&gt;=65,"A",IF(F10&gt;=50,"B",IF(F10&gt;=35,"C","詳細のみ"))))</x:f>
        <x:v>B</x:v>
      </x:c>
      <x:c r="H10" s="24" t="n">
        <x:f>Issue_Candidate!L10</x:f>
        <x:v>1</x:v>
      </x:c>
      <x:c r="I10" s="24" t="n">
        <x:f>IF(H10=1,RANK.EQ(F10,$F$4:$F$19,0)+COUNTIF($F$4:F10,F10)-1,"")</x:f>
        <x:v>9</x:v>
      </x:c>
      <x:c r="J10" s="24" t="str">
        <x:f>IF(AND(H10=1,I10&lt;=5),"TOP5","")</x:f>
      </x:c>
      <x:c r="K10" s="24" t="str">
        <x:v>正式TOP5では同一原因統合・分野偏重抑制を追加レビュー</x:v>
      </x:c>
    </x:row>
    <x:row r="11">
      <x:c r="A11" s="24" t="str">
        <x:f>Issue_Candidate!A11</x:f>
        <x:v>EN-04</x:v>
      </x:c>
      <x:c r="B11" s="24" t="str">
        <x:f>Issue_Candidate!B11</x:f>
        <x:v>エネルギー</x:v>
      </x:c>
      <x:c r="C11" s="24" t="str">
        <x:f>Issue_Candidate!C11</x:f>
        <x:v>省エネ改善テーマと効果検証の整理</x:v>
      </x:c>
      <x:c r="D11" s="24" t="n">
        <x:f>ROUND(0.30*Issue_Candidate!E11+0.25*Issue_Candidate!F11+0.20*Issue_Candidate!G11+0.10*Issue_Candidate!H11+0.10*Issue_Candidate!I11+0.05*Issue_Candidate!J11,1)</x:f>
        <x:v>57.8</x:v>
      </x:c>
      <x:c r="E11" s="24" t="n">
        <x:f>Issue_Candidate!K11</x:f>
        <x:v>0</x:v>
      </x:c>
      <x:c r="F11" s="24" t="n">
        <x:f>MIN(100,D11+E11)</x:f>
        <x:v>57.8</x:v>
      </x:c>
      <x:c r="G11" s="24" t="str">
        <x:f>IF(F11&gt;=80,"S",IF(F11&gt;=65,"A",IF(F11&gt;=50,"B",IF(F11&gt;=35,"C","詳細のみ"))))</x:f>
        <x:v>B</x:v>
      </x:c>
      <x:c r="H11" s="24" t="n">
        <x:f>Issue_Candidate!L11</x:f>
        <x:v>1</x:v>
      </x:c>
      <x:c r="I11" s="24" t="n">
        <x:f>IF(H11=1,RANK.EQ(F11,$F$4:$F$19,0)+COUNTIF($F$4:F11,F11)-1,"")</x:f>
        <x:v>10</x:v>
      </x:c>
      <x:c r="J11" s="24" t="str">
        <x:f>IF(AND(H11=1,I11&lt;=5),"TOP5","")</x:f>
      </x:c>
      <x:c r="K11" s="24" t="str">
        <x:v>正式TOP5では同一原因統合・分野偏重抑制を追加レビュー</x:v>
      </x:c>
    </x:row>
    <x:row r="12">
      <x:c r="A12" s="24" t="str">
        <x:f>Issue_Candidate!A12</x:f>
        <x:v>BL-01</x:v>
      </x:c>
      <x:c r="B12" s="24" t="str">
        <x:f>Issue_Candidate!B12</x:f>
        <x:v>建屋</x:v>
      </x:c>
      <x:c r="C12" s="24" t="str">
        <x:f>Issue_Candidate!C12</x:f>
        <x:v>建屋・環境課題の確認</x:v>
      </x:c>
      <x:c r="D12" s="24" t="n">
        <x:f>ROUND(0.30*Issue_Candidate!E12+0.25*Issue_Candidate!F12+0.20*Issue_Candidate!G12+0.10*Issue_Candidate!H12+0.10*Issue_Candidate!I12+0.05*Issue_Candidate!J12,1)</x:f>
        <x:v>62.3</x:v>
      </x:c>
      <x:c r="E12" s="24" t="n">
        <x:f>Issue_Candidate!K12</x:f>
        <x:v>0</x:v>
      </x:c>
      <x:c r="F12" s="24" t="n">
        <x:f>MIN(100,D12+E12)</x:f>
        <x:v>62.3</x:v>
      </x:c>
      <x:c r="G12" s="24" t="str">
        <x:f>IF(F12&gt;=80,"S",IF(F12&gt;=65,"A",IF(F12&gt;=50,"B",IF(F12&gt;=35,"C","詳細のみ"))))</x:f>
        <x:v>B</x:v>
      </x:c>
      <x:c r="H12" s="24" t="n">
        <x:f>Issue_Candidate!L12</x:f>
        <x:v>1</x:v>
      </x:c>
      <x:c r="I12" s="24" t="n">
        <x:f>IF(H12=1,RANK.EQ(F12,$F$4:$F$19,0)+COUNTIF($F$4:F12,F12)-1,"")</x:f>
        <x:v>5</x:v>
      </x:c>
      <x:c r="J12" s="24" t="str">
        <x:f>IF(AND(H12=1,I12&lt;=5),"TOP5","")</x:f>
        <x:v>TOP5</x:v>
      </x:c>
      <x:c r="K12" s="24" t="str">
        <x:v>正式TOP5では同一原因統合・分野偏重抑制を追加レビュー</x:v>
      </x:c>
    </x:row>
    <x:row r="13">
      <x:c r="A13" s="24" t="str">
        <x:f>Issue_Candidate!A13</x:f>
        <x:v>BL-02</x:v>
      </x:c>
      <x:c r="B13" s="24" t="str">
        <x:f>Issue_Candidate!B13</x:f>
        <x:v>建屋</x:v>
      </x:c>
      <x:c r="C13" s="24" t="str">
        <x:f>Issue_Candidate!C13</x:f>
        <x:v>建屋点検・修繕優先順位の整理</x:v>
      </x:c>
      <x:c r="D13" s="24" t="n">
        <x:f>ROUND(0.30*Issue_Candidate!E13+0.25*Issue_Candidate!F13+0.20*Issue_Candidate!G13+0.10*Issue_Candidate!H13+0.10*Issue_Candidate!I13+0.05*Issue_Candidate!J13,1)</x:f>
        <x:v>62.3</x:v>
      </x:c>
      <x:c r="E13" s="24" t="n">
        <x:f>Issue_Candidate!K13</x:f>
        <x:v>0</x:v>
      </x:c>
      <x:c r="F13" s="24" t="n">
        <x:f>MIN(100,D13+E13)</x:f>
        <x:v>62.3</x:v>
      </x:c>
      <x:c r="G13" s="24" t="str">
        <x:f>IF(F13&gt;=80,"S",IF(F13&gt;=65,"A",IF(F13&gt;=50,"B",IF(F13&gt;=35,"C","詳細のみ"))))</x:f>
        <x:v>B</x:v>
      </x:c>
      <x:c r="H13" s="24" t="n">
        <x:f>Issue_Candidate!L13</x:f>
        <x:v>1</x:v>
      </x:c>
      <x:c r="I13" s="24" t="n">
        <x:f>IF(H13=1,RANK.EQ(F13,$F$4:$F$19,0)+COUNTIF($F$4:F13,F13)-1,"")</x:f>
        <x:v>6</x:v>
      </x:c>
      <x:c r="J13" s="24" t="str">
        <x:f>IF(AND(H13=1,I13&lt;=5),"TOP5","")</x:f>
      </x:c>
      <x:c r="K13" s="24" t="str">
        <x:v>正式TOP5では同一原因統合・分野偏重抑制を追加レビュー</x:v>
      </x:c>
    </x:row>
    <x:row r="14">
      <x:c r="A14" s="24" t="str">
        <x:f>Issue_Candidate!A14</x:f>
        <x:v>BL-03</x:v>
      </x:c>
      <x:c r="B14" s="24" t="str">
        <x:f>Issue_Candidate!B14</x:f>
        <x:v>建屋</x:v>
      </x:c>
      <x:c r="C14" s="24" t="str">
        <x:f>Issue_Candidate!C14</x:f>
        <x:v>建屋環境による品質・操業影響の優先確認</x:v>
      </x:c>
      <x:c r="D14" s="24" t="n">
        <x:f>ROUND(0.30*Issue_Candidate!E14+0.25*Issue_Candidate!F14+0.20*Issue_Candidate!G14+0.10*Issue_Candidate!H14+0.10*Issue_Candidate!I14+0.05*Issue_Candidate!J14,1)</x:f>
        <x:v>66.3</x:v>
      </x:c>
      <x:c r="E14" s="24" t="n">
        <x:f>Issue_Candidate!K14</x:f>
        <x:v>0</x:v>
      </x:c>
      <x:c r="F14" s="24" t="n">
        <x:f>MIN(100,D14+E14)</x:f>
        <x:v>66.3</x:v>
      </x:c>
      <x:c r="G14" s="24" t="str">
        <x:f>IF(F14&gt;=80,"S",IF(F14&gt;=65,"A",IF(F14&gt;=50,"B",IF(F14&gt;=35,"C","詳細のみ"))))</x:f>
        <x:v>A</x:v>
      </x:c>
      <x:c r="H14" s="24" t="n">
        <x:f>Issue_Candidate!L14</x:f>
        <x:v>1</x:v>
      </x:c>
      <x:c r="I14" s="24" t="n">
        <x:f>IF(H14=1,RANK.EQ(F14,$F$4:$F$19,0)+COUNTIF($F$4:F14,F14)-1,"")</x:f>
        <x:v>3</x:v>
      </x:c>
      <x:c r="J14" s="24" t="str">
        <x:f>IF(AND(H14=1,I14&lt;=5),"TOP5","")</x:f>
        <x:v>TOP5</x:v>
      </x:c>
      <x:c r="K14" s="24" t="str">
        <x:v>正式TOP5では同一原因統合・分野偏重抑制を追加レビュー</x:v>
      </x:c>
    </x:row>
    <x:row r="15">
      <x:c r="A15" s="24" t="str">
        <x:f>Issue_Candidate!A15</x:f>
        <x:v>MG-01</x:v>
      </x:c>
      <x:c r="B15" s="24" t="str">
        <x:f>Issue_Candidate!B15</x:f>
        <x:v>管理</x:v>
      </x:c>
      <x:c r="C15" s="24" t="str">
        <x:f>Issue_Candidate!C15</x:f>
        <x:v>部門横断の課題管理体制整備</x:v>
      </x:c>
      <x:c r="D15" s="24" t="n">
        <x:f>ROUND(0.30*Issue_Candidate!E15+0.25*Issue_Candidate!F15+0.20*Issue_Candidate!G15+0.10*Issue_Candidate!H15+0.10*Issue_Candidate!I15+0.05*Issue_Candidate!J15,1)</x:f>
        <x:v>51.8</x:v>
      </x:c>
      <x:c r="E15" s="24" t="n">
        <x:f>Issue_Candidate!K15</x:f>
        <x:v>0</x:v>
      </x:c>
      <x:c r="F15" s="24" t="n">
        <x:f>MIN(100,D15+E15)</x:f>
        <x:v>51.8</x:v>
      </x:c>
      <x:c r="G15" s="24" t="str">
        <x:f>IF(F15&gt;=80,"S",IF(F15&gt;=65,"A",IF(F15&gt;=50,"B",IF(F15&gt;=35,"C","詳細のみ"))))</x:f>
        <x:v>B</x:v>
      </x:c>
      <x:c r="H15" s="24" t="n">
        <x:f>Issue_Candidate!L15</x:f>
        <x:v>1</x:v>
      </x:c>
      <x:c r="I15" s="24" t="n">
        <x:f>IF(H15=1,RANK.EQ(F15,$F$4:$F$19,0)+COUNTIF($F$4:F15,F15)-1,"")</x:f>
        <x:v>15</x:v>
      </x:c>
      <x:c r="J15" s="24" t="str">
        <x:f>IF(AND(H15=1,I15&lt;=5),"TOP5","")</x:f>
      </x:c>
      <x:c r="K15" s="24" t="str">
        <x:v>正式TOP5では同一原因統合・分野偏重抑制を追加レビュー</x:v>
      </x:c>
    </x:row>
    <x:row r="16">
      <x:c r="A16" s="24" t="str">
        <x:f>Issue_Candidate!A16</x:f>
        <x:v>MG-02</x:v>
      </x:c>
      <x:c r="B16" s="24" t="str">
        <x:f>Issue_Candidate!B16</x:f>
        <x:v>管理</x:v>
      </x:c>
      <x:c r="C16" s="24" t="str">
        <x:f>Issue_Candidate!C16</x:f>
        <x:v>設備投資の共通優先順位基準の整備</x:v>
      </x:c>
      <x:c r="D16" s="24" t="n">
        <x:f>ROUND(0.30*Issue_Candidate!E16+0.25*Issue_Candidate!F16+0.20*Issue_Candidate!G16+0.10*Issue_Candidate!H16+0.10*Issue_Candidate!I16+0.05*Issue_Candidate!J16,1)</x:f>
        <x:v>55.8</x:v>
      </x:c>
      <x:c r="E16" s="24" t="n">
        <x:f>Issue_Candidate!K16</x:f>
        <x:v>0</x:v>
      </x:c>
      <x:c r="F16" s="24" t="n">
        <x:f>MIN(100,D16+E16)</x:f>
        <x:v>55.8</x:v>
      </x:c>
      <x:c r="G16" s="24" t="str">
        <x:f>IF(F16&gt;=80,"S",IF(F16&gt;=65,"A",IF(F16&gt;=50,"B",IF(F16&gt;=35,"C","詳細のみ"))))</x:f>
        <x:v>B</x:v>
      </x:c>
      <x:c r="H16" s="24" t="n">
        <x:f>Issue_Candidate!L16</x:f>
        <x:v>1</x:v>
      </x:c>
      <x:c r="I16" s="24" t="n">
        <x:f>IF(H16=1,RANK.EQ(F16,$F$4:$F$19,0)+COUNTIF($F$4:F16,F16)-1,"")</x:f>
        <x:v>12</x:v>
      </x:c>
      <x:c r="J16" s="24" t="str">
        <x:f>IF(AND(H16=1,I16&lt;=5),"TOP5","")</x:f>
      </x:c>
      <x:c r="K16" s="24" t="str">
        <x:v>正式TOP5では同一原因統合・分野偏重抑制を追加レビュー</x:v>
      </x:c>
    </x:row>
    <x:row r="17">
      <x:c r="A17" s="24" t="str">
        <x:f>Issue_Candidate!A17</x:f>
        <x:v>MG-03</x:v>
      </x:c>
      <x:c r="B17" s="24" t="str">
        <x:f>Issue_Candidate!B17</x:f>
        <x:v>管理</x:v>
      </x:c>
      <x:c r="C17" s="24" t="str">
        <x:f>Issue_Candidate!C17</x:f>
        <x:v>3年間の設備・建屋更新ロードマップ整理</x:v>
      </x:c>
      <x:c r="D17" s="24" t="n">
        <x:f>ROUND(0.30*Issue_Candidate!E17+0.25*Issue_Candidate!F17+0.20*Issue_Candidate!G17+0.10*Issue_Candidate!H17+0.10*Issue_Candidate!I17+0.05*Issue_Candidate!J17,1)</x:f>
        <x:v>57.8</x:v>
      </x:c>
      <x:c r="E17" s="24" t="n">
        <x:f>Issue_Candidate!K17</x:f>
        <x:v>0</x:v>
      </x:c>
      <x:c r="F17" s="24" t="n">
        <x:f>MIN(100,D17+E17)</x:f>
        <x:v>57.8</x:v>
      </x:c>
      <x:c r="G17" s="24" t="str">
        <x:f>IF(F17&gt;=80,"S",IF(F17&gt;=65,"A",IF(F17&gt;=50,"B",IF(F17&gt;=35,"C","詳細のみ"))))</x:f>
        <x:v>B</x:v>
      </x:c>
      <x:c r="H17" s="24" t="n">
        <x:f>Issue_Candidate!L17</x:f>
        <x:v>1</x:v>
      </x:c>
      <x:c r="I17" s="24" t="n">
        <x:f>IF(H17=1,RANK.EQ(F17,$F$4:$F$19,0)+COUNTIF($F$4:F17,F17)-1,"")</x:f>
        <x:v>11</x:v>
      </x:c>
      <x:c r="J17" s="24" t="str">
        <x:f>IF(AND(H17=1,I17&lt;=5),"TOP5","")</x:f>
      </x:c>
      <x:c r="K17" s="24" t="str">
        <x:v>正式TOP5では同一原因統合・分野偏重抑制を追加レビュー</x:v>
      </x:c>
    </x:row>
    <x:row r="18">
      <x:c r="A18" s="24" t="str">
        <x:f>Issue_Candidate!A18</x:f>
        <x:v>GR-01</x:v>
      </x:c>
      <x:c r="B18" s="24" t="str">
        <x:f>Issue_Candidate!B18</x:f>
        <x:v>Guardrail</x:v>
      </x:c>
      <x:c r="C18" s="24" t="str">
        <x:f>Issue_Candidate!C18</x:f>
        <x:v>安全・法令・品質・供給継続の未解決事項確認</x:v>
      </x:c>
      <x:c r="D18" s="24" t="n">
        <x:f>ROUND(0.30*Issue_Candidate!E18+0.25*Issue_Candidate!F18+0.20*Issue_Candidate!G18+0.10*Issue_Candidate!H18+0.10*Issue_Candidate!I18+0.05*Issue_Candidate!J18,1)</x:f>
        <x:v>69.3</x:v>
      </x:c>
      <x:c r="E18" s="24" t="n">
        <x:f>Issue_Candidate!K18</x:f>
        <x:v>12</x:v>
      </x:c>
      <x:c r="F18" s="24" t="n">
        <x:f>MIN(100,D18+E18)</x:f>
        <x:v>81.3</x:v>
      </x:c>
      <x:c r="G18" s="24" t="str">
        <x:f>IF(F18&gt;=80,"S",IF(F18&gt;=65,"A",IF(F18&gt;=50,"B",IF(F18&gt;=35,"C","詳細のみ"))))</x:f>
        <x:v>S</x:v>
      </x:c>
      <x:c r="H18" s="24" t="n">
        <x:f>Issue_Candidate!L18</x:f>
        <x:v>1</x:v>
      </x:c>
      <x:c r="I18" s="24" t="n">
        <x:f>IF(H18=1,RANK.EQ(F18,$F$4:$F$19,0)+COUNTIF($F$4:F18,F18)-1,"")</x:f>
        <x:v>1</x:v>
      </x:c>
      <x:c r="J18" s="24" t="str">
        <x:f>IF(AND(H18=1,I18&lt;=5),"TOP5","")</x:f>
        <x:v>TOP5</x:v>
      </x:c>
      <x:c r="K18" s="24" t="str">
        <x:v>正式TOP5では同一原因統合・分野偏重抑制を追加レビュー</x:v>
      </x:c>
    </x:row>
    <x:row r="19">
      <x:c r="A19" s="24" t="str">
        <x:f>Issue_Candidate!A19</x:f>
        <x:v>CU-01</x:v>
      </x:c>
      <x:c r="B19" s="24" t="str">
        <x:f>Issue_Candidate!B19</x:f>
        <x:v>個別</x:v>
      </x:c>
      <x:c r="C19" s="24" t="str">
        <x:f>Issue_Candidate!C19</x:f>
        <x:v>顧客固有課題のヒアリング</x:v>
      </x:c>
      <x:c r="D19" s="24" t="n">
        <x:f>ROUND(0.30*Issue_Candidate!E19+0.25*Issue_Candidate!F19+0.20*Issue_Candidate!G19+0.10*Issue_Candidate!H19+0.10*Issue_Candidate!I19+0.05*Issue_Candidate!J19,1)</x:f>
        <x:v>51.8</x:v>
      </x:c>
      <x:c r="E19" s="24" t="n">
        <x:f>Issue_Candidate!K19</x:f>
        <x:v>0</x:v>
      </x:c>
      <x:c r="F19" s="24" t="n">
        <x:f>MIN(100,D19+E19)</x:f>
        <x:v>51.8</x:v>
      </x:c>
      <x:c r="G19" s="24" t="str">
        <x:f>IF(F19&gt;=80,"S",IF(F19&gt;=65,"A",IF(F19&gt;=50,"B",IF(F19&gt;=35,"C","詳細のみ"))))</x:f>
        <x:v>B</x:v>
      </x:c>
      <x:c r="H19" s="24" t="n">
        <x:f>Issue_Candidate!L19</x:f>
        <x:v>1</x:v>
      </x:c>
      <x:c r="I19" s="24" t="n">
        <x:f>IF(H19=1,RANK.EQ(F19,$F$4:$F$19,0)+COUNTIF($F$4:F19,F19)-1,"")</x:f>
        <x:v>16</x:v>
      </x:c>
      <x:c r="J19" s="24" t="str">
        <x:f>IF(AND(H19=1,I19&lt;=5),"TOP5","")</x:f>
      </x:c>
      <x:c r="K19" s="24" t="str">
        <x:v>正式TOP5では同一原因統合・分野偏重抑制を追加レビュー</x:v>
      </x:c>
    </x:row>
  </x:sheetData>
  <x:mergeCells>
    <x:mergeCell ref="A1:K1"/>
    <x:mergeCell ref="A2:K2"/>
  </x:mergeCells>
  <x:conditionalFormatting sqref="F4:F19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{1CF0FC76-A31E-89CC-481A-F3AF0CDDF490}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CF0FC76-A31E-89CC-481A-F3AF0CDDF490}">
            <x14:dataBar gradient="1">
              <x14:cfvo type="min"/>
              <x14:cfvo type="max"/>
              <x14:fillColor rgb="FF156082"/>
            </x14:dataBar>
          </x14:cfRule>
          <xm:sqref>F4:F19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2" hidden="0" customWidth="1"/>
    <x:col min="8" max="8" width="20" hidden="0" customWidth="1"/>
  </x:cols>
  <x:sheetData>
    <x:row r="1">
      <x:c r="A1" s="4" t="str">
        <x:v>Decision Guardrail｜Web自己申告段階の候補表示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WQ-404回答を基に候補発動。Web自己申告は原則L2。『違反・危険が確定』とは断定せず、内容・期限・Evidenceの確認を促す。</x:v>
      </x:c>
      <x:c r="B2" s="10"/>
      <x:c r="C2" s="10"/>
      <x:c r="D2" s="10"/>
      <x:c r="E2" s="10"/>
      <x:c r="F2" s="10"/>
      <x:c r="G2" s="10"/>
      <x:c r="H2" s="10"/>
    </x:row>
    <x:row r="3">
      <x:c r="A3" s="18" t="str">
        <x:v>分類</x:v>
      </x:c>
      <x:c r="B3" s="18" t="str">
        <x:v>基礎順位</x:v>
      </x:c>
      <x:c r="C3" s="18" t="str">
        <x:v>該当</x:v>
      </x:c>
      <x:c r="D3" s="18" t="str">
        <x:v>重大度加点</x:v>
      </x:c>
      <x:c r="E3" s="18" t="str">
        <x:v>Evidence加点</x:v>
      </x:c>
      <x:c r="F3" s="18" t="str">
        <x:v>Priority Score</x:v>
      </x:c>
      <x:c r="G3" s="18" t="str">
        <x:v>表示文</x:v>
      </x:c>
      <x:c r="H3" s="18" t="str">
        <x:v>断定Level</x:v>
      </x:c>
    </x:row>
    <x:row r="4">
      <x:c r="A4" s="24" t="str">
        <x:v>安全・法令</x:v>
      </x:c>
      <x:c r="B4" s="24" t="n">
        <x:v>600</x:v>
      </x:c>
      <x:c r="C4" s="24" t="n">
        <x:f>--OR(ISNUMBER(SEARCH("安全",WQ_Normalize!C18)),ISNUMBER(SEARCH("法令",WQ_Normalize!C18)))</x:f>
        <x:v>0</x:v>
      </x:c>
      <x:c r="D4" s="24" t="n">
        <x:f>IF(C4=1,50,0)</x:f>
        <x:v>0</x:v>
      </x:c>
      <x:c r="E4" s="24" t="n">
        <x:f>IF(C4=1,15,0)</x:f>
        <x:v>0</x:v>
      </x:c>
      <x:c r="F4" s="24" t="n">
        <x:f>IF(C4=1,B4+D4+E4,0)</x:f>
        <x:v>0</x:v>
      </x:c>
      <x:c r="G4" s="24" t="str">
        <x:f>IF(C4=1,A4&amp;"に関する未解決課題が回答されています。内容と対応期限の確認が必要です。","")</x:f>
      </x:c>
      <x:c r="H4" s="24" t="str">
        <x:f>IF(C4=1,"L2","")</x:f>
      </x:c>
    </x:row>
    <x:row r="5">
      <x:c r="A5" s="24" t="str">
        <x:v>品質・顧客要求</x:v>
      </x:c>
      <x:c r="B5" s="24" t="n">
        <x:v>550</x:v>
      </x:c>
      <x:c r="C5" s="24" t="n">
        <x:f>--ISNUMBER(SEARCH("品質",WQ_Normalize!C18))</x:f>
        <x:v>0</x:v>
      </x:c>
      <x:c r="D5" s="24" t="n">
        <x:f>IF(C5=1,50,0)</x:f>
        <x:v>0</x:v>
      </x:c>
      <x:c r="E5" s="24" t="n">
        <x:f>IF(C5=1,15,0)</x:f>
        <x:v>0</x:v>
      </x:c>
      <x:c r="F5" s="24" t="n">
        <x:f>IF(C5=1,B5+D5+E5,0)</x:f>
        <x:v>0</x:v>
      </x:c>
      <x:c r="G5" s="24" t="str">
        <x:f>IF(C5=1,A5&amp;"に関する未解決課題が回答されています。内容と対応期限の確認が必要です。","")</x:f>
      </x:c>
      <x:c r="H5" s="24" t="str">
        <x:f>IF(C5=1,"L2","")</x:f>
      </x:c>
    </x:row>
    <x:row r="6">
      <x:c r="A6" s="24" t="str">
        <x:v>BCP・供給継続</x:v>
      </x:c>
      <x:c r="B6" s="24" t="n">
        <x:v>500</x:v>
      </x:c>
      <x:c r="C6" s="24" t="n">
        <x:f>--ISNUMBER(SEARCH("供給継続",WQ_Normalize!C18))</x:f>
        <x:v>1</x:v>
      </x:c>
      <x:c r="D6" s="24" t="n">
        <x:f>IF(C6=1,50,0)</x:f>
        <x:v>50</x:v>
      </x:c>
      <x:c r="E6" s="24" t="n">
        <x:f>IF(C6=1,15,0)</x:f>
        <x:v>15</x:v>
      </x:c>
      <x:c r="F6" s="24" t="n">
        <x:f>IF(C6=1,B6+D6+E6,0)</x:f>
        <x:v>565</x:v>
      </x:c>
      <x:c r="G6" s="24" t="str">
        <x:f>IF(C6=1,A6&amp;"に関する未解決課題が回答されています。内容と対応期限の確認が必要です。","")</x:f>
        <x:v>BCP・供給継続に関する未解決課題が回答されています。内容と対応期限の確認が必要です。</x:v>
      </x:c>
      <x:c r="H6" s="24" t="str">
        <x:f>IF(C6=1,"L2","")</x:f>
        <x:v>L2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24" hidden="0" customWidth="1"/>
    <x:col min="6" max="6" width="20" hidden="0" customWidth="1"/>
    <x:col min="7" max="7" width="20" hidden="0" customWidth="1"/>
    <x:col min="8" max="8" width="30" hidden="0" customWidth="1"/>
  </x:cols>
  <x:sheetData>
    <x:row r="1">
      <x:c r="A1" s="4" t="str">
        <x:v>Web簡易KPI｜参考値（正式EDI・DRI・EPIを置換しない）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公開18問では詳細診断の全構成質問を満たさないため、Web簡易参考値として算出。正式値はV2.2シート13の算定式を正とする。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指標</x:v>
      </x:c>
      <x:c r="B4" s="18" t="str">
        <x:v>参考値</x:v>
      </x:c>
      <x:c r="C4" s="18" t="str">
        <x:v>評価</x:v>
      </x:c>
      <x:c r="D4" s="18" t="str">
        <x:v>構成</x:v>
      </x:c>
      <x:c r="E4" s="18" t="str">
        <x:v>正式値との関係</x:v>
      </x:c>
      <x:c r="F4" s="18" t="str">
        <x:v>TOP5用R</x:v>
      </x:c>
      <x:c r="G4" s="18" t="str">
        <x:v>Case_ID</x:v>
      </x:c>
      <x:c r="H4" s="18" t="str">
        <x:v>注記</x:v>
      </x:c>
    </x:row>
    <x:row r="5">
      <x:c r="A5" s="24" t="str">
        <x:v>Web_EDI</x:v>
      </x:c>
      <x:c r="B5" s="24" t="n">
        <x:f>ROUND(0.40*AVERAGE(WQ_Normalize!D4:D7)+0.20*AVERAGE(WQ_Normalize!D8:D9,WQ_Normalize!D11)+0.20*AVERAGE(WQ_Normalize!D12:D14)+0.20*AVERAGE(WQ_Normalize!D15,WQ_Normalize!D17),0)</x:f>
        <x:v>43</x:v>
      </x:c>
      <x:c r="C5" s="24" t="str">
        <x:f>IF(B5&gt;=80,"良好",IF(B5&gt;=65,"概ね良好",IF(B5&gt;=50,"注意",IF(B5&gt;=35,"要改善","要優先対応"))))</x:f>
        <x:v>要改善</x:v>
      </x:c>
      <x:c r="D5" s="24" t="str">
        <x:v>設備40%・エネルギー20%・建屋20%・管理20%</x:v>
      </x:c>
      <x:c r="E5" s="24" t="str">
        <x:v>参考値</x:v>
      </x:c>
      <x:c r="F5" s="24" t="str"/>
      <x:c r="G5" s="24" t="str">
        <x:f>Forms_Response!A4</x:f>
        <x:v>TC-WEB-A</x:v>
      </x:c>
      <x:c r="H5" s="24" t="str">
        <x:v>高いほど状態・管理が良好</x:v>
      </x:c>
    </x:row>
    <x:row r="6">
      <x:c r="A6" s="24" t="str">
        <x:v>Web_DRI</x:v>
      </x:c>
      <x:c r="B6" s="24" t="n">
        <x:f>ROUND(0.30*AVERAGE(WQ_Normalize!D4:D5,WQ_Normalize!D8:D9,WQ_Normalize!D13)+0.25*AVERAGE(WQ_Normalize!D6:D7,WQ_Normalize!D10)+0.20*WQ_Normalize!D11+0.15*AVERAGE(WQ_Normalize!D15:D17)+0.10*WQ_Normalize!D17,0)</x:f>
        <x:v>36</x:v>
      </x:c>
      <x:c r="C6" s="24" t="str">
        <x:f>IF(B6&gt;=80,"判断可能",IF(B6&gt;=65,"概ね判断可能",IF(B6&gt;=50,"判断準備中",IF(B6&gt;=35,"判断困難","判断保留"))))</x:f>
        <x:v>判断困難</x:v>
      </x:c>
      <x:c r="D6" s="24" t="str">
        <x:v>情報30%・技術25%・効果20%・体制15%・準備10%</x:v>
      </x:c>
      <x:c r="E6" s="24" t="str">
        <x:v>参考値</x:v>
      </x:c>
      <x:c r="F6" s="24" t="n">
        <x:f>IF(B6&gt;=80,100,IF(B6&gt;=65,80,IF(B6&gt;=50,55,IF(B6&gt;=35,30,10))))</x:f>
        <x:v>30</x:v>
      </x:c>
      <x:c r="G6" s="24" t="str">
        <x:f>Forms_Response!A4</x:f>
        <x:v>TC-WEB-A</x:v>
      </x:c>
      <x:c r="H6" s="24" t="str">
        <x:v>高いほど判断材料が整う</x:v>
      </x:c>
    </x:row>
    <x:row r="7">
      <x:c r="A7" s="24" t="str">
        <x:v>Web_EPI</x:v>
      </x:c>
      <x:c r="B7" s="24" t="n">
        <x:f>ROUND(0.30*WQ_Normalize!E19+0.25*AVERAGE(WQ_Normalize!E6,WQ_Normalize!E14)+0.25*AVERAGE(WQ_Normalize!E7,IF(WQ_Normalize!C18="ない",15,IF(OR(WQ_Normalize!C18="不明",WQ_Normalize!C18=""),40,75)))+0.20*IF(WQ_Normalize!D11&gt;=80,20,IF(WQ_Normalize!D11&gt;=50,60,100)),0)</x:f>
        <x:v>80</x:v>
      </x:c>
      <x:c r="C7" s="24" t="str">
        <x:f>IF(B7&gt;=80,"最優先",IF(B7&gt;=65,"早期対応",IF(B7&gt;=50,"計画対応",IF(B7&gt;=35,"継続監視","低優先"))))</x:f>
        <x:v>最優先</x:v>
      </x:c>
      <x:c r="D7" s="24" t="str">
        <x:v>緊急30%・影響25%・リスク25%・機会20%</x:v>
      </x:c>
      <x:c r="E7" s="24" t="str">
        <x:v>参考値</x:v>
      </x:c>
      <x:c r="F7" s="24" t="str"/>
      <x:c r="G7" s="24" t="str">
        <x:f>Forms_Response!A4</x:f>
        <x:v>TC-WEB-A</x:v>
      </x:c>
      <x:c r="H7" s="24" t="str">
        <x:v>高いほど早期対応が必要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2" t="str">
        <x:v>Energy Doctor｜公開簡易診断 A3出力用データ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10" t="str">
        <x:v>これはA3レポートへの差込用データ。Web簡易KPIは参考値であり、正式発行時は担当者がGuardrail・TOP5・文章を確認する。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8" t="str">
        <x:v>Case_ID</x:v>
      </x:c>
      <x:c r="B4" s="28" t="str">
        <x:f>Forms_Response!A4</x:f>
        <x:v>TC-WEB-A</x:v>
      </x:c>
      <x:c r="C4" s="28"/>
      <x:c r="D4" s="28" t="str">
        <x:v>Web_EPI</x:v>
      </x:c>
      <x:c r="E4" s="28" t="n">
        <x:f>Web_KPI!B7</x:f>
        <x:v>80</x:v>
      </x:c>
      <x:c r="F4" s="24"/>
      <x:c r="G4" s="24"/>
      <x:c r="H4" s="24"/>
      <x:c r="I4" s="24"/>
      <x:c r="J4" s="24"/>
    </x:row>
    <x:row r="5">
      <x:c r="A5" s="28" t="str">
        <x:v>会社名</x:v>
      </x:c>
      <x:c r="B5" s="28" t="str">
        <x:f>Forms_Response!C4</x:f>
        <x:v>SAMPLE製作所</x:v>
      </x:c>
      <x:c r="C5" s="28"/>
      <x:c r="D5" s="28" t="str">
        <x:v>診断区分</x:v>
      </x:c>
      <x:c r="E5" s="28" t="str">
        <x:v>公開簡易診断</x:v>
      </x:c>
      <x:c r="F5" s="24"/>
      <x:c r="G5" s="24"/>
      <x:c r="H5" s="24"/>
      <x:c r="I5" s="24"/>
      <x:c r="J5" s="24"/>
    </x:row>
    <x:row r="6">
      <x:c r="A6" s="28" t="str">
        <x:v>事業所名</x:v>
      </x:c>
      <x:c r="B6" s="28" t="str">
        <x:f>Forms_Response!D4</x:f>
        <x:v>大阪工場</x:v>
      </x:c>
      <x:c r="C6" s="28"/>
      <x:c r="D6" s="28" t="str">
        <x:v>Evidence</x:v>
      </x:c>
      <x:c r="E6" s="28" t="str">
        <x:v>L2: Web自己申告</x:v>
      </x:c>
      <x:c r="F6" s="24"/>
      <x:c r="G6" s="24"/>
      <x:c r="H6" s="24"/>
      <x:c r="I6" s="24"/>
      <x:c r="J6" s="24"/>
    </x:row>
    <x:row r="7">
      <x:c r="A7" s="28" t="str">
        <x:v>Web_EDI</x:v>
      </x:c>
      <x:c r="B7" s="28" t="n">
        <x:f>Web_KPI!B5</x:f>
        <x:v>43</x:v>
      </x:c>
      <x:c r="C7" s="28"/>
      <x:c r="D7" s="28"/>
      <x:c r="E7" s="28"/>
      <x:c r="F7" s="24"/>
      <x:c r="G7" s="24"/>
      <x:c r="H7" s="24"/>
      <x:c r="I7" s="24"/>
      <x:c r="J7" s="24"/>
    </x:row>
    <x:row r="8">
      <x:c r="A8" s="28" t="str">
        <x:v>Web_DRI</x:v>
      </x:c>
      <x:c r="B8" s="28" t="n">
        <x:f>Web_KPI!B6</x:f>
        <x:v>36</x:v>
      </x:c>
      <x:c r="C8" s="28"/>
      <x:c r="D8" s="28"/>
      <x:c r="E8" s="28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18" t="str">
        <x:v>Decision Guardrail</x:v>
      </x:c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28" t="str">
        <x:v>順位</x:v>
      </x:c>
      <x:c r="B11" s="28" t="str">
        <x:v>分類</x:v>
      </x:c>
      <x:c r="C11" s="28" t="str">
        <x:v>表示文</x:v>
      </x:c>
      <x:c r="D11" s="24"/>
      <x:c r="E11" s="24"/>
      <x:c r="F11" s="24"/>
      <x:c r="G11" s="24"/>
      <x:c r="H11" s="24"/>
      <x:c r="I11" s="24"/>
      <x:c r="J11" s="24"/>
    </x:row>
    <x:row r="12">
      <x:c r="A12" s="24" t="n">
        <x:v>1</x:v>
      </x:c>
      <x:c r="B12" s="24" t="str">
        <x:f>IFERROR(IF(LARGE(Guardrail!$F$4:$F$6,1)=0,"",INDEX(Guardrail!$A$4:$A$6,MATCH(LARGE(Guardrail!$F$4:$F$6,1),Guardrail!$F$4:$F$6,0))),"")</x:f>
        <x:v>BCP・供給継続</x:v>
      </x:c>
      <x:c r="C12" s="24" t="str">
        <x:f>IFERROR(IF(LARGE(Guardrail!$F$4:$F$6,1)=0,"",INDEX(Guardrail!$G$4:$G$6,MATCH(LARGE(Guardrail!$F$4:$F$6,1),Guardrail!$F$4:$F$6,0))),"")</x:f>
        <x:v>BCP・供給継続に関する未解決課題が回答されています。内容と対応期限の確認が必要です。</x:v>
      </x:c>
      <x:c r="D12" s="24"/>
      <x:c r="E12" s="24"/>
      <x:c r="F12" s="24"/>
      <x:c r="G12" s="24"/>
      <x:c r="H12" s="24"/>
      <x:c r="I12" s="24"/>
      <x:c r="J12" s="24"/>
    </x:row>
    <x:row r="13">
      <x:c r="A13" s="24" t="n">
        <x:v>2</x:v>
      </x:c>
      <x:c r="B13" s="24" t="str">
        <x:f>IFERROR(IF(LARGE(Guardrail!$F$4:$F$6,2)=0,"",INDEX(Guardrail!$A$4:$A$6,MATCH(LARGE(Guardrail!$F$4:$F$6,2),Guardrail!$F$4:$F$6,0))),"")</x:f>
      </x:c>
      <x:c r="C13" s="24" t="str">
        <x:f>IFERROR(IF(LARGE(Guardrail!$F$4:$F$6,2)=0,"",INDEX(Guardrail!$G$4:$G$6,MATCH(LARGE(Guardrail!$F$4:$F$6,2),Guardrail!$F$4:$F$6,0))),"")</x:f>
      </x:c>
      <x:c r="D13" s="24"/>
      <x:c r="E13" s="24"/>
      <x:c r="F13" s="24"/>
      <x:c r="G13" s="24"/>
      <x:c r="H13" s="24"/>
      <x:c r="I13" s="24"/>
      <x:c r="J13" s="24"/>
    </x:row>
    <x:row r="14">
      <x:c r="A14" s="24" t="n">
        <x:v>3</x:v>
      </x:c>
      <x:c r="B14" s="24" t="str">
        <x:f>IFERROR(IF(LARGE(Guardrail!$F$4:$F$6,3)=0,"",INDEX(Guardrail!$A$4:$A$6,MATCH(LARGE(Guardrail!$F$4:$F$6,3),Guardrail!$F$4:$F$6,0))),"")</x:f>
      </x:c>
      <x:c r="C14" s="24" t="str">
        <x:f>IFERROR(IF(LARGE(Guardrail!$F$4:$F$6,3)=0,"",INDEX(Guardrail!$G$4:$G$6,MATCH(LARGE(Guardrail!$F$4:$F$6,3),Guardrail!$F$4:$F$6,0))),"")</x:f>
      </x:c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18" t="str">
        <x:v>優先課題 TOP5</x:v>
      </x:c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8" t="str">
        <x:v>順位</x:v>
      </x:c>
      <x:c r="B18" s="28" t="str">
        <x:v>Issue_ID</x:v>
      </x:c>
      <x:c r="C18" s="28" t="str">
        <x:v>分野</x:v>
      </x:c>
      <x:c r="D18" s="28" t="str">
        <x:v>課題名称</x:v>
      </x:c>
      <x:c r="E18" s="28" t="str">
        <x:v>TOP_SCORE</x:v>
      </x:c>
      <x:c r="F18" s="28" t="str">
        <x:v>評価</x:v>
      </x:c>
      <x:c r="G18" s="24"/>
      <x:c r="H18" s="24"/>
      <x:c r="I18" s="24"/>
      <x:c r="J18" s="24"/>
    </x:row>
    <x:row r="19">
      <x:c r="A19" s="24" t="n">
        <x:v>1</x:v>
      </x:c>
      <x:c r="B19" s="24" t="str">
        <x:f>IFERROR(INDEX(TOP5_Final!$A$4:$A$18,MATCH(1,TOP5_Final!$I$4:$I$18,0)),"")</x:f>
        <x:v>GR-01</x:v>
      </x:c>
      <x:c r="C19" s="24" t="str">
        <x:f>IFERROR(INDEX(TOP5_Final!$B$4:$B$18,MATCH(1,TOP5_Final!$I$4:$I$18,0)),"")</x:f>
        <x:v>Guardrail</x:v>
      </x:c>
      <x:c r="D19" s="24" t="str">
        <x:f>IFERROR(INDEX(TOP5_Final!$C$4:$C$18,MATCH(1,TOP5_Final!$I$4:$I$18,0)),"")</x:f>
        <x:v>安全・法令・品質・供給継続の未解決事項確認</x:v>
      </x:c>
      <x:c r="E19" s="24" t="n">
        <x:f>IFERROR(INDEX(TOP5_Final!$E$4:$E$18,MATCH(1,TOP5_Final!$I$4:$I$18,0)),"")</x:f>
        <x:v>81.3</x:v>
      </x:c>
      <x:c r="F19" s="24" t="str">
        <x:f>IFERROR(INDEX(TOP5_Final!$F$4:$F$18,MATCH(1,TOP5_Final!$I$4:$I$18,0)),"")</x:f>
        <x:v>S</x:v>
      </x:c>
      <x:c r="G19" s="24"/>
      <x:c r="H19" s="24"/>
      <x:c r="I19" s="24"/>
      <x:c r="J19" s="24"/>
    </x:row>
    <x:row r="20">
      <x:c r="A20" s="24" t="n">
        <x:v>2</x:v>
      </x:c>
      <x:c r="B20" s="24" t="str">
        <x:f>IFERROR(INDEX(TOP5_Final!$A$4:$A$18,MATCH(2,TOP5_Final!$I$4:$I$18,0)),"")</x:f>
        <x:v>EQ-03</x:v>
      </x:c>
      <x:c r="C20" s="24" t="str">
        <x:f>IFERROR(INDEX(TOP5_Final!$B$4:$B$18,MATCH(2,TOP5_Final!$I$4:$I$18,0)),"")</x:f>
        <x:v>設備</x:v>
      </x:c>
      <x:c r="D20" s="24" t="str">
        <x:f>IFERROR(INDEX(TOP5_Final!$C$4:$C$18,MATCH(2,TOP5_Final!$I$4:$I$18,0)),"")</x:f>
        <x:v>重要設備のEOL・復旧リスク確認</x:v>
      </x:c>
      <x:c r="E20" s="24" t="n">
        <x:f>IFERROR(INDEX(TOP5_Final!$E$4:$E$18,MATCH(2,TOP5_Final!$I$4:$I$18,0)),"")</x:f>
        <x:v>74.3</x:v>
      </x:c>
      <x:c r="F20" s="24" t="str">
        <x:f>IFERROR(INDEX(TOP5_Final!$F$4:$F$18,MATCH(2,TOP5_Final!$I$4:$I$18,0)),"")</x:f>
        <x:v>A</x:v>
      </x:c>
      <x:c r="G20" s="24"/>
      <x:c r="H20" s="24"/>
      <x:c r="I20" s="24"/>
      <x:c r="J20" s="24"/>
    </x:row>
    <x:row r="21">
      <x:c r="A21" s="24" t="n">
        <x:v>3</x:v>
      </x:c>
      <x:c r="B21" s="24" t="str">
        <x:f>IFERROR(INDEX(TOP5_Final!$A$4:$A$18,MATCH(3,TOP5_Final!$I$4:$I$18,0)),"")</x:f>
        <x:v>BL-03</x:v>
      </x:c>
      <x:c r="C21" s="24" t="str">
        <x:f>IFERROR(INDEX(TOP5_Final!$B$4:$B$18,MATCH(3,TOP5_Final!$I$4:$I$18,0)),"")</x:f>
        <x:v>建屋</x:v>
      </x:c>
      <x:c r="D21" s="24" t="str">
        <x:f>IFERROR(INDEX(TOP5_Final!$C$4:$C$18,MATCH(3,TOP5_Final!$I$4:$I$18,0)),"")</x:f>
        <x:v>建屋環境による品質・操業影響の優先確認</x:v>
      </x:c>
      <x:c r="E21" s="24" t="n">
        <x:f>IFERROR(INDEX(TOP5_Final!$E$4:$E$18,MATCH(3,TOP5_Final!$I$4:$I$18,0)),"")</x:f>
        <x:v>66.3</x:v>
      </x:c>
      <x:c r="F21" s="24" t="str">
        <x:f>IFERROR(INDEX(TOP5_Final!$F$4:$F$18,MATCH(3,TOP5_Final!$I$4:$I$18,0)),"")</x:f>
        <x:v>A</x:v>
      </x:c>
      <x:c r="G21" s="24"/>
      <x:c r="H21" s="24"/>
      <x:c r="I21" s="24"/>
      <x:c r="J21" s="24"/>
    </x:row>
    <x:row r="22">
      <x:c r="A22" s="24" t="n">
        <x:v>4</x:v>
      </x:c>
      <x:c r="B22" s="24" t="str">
        <x:f>IFERROR(INDEX(TOP5_Final!$A$4:$A$18,MATCH(4,TOP5_Final!$I$4:$I$18,0)),"")</x:f>
        <x:v>BL-02</x:v>
      </x:c>
      <x:c r="C22" s="24" t="str">
        <x:f>IFERROR(INDEX(TOP5_Final!$B$4:$B$18,MATCH(4,TOP5_Final!$I$4:$I$18,0)),"")</x:f>
        <x:v>建屋</x:v>
      </x:c>
      <x:c r="D22" s="24" t="str">
        <x:f>IFERROR(INDEX(TOP5_Final!$C$4:$C$18,MATCH(4,TOP5_Final!$I$4:$I$18,0)),"")</x:f>
        <x:v>建屋点検・修繕優先順位の整理</x:v>
      </x:c>
      <x:c r="E22" s="24" t="n">
        <x:f>IFERROR(INDEX(TOP5_Final!$E$4:$E$18,MATCH(4,TOP5_Final!$I$4:$I$18,0)),"")</x:f>
        <x:v>62.3</x:v>
      </x:c>
      <x:c r="F22" s="24" t="str">
        <x:f>IFERROR(INDEX(TOP5_Final!$F$4:$F$18,MATCH(4,TOP5_Final!$I$4:$I$18,0)),"")</x:f>
        <x:v>B</x:v>
      </x:c>
      <x:c r="G22" s="24"/>
      <x:c r="H22" s="24"/>
      <x:c r="I22" s="24"/>
      <x:c r="J22" s="24"/>
    </x:row>
    <x:row r="23">
      <x:c r="A23" s="24" t="n">
        <x:v>5</x:v>
      </x:c>
      <x:c r="B23" s="24" t="str">
        <x:f>IFERROR(INDEX(TOP5_Final!$A$4:$A$18,MATCH(5,TOP5_Final!$I$4:$I$18,0)),"")</x:f>
        <x:v>EN-01</x:v>
      </x:c>
      <x:c r="C23" s="24" t="str">
        <x:f>IFERROR(INDEX(TOP5_Final!$B$4:$B$18,MATCH(5,TOP5_Final!$I$4:$I$18,0)),"")</x:f>
        <x:v>エネルギー</x:v>
      </x:c>
      <x:c r="D23" s="24" t="str">
        <x:f>IFERROR(INDEX(TOP5_Final!$C$4:$C$18,MATCH(5,TOP5_Final!$I$4:$I$18,0)),"")</x:f>
        <x:v>電力使用量・デマンド管理の高度化</x:v>
      </x:c>
      <x:c r="E23" s="24" t="n">
        <x:f>IFERROR(INDEX(TOP5_Final!$E$4:$E$18,MATCH(5,TOP5_Final!$I$4:$I$18,0)),"")</x:f>
        <x:v>60.8</x:v>
      </x:c>
      <x:c r="F23" s="24" t="str">
        <x:f>IFERROR(INDEX(TOP5_Final!$F$4:$F$18,MATCH(5,TOP5_Final!$I$4:$I$18,0)),"")</x:f>
        <x:v>B</x:v>
      </x:c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18" t="str">
        <x:v>次のアクション（担当者確認用）</x:v>
      </x:c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0" t="str">
        <x:v>TOP5とGuardrailを確認し、必要な詳細情報（設備型式、図面、故障履歴、電力データ、点検資料等）を個別フォローで確認。正式A3発行時にEvidence Levelと判断根拠を更新する。</x:v>
      </x:c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</x:row>
  </x:sheetData>
  <x:mergeCells>
    <x:mergeCell ref="A1:J1"/>
    <x:mergeCell ref="A2:J2"/>
    <x:mergeCell ref="A10:J10"/>
    <x:mergeCell ref="A17:J17"/>
    <x:mergeCell ref="A26:J26"/>
    <x:mergeCell ref="A27:J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18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1" hidden="0" customWidth="1"/>
  </x:cols>
  <x:sheetData>
    <x:row r="1">
      <x:c r="A1" s="38" t="str">
        <x:v>TOP5最終選定｜重複統合・分野偏重抑制を適用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既存TOP_SCOREを変更せず、TOP-R02（同一原因統合）・TOP-R03（同一分野最大2件）を後処理。安全・法令Sは例外。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Candidate_ID</x:v>
      </x:c>
      <x:c r="B3" s="41" t="str">
        <x:v>分野</x:v>
      </x:c>
      <x:c r="C3" s="41" t="str">
        <x:v>最終課題名称</x:v>
      </x:c>
      <x:c r="D3" s="41" t="str">
        <x:v>元Issue</x:v>
      </x:c>
      <x:c r="E3" s="41" t="str">
        <x:v>Score</x:v>
      </x:c>
      <x:c r="F3" s="41" t="str">
        <x:v>評価</x:v>
      </x:c>
      <x:c r="G3" s="41" t="str">
        <x:v>分野内順位</x:v>
      </x:c>
      <x:c r="H3" s="41" t="str">
        <x:v>候補可否</x:v>
      </x:c>
      <x:c r="I3" s="41" t="str">
        <x:v>最終順位</x:v>
      </x:c>
      <x:c r="J3" s="41" t="str">
        <x:v>TOP5</x:v>
      </x:c>
      <x:c r="K3" s="24" t="str">
        <x:v>TiePriority</x:v>
      </x:c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EQ-01</x:v>
      </x:c>
      <x:c r="B4" s="24" t="str">
        <x:v>設備</x:v>
      </x:c>
      <x:c r="C4" s="24" t="str">
        <x:v>主要設備の年式・更新履歴整理</x:v>
      </x:c>
      <x:c r="D4" s="24" t="str">
        <x:v>IS-01</x:v>
      </x:c>
      <x:c r="E4" s="24" t="n">
        <x:f>IF(TOP5_Calc!$H$4=1,TOP5_Calc!$F$4,0)</x:f>
        <x:v>51.8</x:v>
      </x:c>
      <x:c r="F4" s="24" t="str">
        <x:f>IF(E4&gt;=80,"S",IF(E4&gt;=65,"A",IF(E4&gt;=50,"B",IF(E4&gt;=35,"C","詳細のみ"))))</x:f>
        <x:v>B</x:v>
      </x:c>
      <x:c r="G4" s="24" t="n">
        <x:f>COUNTIFS($B$4:$B$18,B4,$E$4:$E$18,"&gt;"&amp;E4)+1</x:f>
        <x:v>2</x:v>
      </x:c>
      <x:c r="H4" s="24" t="n">
        <x:f>IF(E4&lt;35,0,IF(B4="Guardrail",1,IF(G4&lt;=2,1,0)))</x:f>
        <x:v>1</x:v>
      </x:c>
      <x:c r="I4" s="24" t="n">
        <x:f>IF(H4=1,1+COUNTIFS($H$4:$H$18,1,$E$4:$E$18,"&gt;"&amp;E4)+COUNTIFS($H$4:$H$18,1,$E$4:$E$18,E4,$K$4:$K$18,"&lt;"&amp;K4)+COUNTIFS($H$4:H4,1,$E$4:E4,E4,$K$4:K4,K4)-1,"")</x:f>
        <x:v>9</x:v>
      </x:c>
      <x:c r="J4" s="24" t="str">
        <x:f>IF(AND(H4=1,I4&lt;=5),"TOP5","")</x:f>
      </x:c>
      <x:c r="K4" s="24" t="n">
        <x:f>IF(B4="Guardrail",1,2)</x:f>
        <x:v>2</x:v>
      </x:c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EQ-02</x:v>
      </x:c>
      <x:c r="B5" s="24" t="str">
        <x:v>設備</x:v>
      </x:c>
      <x:c r="C5" s="24" t="str">
        <x:v>故障・停止履歴の整理と傾向確認</x:v>
      </x:c>
      <x:c r="D5" s="24" t="str">
        <x:v>IS-02</x:v>
      </x:c>
      <x:c r="E5" s="24" t="n">
        <x:f>IF(TOP5_Calc!$H$5=1,TOP5_Calc!$F$5,0)</x:f>
        <x:v>51.8</x:v>
      </x:c>
      <x:c r="F5" s="24" t="str">
        <x:f>IF(E5&gt;=80,"S",IF(E5&gt;=65,"A",IF(E5&gt;=50,"B",IF(E5&gt;=35,"C","詳細のみ"))))</x:f>
        <x:v>B</x:v>
      </x:c>
      <x:c r="G5" s="24" t="n">
        <x:f>COUNTIFS($B$4:$B$18,B5,$E$4:$E$18,"&gt;"&amp;E5)+1</x:f>
        <x:v>2</x:v>
      </x:c>
      <x:c r="H5" s="24" t="n">
        <x:f>IF(E5&lt;35,0,IF(B5="Guardrail",1,IF(G5&lt;=2,1,0)))</x:f>
        <x:v>1</x:v>
      </x:c>
      <x:c r="I5" s="24" t="n">
        <x:f>IF(H5=1,1+COUNTIFS($H$4:$H$18,1,$E$4:$E$18,"&gt;"&amp;E5)+COUNTIFS($H$4:$H$18,1,$E$4:$E$18,E5,$K$4:$K$18,"&lt;"&amp;K5)+COUNTIFS($H$4:H5,1,$E$4:E5,E5,$K$4:K5,K5)-1,"")</x:f>
        <x:v>10</x:v>
      </x:c>
      <x:c r="J5" s="24" t="str">
        <x:f>IF(AND(H5=1,I5&lt;=5),"TOP5","")</x:f>
      </x:c>
      <x:c r="K5" s="24" t="n">
        <x:f>IF(B5="Guardrail",1,2)</x:f>
        <x:v>2</x:v>
      </x:c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EQ-03</x:v>
      </x:c>
      <x:c r="B6" s="24" t="str">
        <x:v>設備</x:v>
      </x:c>
      <x:c r="C6" s="24" t="str">
        <x:v>重要設備のEOL・復旧リスク確認</x:v>
      </x:c>
      <x:c r="D6" s="24" t="str">
        <x:v>IS-03/IS-04</x:v>
      </x:c>
      <x:c r="E6" s="24" t="n">
        <x:f>MAX(IF(TOP5_Calc!$H$6=1,TOP5_Calc!$F$6,0),IF(TOP5_Calc!$H$7=1,TOP5_Calc!$F$7,0))</x:f>
        <x:v>74.3</x:v>
      </x:c>
      <x:c r="F6" s="24" t="str">
        <x:f>IF(E6&gt;=80,"S",IF(E6&gt;=65,"A",IF(E6&gt;=50,"B",IF(E6&gt;=35,"C","詳細のみ"))))</x:f>
        <x:v>A</x:v>
      </x:c>
      <x:c r="G6" s="24" t="n">
        <x:f>COUNTIFS($B$4:$B$18,B6,$E$4:$E$18,"&gt;"&amp;E6)+1</x:f>
        <x:v>1</x:v>
      </x:c>
      <x:c r="H6" s="24" t="n">
        <x:f>IF(E6&lt;35,0,IF(B6="Guardrail",1,IF(G6&lt;=2,1,0)))</x:f>
        <x:v>1</x:v>
      </x:c>
      <x:c r="I6" s="24" t="n">
        <x:f>IF(H6=1,1+COUNTIFS($H$4:$H$18,1,$E$4:$E$18,"&gt;"&amp;E6)+COUNTIFS($H$4:$H$18,1,$E$4:$E$18,E6,$K$4:$K$18,"&lt;"&amp;K6)+COUNTIFS($H$4:H6,1,$E$4:E6,E6,$K$4:K6,K6)-1,"")</x:f>
        <x:v>2</x:v>
      </x:c>
      <x:c r="J6" s="24" t="str">
        <x:f>IF(AND(H6=1,I6&lt;=5),"TOP5","")</x:f>
        <x:v>TOP5</x:v>
      </x:c>
      <x:c r="K6" s="24" t="n">
        <x:f>IF(B6="Guardrail",1,2)</x:f>
        <x:v>2</x:v>
      </x:c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EN-01</x:v>
      </x:c>
      <x:c r="B7" s="24" t="str">
        <x:v>エネルギー</x:v>
      </x:c>
      <x:c r="C7" s="24" t="str">
        <x:v>電力使用量・デマンド管理の高度化</x:v>
      </x:c>
      <x:c r="D7" s="24" t="str">
        <x:v>EN-01</x:v>
      </x:c>
      <x:c r="E7" s="24" t="n">
        <x:f>IF(TOP5_Calc!$H$8=1,TOP5_Calc!$F$8,0)</x:f>
        <x:v>60.8</x:v>
      </x:c>
      <x:c r="F7" s="24" t="str">
        <x:f>IF(E7&gt;=80,"S",IF(E7&gt;=65,"A",IF(E7&gt;=50,"B",IF(E7&gt;=35,"C","詳細のみ"))))</x:f>
        <x:v>B</x:v>
      </x:c>
      <x:c r="G7" s="24" t="n">
        <x:f>COUNTIFS($B$4:$B$18,B7,$E$4:$E$18,"&gt;"&amp;E7)+1</x:f>
        <x:v>1</x:v>
      </x:c>
      <x:c r="H7" s="24" t="n">
        <x:f>IF(E7&lt;35,0,IF(B7="Guardrail",1,IF(G7&lt;=2,1,0)))</x:f>
        <x:v>1</x:v>
      </x:c>
      <x:c r="I7" s="24" t="n">
        <x:f>IF(H7=1,1+COUNTIFS($H$4:$H$18,1,$E$4:$E$18,"&gt;"&amp;E7)+COUNTIFS($H$4:$H$18,1,$E$4:$E$18,E7,$K$4:$K$18,"&lt;"&amp;K7)+COUNTIFS($H$4:H7,1,$E$4:E7,E7,$K$4:K7,K7)-1,"")</x:f>
        <x:v>5</x:v>
      </x:c>
      <x:c r="J7" s="24" t="str">
        <x:f>IF(AND(H7=1,I7&lt;=5),"TOP5","")</x:f>
        <x:v>TOP5</x:v>
      </x:c>
      <x:c r="K7" s="24" t="n">
        <x:f>IF(B7="Guardrail",1,2)</x:f>
        <x:v>2</x:v>
      </x:c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EN-02</x:v>
      </x:c>
      <x:c r="B8" s="24" t="str">
        <x:v>エネルギー</x:v>
      </x:c>
      <x:c r="C8" s="24" t="str">
        <x:v>設備・工程別エネルギー使用の把握</x:v>
      </x:c>
      <x:c r="D8" s="24" t="str">
        <x:v>EN-02</x:v>
      </x:c>
      <x:c r="E8" s="24" t="n">
        <x:f>IF(TOP5_Calc!$H$9=1,TOP5_Calc!$F$9,0)</x:f>
        <x:v>60.8</x:v>
      </x:c>
      <x:c r="F8" s="24" t="str">
        <x:f>IF(E8&gt;=80,"S",IF(E8&gt;=65,"A",IF(E8&gt;=50,"B",IF(E8&gt;=35,"C","詳細のみ"))))</x:f>
        <x:v>B</x:v>
      </x:c>
      <x:c r="G8" s="24" t="n">
        <x:f>COUNTIFS($B$4:$B$18,B8,$E$4:$E$18,"&gt;"&amp;E8)+1</x:f>
        <x:v>1</x:v>
      </x:c>
      <x:c r="H8" s="24" t="n">
        <x:f>IF(E8&lt;35,0,IF(B8="Guardrail",1,IF(G8&lt;=2,1,0)))</x:f>
        <x:v>1</x:v>
      </x:c>
      <x:c r="I8" s="24" t="n">
        <x:f>IF(H8=1,1+COUNTIFS($H$4:$H$18,1,$E$4:$E$18,"&gt;"&amp;E8)+COUNTIFS($H$4:$H$18,1,$E$4:$E$18,E8,$K$4:$K$18,"&lt;"&amp;K8)+COUNTIFS($H$4:H8,1,$E$4:E8,E8,$K$4:K8,K8)-1,"")</x:f>
        <x:v>6</x:v>
      </x:c>
      <x:c r="J8" s="24" t="str">
        <x:f>IF(AND(H8=1,I8&lt;=5),"TOP5","")</x:f>
      </x:c>
      <x:c r="K8" s="24" t="n">
        <x:f>IF(B8="Guardrail",1,2)</x:f>
        <x:v>2</x:v>
      </x:c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EN-03</x:v>
      </x:c>
      <x:c r="B9" s="24" t="str">
        <x:v>エネルギー</x:v>
      </x:c>
      <x:c r="C9" s="24" t="str">
        <x:v>電力異常時の原因特定体制</x:v>
      </x:c>
      <x:c r="D9" s="24" t="str">
        <x:v>EN-03</x:v>
      </x:c>
      <x:c r="E9" s="24" t="n">
        <x:f>IF(TOP5_Calc!$H$10=1,TOP5_Calc!$F$10,0)</x:f>
        <x:v>58.8</x:v>
      </x:c>
      <x:c r="F9" s="24" t="str">
        <x:f>IF(E9&gt;=80,"S",IF(E9&gt;=65,"A",IF(E9&gt;=50,"B",IF(E9&gt;=35,"C","詳細のみ"))))</x:f>
        <x:v>B</x:v>
      </x:c>
      <x:c r="G9" s="24" t="n">
        <x:f>COUNTIFS($B$4:$B$18,B9,$E$4:$E$18,"&gt;"&amp;E9)+1</x:f>
        <x:v>3</x:v>
      </x:c>
      <x:c r="H9" s="24" t="n">
        <x:f>IF(E9&lt;35,0,IF(B9="Guardrail",1,IF(G9&lt;=2,1,0)))</x:f>
        <x:v>0</x:v>
      </x:c>
      <x:c r="I9" s="24" t="str">
        <x:f>IF(H9=1,1+COUNTIFS($H$4:$H$18,1,$E$4:$E$18,"&gt;"&amp;E9)+COUNTIFS($H$4:$H$18,1,$E$4:$E$18,E9,$K$4:$K$18,"&lt;"&amp;K9)+COUNTIFS($H$4:H9,1,$E$4:E9,E9,$K$4:K9,K9)-1,"")</x:f>
      </x:c>
      <x:c r="J9" s="24" t="str">
        <x:f>IF(AND(H9=1,I9&lt;=5),"TOP5","")</x:f>
      </x:c>
      <x:c r="K9" s="24" t="n">
        <x:f>IF(B9="Guardrail",1,2)</x:f>
        <x:v>2</x:v>
      </x:c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 t="str">
        <x:v>EN-04</x:v>
      </x:c>
      <x:c r="B10" s="24" t="str">
        <x:v>エネルギー</x:v>
      </x:c>
      <x:c r="C10" s="24" t="str">
        <x:v>省エネ改善テーマと効果検証の整理</x:v>
      </x:c>
      <x:c r="D10" s="24" t="str">
        <x:v>EN-04</x:v>
      </x:c>
      <x:c r="E10" s="24" t="n">
        <x:f>IF(TOP5_Calc!$H$11=1,TOP5_Calc!$F$11,0)</x:f>
        <x:v>57.8</x:v>
      </x:c>
      <x:c r="F10" s="24" t="str">
        <x:f>IF(E10&gt;=80,"S",IF(E10&gt;=65,"A",IF(E10&gt;=50,"B",IF(E10&gt;=35,"C","詳細のみ"))))</x:f>
        <x:v>B</x:v>
      </x:c>
      <x:c r="G10" s="24" t="n">
        <x:f>COUNTIFS($B$4:$B$18,B10,$E$4:$E$18,"&gt;"&amp;E10)+1</x:f>
        <x:v>4</x:v>
      </x:c>
      <x:c r="H10" s="24" t="n">
        <x:f>IF(E10&lt;35,0,IF(B10="Guardrail",1,IF(G10&lt;=2,1,0)))</x:f>
        <x:v>0</x:v>
      </x:c>
      <x:c r="I10" s="24" t="str">
        <x:f>IF(H10=1,1+COUNTIFS($H$4:$H$18,1,$E$4:$E$18,"&gt;"&amp;E10)+COUNTIFS($H$4:$H$18,1,$E$4:$E$18,E10,$K$4:$K$18,"&lt;"&amp;K10)+COUNTIFS($H$4:H10,1,$E$4:E10,E10,$K$4:K10,K10)-1,"")</x:f>
      </x:c>
      <x:c r="J10" s="24" t="str">
        <x:f>IF(AND(H10=1,I10&lt;=5),"TOP5","")</x:f>
      </x:c>
      <x:c r="K10" s="24" t="n">
        <x:f>IF(B10="Guardrail",1,2)</x:f>
        <x:v>2</x:v>
      </x:c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 t="str">
        <x:v>BL-01</x:v>
      </x:c>
      <x:c r="B11" s="24" t="str">
        <x:v>建屋</x:v>
      </x:c>
      <x:c r="C11" s="24" t="str">
        <x:v>建屋・環境課題の確認</x:v>
      </x:c>
      <x:c r="D11" s="24" t="str">
        <x:v>BL-01</x:v>
      </x:c>
      <x:c r="E11" s="24" t="n">
        <x:f>IF(TOP5_Calc!$H$12=1,TOP5_Calc!$F$12,0)</x:f>
        <x:v>62.3</x:v>
      </x:c>
      <x:c r="F11" s="24" t="str">
        <x:f>IF(E11&gt;=80,"S",IF(E11&gt;=65,"A",IF(E11&gt;=50,"B",IF(E11&gt;=35,"C","詳細のみ"))))</x:f>
        <x:v>B</x:v>
      </x:c>
      <x:c r="G11" s="24" t="n">
        <x:f>COUNTIFS($B$4:$B$18,B11,$E$4:$E$18,"&gt;"&amp;E11)+1</x:f>
        <x:v>2</x:v>
      </x:c>
      <x:c r="H11" s="24" t="n">
        <x:f>IF(E11&lt;35,0,IF(E13&gt;=35,0,IF(G11&lt;=2,1,0)))</x:f>
        <x:v>0</x:v>
      </x:c>
      <x:c r="I11" s="24" t="str">
        <x:f>IF(H11=1,1+COUNTIFS($H$4:$H$18,1,$E$4:$E$18,"&gt;"&amp;E11)+COUNTIFS($H$4:$H$18,1,$E$4:$E$18,E11,$K$4:$K$18,"&lt;"&amp;K11)+COUNTIFS($H$4:H11,1,$E$4:E11,E11,$K$4:K11,K11)-1,"")</x:f>
      </x:c>
      <x:c r="J11" s="24" t="str">
        <x:f>IF(AND(H11=1,I11&lt;=5),"TOP5","")</x:f>
      </x:c>
      <x:c r="K11" s="24" t="n">
        <x:f>IF(B11="Guardrail",1,2)</x:f>
        <x:v>2</x:v>
      </x:c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 t="str">
        <x:v>BL-02</x:v>
      </x:c>
      <x:c r="B12" s="24" t="str">
        <x:v>建屋</x:v>
      </x:c>
      <x:c r="C12" s="24" t="str">
        <x:v>建屋点検・修繕優先順位の整理</x:v>
      </x:c>
      <x:c r="D12" s="24" t="str">
        <x:v>BL-02</x:v>
      </x:c>
      <x:c r="E12" s="24" t="n">
        <x:f>IF(TOP5_Calc!$H$13=1,TOP5_Calc!$F$13,0)</x:f>
        <x:v>62.3</x:v>
      </x:c>
      <x:c r="F12" s="24" t="str">
        <x:f>IF(E12&gt;=80,"S",IF(E12&gt;=65,"A",IF(E12&gt;=50,"B",IF(E12&gt;=35,"C","詳細のみ"))))</x:f>
        <x:v>B</x:v>
      </x:c>
      <x:c r="G12" s="24" t="n">
        <x:f>COUNTIFS($B$4:$B$18,B12,$E$4:$E$18,"&gt;"&amp;E12)+1</x:f>
        <x:v>2</x:v>
      </x:c>
      <x:c r="H12" s="24" t="n">
        <x:f>IF(E12&lt;35,0,IF(B12="Guardrail",1,IF(G12&lt;=2,1,0)))</x:f>
        <x:v>1</x:v>
      </x:c>
      <x:c r="I12" s="24" t="n">
        <x:f>IF(H12=1,1+COUNTIFS($H$4:$H$18,1,$E$4:$E$18,"&gt;"&amp;E12)+COUNTIFS($H$4:$H$18,1,$E$4:$E$18,E12,$K$4:$K$18,"&lt;"&amp;K12)+COUNTIFS($H$4:H12,1,$E$4:E12,E12,$K$4:K12,K12)-1,"")</x:f>
        <x:v>4</x:v>
      </x:c>
      <x:c r="J12" s="24" t="str">
        <x:f>IF(AND(H12=1,I12&lt;=5),"TOP5","")</x:f>
        <x:v>TOP5</x:v>
      </x:c>
      <x:c r="K12" s="24" t="n">
        <x:f>IF(B12="Guardrail",1,2)</x:f>
        <x:v>2</x:v>
      </x:c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 t="str">
        <x:v>BL-03</x:v>
      </x:c>
      <x:c r="B13" s="24" t="str">
        <x:v>建屋</x:v>
      </x:c>
      <x:c r="C13" s="24" t="str">
        <x:v>建屋環境による品質・操業影響の優先確認</x:v>
      </x:c>
      <x:c r="D13" s="24" t="str">
        <x:v>BL-03</x:v>
      </x:c>
      <x:c r="E13" s="24" t="n">
        <x:f>IF(TOP5_Calc!$H$14=1,TOP5_Calc!$F$14,0)</x:f>
        <x:v>66.3</x:v>
      </x:c>
      <x:c r="F13" s="24" t="str">
        <x:f>IF(E13&gt;=80,"S",IF(E13&gt;=65,"A",IF(E13&gt;=50,"B",IF(E13&gt;=35,"C","詳細のみ"))))</x:f>
        <x:v>A</x:v>
      </x:c>
      <x:c r="G13" s="24" t="n">
        <x:f>COUNTIFS($B$4:$B$18,B13,$E$4:$E$18,"&gt;"&amp;E13)+1</x:f>
        <x:v>1</x:v>
      </x:c>
      <x:c r="H13" s="24" t="n">
        <x:f>IF(E13&lt;35,0,IF(B13="Guardrail",1,IF(G13&lt;=2,1,0)))</x:f>
        <x:v>1</x:v>
      </x:c>
      <x:c r="I13" s="24" t="n">
        <x:f>IF(H13=1,1+COUNTIFS($H$4:$H$18,1,$E$4:$E$18,"&gt;"&amp;E13)+COUNTIFS($H$4:$H$18,1,$E$4:$E$18,E13,$K$4:$K$18,"&lt;"&amp;K13)+COUNTIFS($H$4:H13,1,$E$4:E13,E13,$K$4:K13,K13)-1,"")</x:f>
        <x:v>3</x:v>
      </x:c>
      <x:c r="J13" s="24" t="str">
        <x:f>IF(AND(H13=1,I13&lt;=5),"TOP5","")</x:f>
        <x:v>TOP5</x:v>
      </x:c>
      <x:c r="K13" s="24" t="n">
        <x:f>IF(B13="Guardrail",1,2)</x:f>
        <x:v>2</x:v>
      </x:c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 t="str">
        <x:v>MG-01</x:v>
      </x:c>
      <x:c r="B14" s="24" t="str">
        <x:v>管理</x:v>
      </x:c>
      <x:c r="C14" s="24" t="str">
        <x:v>部門横断の課題管理体制整備</x:v>
      </x:c>
      <x:c r="D14" s="24" t="str">
        <x:v>MG-01</x:v>
      </x:c>
      <x:c r="E14" s="24" t="n">
        <x:f>IF(TOP5_Calc!$H$15=1,TOP5_Calc!$F$15,0)</x:f>
        <x:v>51.8</x:v>
      </x:c>
      <x:c r="F14" s="24" t="str">
        <x:f>IF(E14&gt;=80,"S",IF(E14&gt;=65,"A",IF(E14&gt;=50,"B",IF(E14&gt;=35,"C","詳細のみ"))))</x:f>
        <x:v>B</x:v>
      </x:c>
      <x:c r="G14" s="24" t="n">
        <x:f>COUNTIFS($B$4:$B$18,B14,$E$4:$E$18,"&gt;"&amp;E14)+1</x:f>
        <x:v>3</x:v>
      </x:c>
      <x:c r="H14" s="24" t="n">
        <x:f>IF(E14&lt;35,0,IF(B14="Guardrail",1,IF(G14&lt;=2,1,0)))</x:f>
        <x:v>0</x:v>
      </x:c>
      <x:c r="I14" s="24" t="str">
        <x:f>IF(H14=1,1+COUNTIFS($H$4:$H$18,1,$E$4:$E$18,"&gt;"&amp;E14)+COUNTIFS($H$4:$H$18,1,$E$4:$E$18,E14,$K$4:$K$18,"&lt;"&amp;K14)+COUNTIFS($H$4:H14,1,$E$4:E14,E14,$K$4:K14,K14)-1,"")</x:f>
      </x:c>
      <x:c r="J14" s="24" t="str">
        <x:f>IF(AND(H14=1,I14&lt;=5),"TOP5","")</x:f>
      </x:c>
      <x:c r="K14" s="24" t="n">
        <x:f>IF(B14="Guardrail",1,2)</x:f>
        <x:v>2</x:v>
      </x:c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 t="str">
        <x:v>MG-02</x:v>
      </x:c>
      <x:c r="B15" s="24" t="str">
        <x:v>管理</x:v>
      </x:c>
      <x:c r="C15" s="24" t="str">
        <x:v>設備投資の共通優先順位基準の整備</x:v>
      </x:c>
      <x:c r="D15" s="24" t="str">
        <x:v>MG-02</x:v>
      </x:c>
      <x:c r="E15" s="24" t="n">
        <x:f>IF(TOP5_Calc!$H$16=1,TOP5_Calc!$F$16,0)</x:f>
        <x:v>55.8</x:v>
      </x:c>
      <x:c r="F15" s="24" t="str">
        <x:f>IF(E15&gt;=80,"S",IF(E15&gt;=65,"A",IF(E15&gt;=50,"B",IF(E15&gt;=35,"C","詳細のみ"))))</x:f>
        <x:v>B</x:v>
      </x:c>
      <x:c r="G15" s="24" t="n">
        <x:f>COUNTIFS($B$4:$B$18,B15,$E$4:$E$18,"&gt;"&amp;E15)+1</x:f>
        <x:v>2</x:v>
      </x:c>
      <x:c r="H15" s="24" t="n">
        <x:f>IF(E15&lt;35,0,IF(B15="Guardrail",1,IF(G15&lt;=2,1,0)))</x:f>
        <x:v>1</x:v>
      </x:c>
      <x:c r="I15" s="24" t="n">
        <x:f>IF(H15=1,1+COUNTIFS($H$4:$H$18,1,$E$4:$E$18,"&gt;"&amp;E15)+COUNTIFS($H$4:$H$18,1,$E$4:$E$18,E15,$K$4:$K$18,"&lt;"&amp;K15)+COUNTIFS($H$4:H15,1,$E$4:E15,E15,$K$4:K15,K15)-1,"")</x:f>
        <x:v>8</x:v>
      </x:c>
      <x:c r="J15" s="24" t="str">
        <x:f>IF(AND(H15=1,I15&lt;=5),"TOP5","")</x:f>
      </x:c>
      <x:c r="K15" s="24" t="n">
        <x:f>IF(B15="Guardrail",1,2)</x:f>
        <x:v>2</x:v>
      </x:c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 t="str">
        <x:v>MG-03</x:v>
      </x:c>
      <x:c r="B16" s="24" t="str">
        <x:v>管理</x:v>
      </x:c>
      <x:c r="C16" s="24" t="str">
        <x:v>3年間の設備・建屋更新ロードマップ整理</x:v>
      </x:c>
      <x:c r="D16" s="24" t="str">
        <x:v>MG-03</x:v>
      </x:c>
      <x:c r="E16" s="24" t="n">
        <x:f>IF(TOP5_Calc!$H$17=1,TOP5_Calc!$F$17,0)</x:f>
        <x:v>57.8</x:v>
      </x:c>
      <x:c r="F16" s="24" t="str">
        <x:f>IF(E16&gt;=80,"S",IF(E16&gt;=65,"A",IF(E16&gt;=50,"B",IF(E16&gt;=35,"C","詳細のみ"))))</x:f>
        <x:v>B</x:v>
      </x:c>
      <x:c r="G16" s="24" t="n">
        <x:f>COUNTIFS($B$4:$B$18,B16,$E$4:$E$18,"&gt;"&amp;E16)+1</x:f>
        <x:v>1</x:v>
      </x:c>
      <x:c r="H16" s="24" t="n">
        <x:f>IF(E16&lt;35,0,IF(B16="Guardrail",1,IF(G16&lt;=2,1,0)))</x:f>
        <x:v>1</x:v>
      </x:c>
      <x:c r="I16" s="24" t="n">
        <x:f>IF(H16=1,1+COUNTIFS($H$4:$H$18,1,$E$4:$E$18,"&gt;"&amp;E16)+COUNTIFS($H$4:$H$18,1,$E$4:$E$18,E16,$K$4:$K$18,"&lt;"&amp;K16)+COUNTIFS($H$4:H16,1,$E$4:E16,E16,$K$4:K16,K16)-1,"")</x:f>
        <x:v>7</x:v>
      </x:c>
      <x:c r="J16" s="24" t="str">
        <x:f>IF(AND(H16=1,I16&lt;=5),"TOP5","")</x:f>
      </x:c>
      <x:c r="K16" s="24" t="n">
        <x:f>IF(B16="Guardrail",1,2)</x:f>
        <x:v>2</x:v>
      </x:c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 t="str">
        <x:v>GR-01</x:v>
      </x:c>
      <x:c r="B17" s="24" t="str">
        <x:v>Guardrail</x:v>
      </x:c>
      <x:c r="C17" s="24" t="str">
        <x:v>安全・法令・品質・供給継続の未解決事項確認</x:v>
      </x:c>
      <x:c r="D17" s="24" t="str">
        <x:v>GR-01</x:v>
      </x:c>
      <x:c r="E17" s="24" t="n">
        <x:f>IF(TOP5_Calc!$H$18=1,TOP5_Calc!$F$18,0)</x:f>
        <x:v>81.3</x:v>
      </x:c>
      <x:c r="F17" s="24" t="str">
        <x:f>IF(E17&gt;=80,"S",IF(E17&gt;=65,"A",IF(E17&gt;=50,"B",IF(E17&gt;=35,"C","詳細のみ"))))</x:f>
        <x:v>S</x:v>
      </x:c>
      <x:c r="G17" s="24" t="n">
        <x:f>COUNTIFS($B$4:$B$18,B17,$E$4:$E$18,"&gt;"&amp;E17)+1</x:f>
        <x:v>1</x:v>
      </x:c>
      <x:c r="H17" s="24" t="n">
        <x:f>IF(E17&lt;35,0,IF(B17="Guardrail",1,IF(G17&lt;=2,1,0)))</x:f>
        <x:v>1</x:v>
      </x:c>
      <x:c r="I17" s="24" t="n">
        <x:f>IF(H17=1,1+COUNTIFS($H$4:$H$18,1,$E$4:$E$18,"&gt;"&amp;E17)+COUNTIFS($H$4:$H$18,1,$E$4:$E$18,E17,$K$4:$K$18,"&lt;"&amp;K17)+COUNTIFS($H$4:H17,1,$E$4:E17,E17,$K$4:K17,K17)-1,"")</x:f>
        <x:v>1</x:v>
      </x:c>
      <x:c r="J17" s="24" t="str">
        <x:f>IF(AND(H17=1,I17&lt;=5),"TOP5","")</x:f>
        <x:v>TOP5</x:v>
      </x:c>
      <x:c r="K17" s="24" t="n">
        <x:f>IF(B17="Guardrail",1,2)</x:f>
        <x:v>1</x:v>
      </x:c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 t="str">
        <x:v>CU-01</x:v>
      </x:c>
      <x:c r="B18" s="24" t="str">
        <x:v>個別</x:v>
      </x:c>
      <x:c r="C18" s="24" t="str">
        <x:v>顧客固有課題のヒアリング</x:v>
      </x:c>
      <x:c r="D18" s="24" t="str">
        <x:v>CU-01</x:v>
      </x:c>
      <x:c r="E18" s="24" t="n">
        <x:f>IF(TOP5_Calc!$H$19=1,TOP5_Calc!$F$19,0)</x:f>
        <x:v>51.8</x:v>
      </x:c>
      <x:c r="F18" s="24" t="str">
        <x:f>IF(E18&gt;=80,"S",IF(E18&gt;=65,"A",IF(E18&gt;=50,"B",IF(E18&gt;=35,"C","詳細のみ"))))</x:f>
        <x:v>B</x:v>
      </x:c>
      <x:c r="G18" s="24" t="n">
        <x:f>COUNTIFS($B$4:$B$18,B18,$E$4:$E$18,"&gt;"&amp;E18)+1</x:f>
        <x:v>1</x:v>
      </x:c>
      <x:c r="H18" s="24" t="n">
        <x:f>IF(E18&lt;35,0,IF(B18="Guardrail",1,IF(G18&lt;=2,1,0)))</x:f>
        <x:v>1</x:v>
      </x:c>
      <x:c r="I18" s="24" t="n">
        <x:f>IF(H18=1,1+COUNTIFS($H$4:$H$18,1,$E$4:$E$18,"&gt;"&amp;E18)+COUNTIFS($H$4:$H$18,1,$E$4:$E$18,E18,$K$4:$K$18,"&lt;"&amp;K18)+COUNTIFS($H$4:H18,1,$E$4:E18,E18,$K$4:K18,K18)-1,"")</x:f>
        <x:v>11</x:v>
      </x:c>
      <x:c r="J18" s="24" t="str">
        <x:f>IF(AND(H18=1,I18&lt;=5),"TOP5","")</x:f>
      </x:c>
      <x:c r="K18" s="24" t="n">
        <x:f>IF(B18="Guardrail",1,2)</x:f>
        <x:v>2</x:v>
      </x:c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</x:sheetData>
  <x:mergeCells>
    <x:mergeCell ref="A1:J1"/>
    <x:mergeCell ref="A2:J2"/>
  </x:mergeCells>
  <x:conditionalFormatting sqref="E4:E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48" hidden="0" customWidth="1"/>
    <x:col min="5" max="5" width="22" hidden="0" customWidth="1"/>
    <x:col min="6" max="6" width="38" hidden="0" customWidth="1"/>
    <x:col min="7" max="7" width="24" hidden="0" customWidth="1"/>
    <x:col min="8" max="8" width="30" hidden="0" customWidth="1"/>
    <x:col min="9" max="9" width="24" hidden="0" customWidth="1"/>
    <x:col min="10" max="10" width="26" hidden="0" customWidth="1"/>
    <x:col min="11" max="11" width="48" hidden="0" customWidth="1"/>
    <x:col min="12" max="12" width="12" hidden="0" customWidth="1"/>
  </x:cols>
  <x:sheetData>
    <x:row r="1">
      <x:c r="A1" s="38" t="str">
        <x:v>模擬案件3件｜Energy Doctor公開診断 Engine 検証条件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1" t="str">
        <x:v>Case</x:v>
      </x:c>
      <x:c r="B2" s="41" t="str">
        <x:v>想定事業所</x:v>
      </x:c>
      <x:c r="C2" s="41" t="str">
        <x:v>シナリオ</x:v>
      </x:c>
      <x:c r="D2" s="41" t="str">
        <x:v>主要回答条件</x:v>
      </x:c>
      <x:c r="E2" s="41" t="str">
        <x:v>期待Guardrail</x:v>
      </x:c>
      <x:c r="F2" s="41" t="str">
        <x:v>期待TOP課題</x:v>
      </x:c>
      <x:c r="G2" s="41" t="str">
        <x:v>期待KPI方向</x:v>
      </x:c>
      <x:c r="H2" s="41" t="str">
        <x:v>検証目的</x:v>
      </x:c>
      <x:c r="I2" s="39" t="str">
        <x:v>実測KPI</x:v>
      </x:c>
      <x:c r="J2" s="39" t="str">
        <x:v>実測Guardrail</x:v>
      </x:c>
      <x:c r="K2" s="39" t="str">
        <x:v>実測TOP5概要</x:v>
      </x:c>
      <x:c r="L2" s="39" t="str">
        <x:v>判定</x:v>
      </x:c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24" t="str">
        <x:v>TC-A</x:v>
      </x:c>
      <x:c r="B3" s="24" t="str">
        <x:v>製造工場</x:v>
      </x:c>
      <x:c r="C3" s="24" t="str">
        <x:v>混在リスク型</x:v>
      </x:c>
      <x:c r="D3" s="24" t="str">
        <x:v>代替なし／部品未確認／電力は請求額中心／結露・暑熱あり／供給継続課題／1年以内</x:v>
      </x:c>
      <x:c r="E3" s="24" t="str">
        <x:v>BCP・供給継続 L2</x:v>
      </x:c>
      <x:c r="F3" s="24" t="str">
        <x:v>Guardrail、EOL・復旧、建屋影響が上位</x:v>
      </x:c>
      <x:c r="G3" s="24" t="str">
        <x:v>EDI低め・DRI低め・EPI高め</x:v>
      </x:c>
      <x:c r="H3" s="24" t="str">
        <x:v>重大課題を平均点に埋没させない</x:v>
      </x:c>
      <x:c r="I3" s="24" t="str">
        <x:v>EDI43 / DRI36 / EPI80</x:v>
      </x:c>
      <x:c r="J3" s="24" t="str">
        <x:v>BCP・供給継続 L2</x:v>
      </x:c>
      <x:c r="K3" s="24" t="str">
        <x:v>GR→EOL・復旧→建屋影響→建屋点検→電力・デマンド</x:v>
      </x:c>
      <x:c r="L3" s="24" t="str">
        <x:v>PASS</x:v>
      </x:c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TC-B</x:v>
      </x:c>
      <x:c r="B4" s="24" t="str">
        <x:v>研究所＋事務棟</x:v>
      </x:c>
      <x:c r="C4" s="24" t="str">
        <x:v>管理良好型</x:v>
      </x:c>
      <x:c r="D4" s="24" t="str">
        <x:v>設備情報・故障履歴・代替・電力管理・建屋点検・中期計画が概ね整備／重大未解決なし</x:v>
      </x:c>
      <x:c r="E4" s="24" t="str">
        <x:v>なし</x:v>
      </x:c>
      <x:c r="F4" s="24" t="str">
        <x:v>B以上が少ない場合は無理に5件表示しない</x:v>
      </x:c>
      <x:c r="G4" s="24" t="str">
        <x:v>EDI高め・DRI高め・EPI低め</x:v>
      </x:c>
      <x:c r="H4" s="24" t="str">
        <x:v>過剰診断・過剰投資推奨を防止</x:v>
      </x:c>
      <x:c r="I4" s="24" t="str">
        <x:v>EDI100 / DRI100 / EPI18</x:v>
      </x:c>
      <x:c r="J4" s="24" t="str">
        <x:v>なし</x:v>
      </x:c>
      <x:c r="K4" s="24" t="str">
        <x:v>TOP5 0件（無理に5件表示しない）</x:v>
      </x:c>
      <x:c r="L4" s="24" t="str">
        <x:v>PASS</x:v>
      </x:c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TC-C</x:v>
      </x:c>
      <x:c r="B5" s="24" t="str">
        <x:v>物流センター</x:v>
      </x:c>
      <x:c r="C5" s="24" t="str">
        <x:v>重大Guardrail型</x:v>
      </x:c>
      <x:c r="D5" s="24" t="str">
        <x:v>法令または安全の未解決／代替なし／管理基準なし／中期計画なし／3か月以内</x:v>
      </x:c>
      <x:c r="E5" s="24" t="str">
        <x:v>安全・法令を最上位</x:v>
      </x:c>
      <x:c r="F5" s="24" t="str">
        <x:v>Guardrail最上位、代替性、計画・管理課題</x:v>
      </x:c>
      <x:c r="G5" s="24" t="str">
        <x:v>EDI低め・DRI低め・EPI最優先</x:v>
      </x:c>
      <x:c r="H5" s="24" t="str">
        <x:v>安全・法令・短期限の優先表示確認</x:v>
      </x:c>
      <x:c r="I5" s="24" t="str">
        <x:v>EDI27 / DRI22 / EPI91</x:v>
      </x:c>
      <x:c r="J5" s="24" t="str">
        <x:v>安全・法令 L2</x:v>
      </x:c>
      <x:c r="K5" s="24" t="str">
        <x:v>再計算後に安全・法令Guardrailを最上位へ</x:v>
      </x:c>
      <x:c r="L5" s="24" t="str">
        <x:v>PASS</x:v>
      </x:c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注：TC-B/Cは次の実入力試験用シナリオ。現時点ではロジックレビュー条件として固定し、Microsoft Forms実装後に実測回答を流す。</x:v>
      </x:c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</x:sheetData>
  <x:mergeCells>
    <x:mergeCell ref="A1:H1"/>
    <x:mergeCell ref="A7:H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30" hidden="0" customWidth="1"/>
    <x:col min="4" max="4" width="34" hidden="0" customWidth="1"/>
    <x:col min="5" max="5" width="28" hidden="0" customWidth="1"/>
    <x:col min="6" max="6" width="42" hidden="0" customWidth="1"/>
    <x:col min="7" max="7" width="12" hidden="0" customWidth="1"/>
  </x:cols>
  <x:sheetData>
    <x:row r="1">
      <x:c r="A1" s="38" t="str">
        <x:v>模擬案件レビュー結果｜v1.0 → v1.1 修正事項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41" t="str">
        <x:v>ID</x:v>
      </x:c>
      <x:c r="B2" s="41" t="str">
        <x:v>ランク</x:v>
      </x:c>
      <x:c r="C2" s="41" t="str">
        <x:v>確認事項</x:v>
      </x:c>
      <x:c r="D2" s="41" t="str">
        <x:v>v1.0結果</x:v>
      </x:c>
      <x:c r="E2" s="41" t="str">
        <x:v>判断</x:v>
      </x:c>
      <x:c r="F2" s="41" t="str">
        <x:v>v1.1対応</x:v>
      </x:c>
      <x:c r="G2" s="41" t="str">
        <x:v>状態</x:v>
      </x:c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24" t="str">
        <x:v>VAL-01</x:v>
      </x:c>
      <x:c r="B3" s="24" t="str">
        <x:v>S</x:v>
      </x:c>
      <x:c r="C3" s="24" t="str">
        <x:v>TOP5重複統合</x:v>
      </x:c>
      <x:c r="D3" s="24" t="str">
        <x:v>IS-03とIS-04が別課題で同時上位</x:v>
      </x:c>
      <x:c r="E3" s="24" t="str">
        <x:v>同一原因のため統合が必要</x:v>
      </x:c>
      <x:c r="F3" s="24" t="str">
        <x:v>EQ-03『重要設備のEOL・復旧リスク確認』へ統合</x:v>
      </x:c>
      <x:c r="G3" s="24" t="str">
        <x:v>修正済</x:v>
      </x:c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4" t="str">
        <x:v>VAL-02</x:v>
      </x:c>
      <x:c r="B4" s="24" t="str">
        <x:v>S</x:v>
      </x:c>
      <x:c r="C4" s="24" t="str">
        <x:v>分野偏重抑制</x:v>
      </x:c>
      <x:c r="D4" s="24" t="str">
        <x:v>単純スコア順位のみ</x:v>
      </x:c>
      <x:c r="E4" s="24" t="str">
        <x:v>同一分野最大2件ルールが未実装</x:v>
      </x:c>
      <x:c r="F4" s="24" t="str">
        <x:v>TOP5_Finalで分野内順位2位までを候補化</x:v>
      </x:c>
      <x:c r="G4" s="24" t="str">
        <x:v>修正済</x:v>
      </x:c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 t="str">
        <x:v>VAL-03</x:v>
      </x:c>
      <x:c r="B5" s="24" t="str">
        <x:v>A</x:v>
      </x:c>
      <x:c r="C5" s="24" t="str">
        <x:v>建屋課題重複</x:v>
      </x:c>
      <x:c r="D5" s="24" t="str">
        <x:v>BL-03とBL-01が同時TOP5</x:v>
      </x:c>
      <x:c r="E5" s="24" t="str">
        <x:v>具体的影響課題がある場合は一般課題を抑制</x:v>
      </x:c>
      <x:c r="F5" s="24" t="str">
        <x:v>BL-03発火時はBL-01を抑制</x:v>
      </x:c>
      <x:c r="G5" s="24" t="str">
        <x:v>修正済</x:v>
      </x:c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 t="str">
        <x:v>VAL-04</x:v>
      </x:c>
      <x:c r="B6" s="24" t="str">
        <x:v>A</x:v>
      </x:c>
      <x:c r="C6" s="24" t="str">
        <x:v>Guardrail A3表示順</x:v>
      </x:c>
      <x:c r="D6" s="24" t="str">
        <x:v>該当分類が固定行位置に表示</x:v>
      </x:c>
      <x:c r="E6" s="24" t="str">
        <x:v>Priority Score順で最大3件表示すべき</x:v>
      </x:c>
      <x:c r="F6" s="24" t="str">
        <x:v>A3_OutputをGuardrail Priority Score順へ変更</x:v>
      </x:c>
      <x:c r="G6" s="24" t="str">
        <x:v>修正済</x:v>
      </x:c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4" t="str">
        <x:v>VAL-05</x:v>
      </x:c>
      <x:c r="B7" s="24" t="str">
        <x:v>A</x:v>
      </x:c>
      <x:c r="C7" s="24" t="str">
        <x:v>『不明』処理</x:v>
      </x:c>
      <x:c r="D7" s="24" t="str">
        <x:v>0点扱いはしていない</x:v>
      </x:c>
      <x:c r="E7" s="24" t="str">
        <x:v>設計原則と整合</x:v>
      </x:c>
      <x:c r="F7" s="24" t="str">
        <x:v>Score除外＋C=35／情報不足へ接続を維持</x:v>
      </x:c>
      <x:c r="G7" s="24" t="str">
        <x:v>適合</x:v>
      </x:c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 t="str">
        <x:v>VAL-06</x:v>
      </x:c>
      <x:c r="B8" s="24" t="str">
        <x:v>B</x:v>
      </x:c>
      <x:c r="C8" s="24" t="str">
        <x:v>時間表示</x:v>
      </x:c>
      <x:c r="D8" s="24" t="str">
        <x:v>10～15分／7分の議論あり</x:v>
      </x:c>
      <x:c r="E8" s="24" t="str">
        <x:v>時間は設計条件としない</x:v>
      </x:c>
      <x:c r="F8" s="24" t="str">
        <x:v>実測後にLP補足表示を決定</x:v>
      </x:c>
      <x:c r="G8" s="24" t="str">
        <x:v>方針確定</x:v>
      </x:c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 t="str">
        <x:v>VAL-07</x:v>
      </x:c>
      <x:c r="B9" s="24" t="str">
        <x:v>S</x:v>
      </x:c>
      <x:c r="C9" s="24" t="str">
        <x:v>TOP5同点時のGuardrail優先</x:v>
      </x:c>
      <x:c r="D9" s="24" t="str">
        <x:v>TC-CでBL-03とGR-01が同点93となり、行順で建屋課題が1位</x:v>
      </x:c>
      <x:c r="E9" s="24" t="str">
        <x:v>既存同点ルールではGuardrail順位を先に適用すべき</x:v>
      </x:c>
      <x:c r="F9" s="24" t="str">
        <x:v>TOP5_FinalにTiePriorityを追加し、同点ではGuardrailを先順位化</x:v>
      </x:c>
      <x:c r="G9" s="24" t="str">
        <x:v>修正済</x:v>
      </x:c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</x:sheetData>
  <x:mergeCells>
    <x:mergeCell ref="A1:G1"/>
  </x:mergeCells>
  <x:conditionalFormatting sqref="B3:B8">
    <x:cfRule type="expression" dxfId="0" priority="1">
      <x:formula>B3="S"</x:formula>
    </x:cfRule>
    <x:cfRule type="expression" dxfId="1" priority="2">
      <x:formula>B3="A"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51" t="str">
        <x:v>Energy Doctor｜事業所投資診断レポート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</x:row>
    <x:row r="2" ht="18" customHeight="1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</x:row>
    <x:row r="3" ht="22" customHeight="1">
      <x:c r="A3" s="54" t="str">
        <x:f>"対象："&amp;A3_Output!B5&amp;"　"&amp;A3_Output!B6</x:f>
        <x:v>対象：SAMPLE製作所　大阪工場</x:v>
      </x:c>
      <x:c r="B3" s="54"/>
      <x:c r="C3" s="54"/>
      <x:c r="D3" s="54"/>
      <x:c r="E3" s="54"/>
      <x:c r="F3" s="54" t="str">
        <x:f>"診断区分："&amp;A3_Output!E5&amp;"　／　"&amp;A3_Output!E6</x:f>
        <x:v>診断区分：公開簡易診断　／　L2: Web自己申告</x:v>
      </x:c>
      <x:c r="G3" s="54"/>
      <x:c r="H3" s="54"/>
      <x:c r="I3" s="54"/>
      <x:c r="J3" s="54"/>
      <x:c r="K3" s="54" t="str">
        <x:v>提供：澤電気機械株式会社</x:v>
      </x:c>
      <x:c r="L3" s="54"/>
      <x:c r="M3" s="54"/>
      <x:c r="N3" s="54"/>
    </x:row>
    <x:row r="4" ht="22" customHeight="1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</x:row>
    <x:row r="6" ht="22" customHeight="1">
      <x:c r="A6" s="410" t="str">
        <x:v>今回の診断で見えてきたこと</x:v>
      </x:c>
      <x:c r="B6" s="410"/>
      <x:c r="C6" s="410"/>
      <x:c r="D6" s="410"/>
      <x:c r="E6" s="410"/>
      <x:c r="F6" s="410"/>
      <x:c r="G6" s="410"/>
      <x:c r="H6" s="410"/>
      <x:c r="I6" s="410"/>
      <x:c r="J6" s="410"/>
      <x:c r="K6" s="410"/>
      <x:c r="L6" s="410"/>
      <x:c r="M6" s="410"/>
      <x:c r="N6" s="410"/>
    </x:row>
    <x:row r="7" ht="24" customHeight="1">
      <x:c r="A7" s="77" t="str">
        <x:f>IF(A3_Output!B12&lt;&gt;"","まず確認したいのは「"&amp;A3_Output!B12&amp;"」です。回答内容から、事業継続や設備停止に関わる未解決事項がある可能性があります。","重大な優先確認事項は、今回の回答では確認されていません。")&amp;CHAR(10)&amp;CHAR(10)&amp;"次に、投資判断の優先順位では「"&amp;A3_Output!D19&amp;"」が最上位となりました。 本レポートは公開フォーム回答に基づく簡易診断のため、正式な投資判断の前に、設備型式・故障履歴・電力データ・点検記録などの根拠資料を確認します。"</x:f>
        <x:v>まず確認したいのは「BCP・供給継続」です。回答内容から、事業継続や設備停止に関わる未解決事項がある可能性があります。
次に、投資判断の優先順位では「安全・法令・品質・供給継続の未解決事項確認」が最上位となりました。 本レポートは公開フォーム回答に基づく簡易診断のため、正式な投資判断の前に、設備型式・故障履歴・電力データ・点検記録などの根拠資料を確認します。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9"/>
    </x:row>
    <x:row r="8" ht="24" customHeight="1">
      <x:c r="A8" s="80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2"/>
    </x:row>
    <x:row r="9" ht="24" customHeight="1">
      <x:c r="A9" s="80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2"/>
    </x:row>
    <x:row r="10" ht="24" customHeight="1">
      <x:c r="A10" s="83"/>
      <x:c r="B10" s="84"/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5"/>
    </x:row>
    <x:row r="12" ht="26" customHeight="1">
      <x:c r="A12" s="411" t="str">
        <x:f>"設備・管理の状態"&amp;CHAR(10)&amp;TEXT(A3_Output!B7,"0")&amp;"/100"&amp;CHAR(10)&amp;"EDI（参考）｜高いほど良好"</x:f>
        <x:v>設備・管理の状態
43/100
EDI（参考）｜高いほど良好</x:v>
      </x:c>
      <x:c r="B12" s="412"/>
      <x:c r="C12" s="412"/>
      <x:c r="D12" s="413"/>
      <x:c r="F12" s="411" t="str">
        <x:f>"判断材料の充足度"&amp;CHAR(10)&amp;TEXT(A3_Output!B8,"0")&amp;"/100"&amp;CHAR(10)&amp;"DRI（参考）｜高いほど判断しやすい"</x:f>
        <x:v>判断材料の充足度
36/100
DRI（参考）｜高いほど判断しやすい</x:v>
      </x:c>
      <x:c r="G12" s="412"/>
      <x:c r="H12" s="412"/>
      <x:c r="I12" s="413"/>
      <x:c r="K12" s="420" t="str">
        <x:f>"対応の優先度"&amp;CHAR(10)&amp;TEXT(A3_Output!E4,"0")&amp;"/100"&amp;CHAR(10)&amp;"EPI（参考）｜高いほど早期対応"</x:f>
        <x:v>対応の優先度
80/100
EPI（参考）｜高いほど早期対応</x:v>
      </x:c>
      <x:c r="L12" s="421"/>
      <x:c r="M12" s="421"/>
      <x:c r="N12" s="422"/>
    </x:row>
    <x:row r="13" ht="24" customHeight="1">
      <x:c r="A13" s="414"/>
      <x:c r="B13" s="415"/>
      <x:c r="C13" s="415"/>
      <x:c r="D13" s="416"/>
      <x:c r="F13" s="414"/>
      <x:c r="G13" s="415"/>
      <x:c r="H13" s="415"/>
      <x:c r="I13" s="416"/>
      <x:c r="K13" s="423"/>
      <x:c r="L13" s="424"/>
      <x:c r="M13" s="424"/>
      <x:c r="N13" s="425"/>
    </x:row>
    <x:row r="14" ht="24" customHeight="1">
      <x:c r="A14" s="414"/>
      <x:c r="B14" s="415"/>
      <x:c r="C14" s="415"/>
      <x:c r="D14" s="416"/>
      <x:c r="F14" s="414"/>
      <x:c r="G14" s="415"/>
      <x:c r="H14" s="415"/>
      <x:c r="I14" s="416"/>
      <x:c r="K14" s="423"/>
      <x:c r="L14" s="424"/>
      <x:c r="M14" s="424"/>
      <x:c r="N14" s="425"/>
    </x:row>
    <x:row r="15" ht="24" customHeight="1">
      <x:c r="A15" s="414"/>
      <x:c r="B15" s="415"/>
      <x:c r="C15" s="415"/>
      <x:c r="D15" s="416"/>
      <x:c r="F15" s="414"/>
      <x:c r="G15" s="415"/>
      <x:c r="H15" s="415"/>
      <x:c r="I15" s="416"/>
      <x:c r="K15" s="423"/>
      <x:c r="L15" s="424"/>
      <x:c r="M15" s="424"/>
      <x:c r="N15" s="425"/>
    </x:row>
    <x:row r="16" ht="24" customHeight="1">
      <x:c r="A16" s="417"/>
      <x:c r="B16" s="418"/>
      <x:c r="C16" s="418"/>
      <x:c r="D16" s="419"/>
      <x:c r="F16" s="417"/>
      <x:c r="G16" s="418"/>
      <x:c r="H16" s="418"/>
      <x:c r="I16" s="419"/>
      <x:c r="K16" s="426"/>
      <x:c r="L16" s="427"/>
      <x:c r="M16" s="427"/>
      <x:c r="N16" s="428"/>
    </x:row>
    <x:row r="18" ht="22" customHeight="1">
      <x:c r="A18" s="429" t="str">
        <x:v>最優先で確認する事項｜点数だけでは見逃せないリスク</x:v>
      </x:c>
      <x:c r="B18" s="429"/>
      <x:c r="C18" s="429"/>
      <x:c r="D18" s="429"/>
      <x:c r="E18" s="429"/>
      <x:c r="F18" s="429"/>
      <x:c r="G18" s="430" t="str">
        <x:v>投資判断レーダー｜事業所全体の投資対応必要度</x:v>
      </x:c>
      <x:c r="H18" s="430"/>
      <x:c r="I18" s="430"/>
      <x:c r="J18" s="430"/>
      <x:c r="K18" s="430"/>
      <x:c r="L18" s="430"/>
      <x:c r="M18" s="430"/>
      <x:c r="N18" s="430"/>
    </x:row>
    <x:row r="19" ht="22" customHeight="1">
      <x:c r="A19" s="186" t="str">
        <x:v>順位</x:v>
      </x:c>
      <x:c r="B19" s="187" t="str">
        <x:v>分類</x:v>
      </x:c>
      <x:c r="C19" s="187" t="str">
        <x:v>確認事項</x:v>
      </x:c>
      <x:c r="D19" s="187"/>
      <x:c r="E19" s="187"/>
      <x:c r="F19" s="188"/>
    </x:row>
    <x:row r="20" ht="24" customHeight="1">
      <x:c r="A20" s="189" t="n">
        <x:f>IF(A3_Output!B12&lt;&gt;"",1,"")</x:f>
        <x:v>1</x:v>
      </x:c>
      <x:c r="B20" s="190" t="str">
        <x:f>IF(A3_Output!B12&lt;&gt;"",A3_Output!B12,"")</x:f>
        <x:v>BCP・供給継続</x:v>
      </x:c>
      <x:c r="C20" s="190" t="str">
        <x:f>IF(A3_Output!C12&lt;&gt;"",A3_Output!C12,"")</x:f>
        <x:v>BCP・供給継続に関する未解決課題が回答されています。内容と対応期限の確認が必要です。</x:v>
      </x:c>
      <x:c r="D20" s="190"/>
      <x:c r="E20" s="190"/>
      <x:c r="F20" s="191"/>
    </x:row>
    <x:row r="21" ht="24" customHeight="1">
      <x:c r="A21" s="189"/>
      <x:c r="B21" s="190"/>
      <x:c r="C21" s="190"/>
      <x:c r="D21" s="190"/>
      <x:c r="E21" s="190"/>
      <x:c r="F21" s="191"/>
    </x:row>
    <x:row r="22" ht="24" customHeight="1">
      <x:c r="A22" s="189" t="str">
        <x:f>IF(A3_Output!B13&lt;&gt;"",2,"")</x:f>
      </x:c>
      <x:c r="B22" s="190" t="str">
        <x:f>IF(A3_Output!B13&lt;&gt;"",A3_Output!B13,"")</x:f>
      </x:c>
      <x:c r="C22" s="190" t="str">
        <x:f>IF(A3_Output!C13&lt;&gt;"",A3_Output!C13,"")</x:f>
      </x:c>
      <x:c r="D22" s="190"/>
      <x:c r="E22" s="190"/>
      <x:c r="F22" s="191"/>
    </x:row>
    <x:row r="23" ht="24" customHeight="1">
      <x:c r="A23" s="189"/>
      <x:c r="B23" s="190"/>
      <x:c r="C23" s="190"/>
      <x:c r="D23" s="190"/>
      <x:c r="E23" s="190"/>
      <x:c r="F23" s="191"/>
    </x:row>
    <x:row r="24" ht="24" customHeight="1">
      <x:c r="A24" s="189" t="str">
        <x:f>IF(A3_Output!B14&lt;&gt;"",3,"")</x:f>
      </x:c>
      <x:c r="B24" s="190" t="str">
        <x:f>IF(A3_Output!B14&lt;&gt;"",A3_Output!B14,"")</x:f>
      </x:c>
      <x:c r="C24" s="190" t="str">
        <x:f>IF(A3_Output!C14&lt;&gt;"",A3_Output!C14,"")</x:f>
      </x:c>
      <x:c r="D24" s="190"/>
      <x:c r="E24" s="190"/>
      <x:c r="F24" s="191"/>
    </x:row>
    <x:row r="25" ht="24" customHeight="1">
      <x:c r="A25" s="192"/>
      <x:c r="B25" s="193"/>
      <x:c r="C25" s="193"/>
      <x:c r="D25" s="193"/>
      <x:c r="E25" s="193"/>
      <x:c r="F25" s="194"/>
    </x:row>
    <x:row r="28" ht="22" customHeight="1">
      <x:c r="A28" s="195" t="str">
        <x:v>優先課題 TOP5｜何から着手すべきか</x:v>
      </x:c>
      <x:c r="B28" s="195"/>
      <x:c r="C28" s="195"/>
      <x:c r="D28" s="195"/>
      <x:c r="E28" s="195"/>
      <x:c r="F28" s="195"/>
    </x:row>
    <x:row r="29" ht="24" customHeight="1">
      <x:c r="A29" s="199" t="str">
        <x:v>順位</x:v>
      </x:c>
      <x:c r="B29" s="200" t="str">
        <x:v>領域</x:v>
      </x:c>
      <x:c r="C29" s="200" t="str">
        <x:v>優先課題</x:v>
      </x:c>
      <x:c r="D29" s="200" t="str">
        <x:v>優先度</x:v>
      </x:c>
      <x:c r="E29" s="200" t="str">
        <x:v>評価</x:v>
      </x:c>
      <x:c r="F29" s="201" t="str">
        <x:v>次の一歩</x:v>
      </x:c>
    </x:row>
    <x:row r="30" ht="30" customHeight="1">
      <x:c r="A30" s="208" t="n">
        <x:v>1</x:v>
      </x:c>
      <x:c r="B30" s="203" t="str">
        <x:f>A3_Output!C19</x:f>
        <x:v>Guardrail</x:v>
      </x:c>
      <x:c r="C30" s="203" t="str">
        <x:f>A3_Output!D19</x:f>
        <x:v>安全・法令・品質・供給継続の未解決事項確認</x:v>
      </x:c>
      <x:c r="D30" s="210" t="n">
        <x:f>A3_Output!E19</x:f>
        <x:v>81.3</x:v>
      </x:c>
      <x:c r="E30" s="210" t="str">
        <x:f>A3_Output!F19</x:f>
        <x:v>S</x:v>
      </x:c>
      <x:c r="F30" s="204" t="str">
        <x:v>根拠資料を確認</x:v>
      </x:c>
    </x:row>
    <x:row r="31" ht="30" customHeight="1">
      <x:c r="A31" s="208" t="n">
        <x:v>2</x:v>
      </x:c>
      <x:c r="B31" s="203" t="str">
        <x:f>A3_Output!C20</x:f>
        <x:v>設備</x:v>
      </x:c>
      <x:c r="C31" s="203" t="str">
        <x:f>A3_Output!D20</x:f>
        <x:v>重要設備のEOL・復旧リスク確認</x:v>
      </x:c>
      <x:c r="D31" s="210" t="n">
        <x:f>A3_Output!E20</x:f>
        <x:v>74.3</x:v>
      </x:c>
      <x:c r="E31" s="210" t="str">
        <x:f>A3_Output!F20</x:f>
        <x:v>A</x:v>
      </x:c>
      <x:c r="F31" s="204" t="str">
        <x:v>根拠資料を確認</x:v>
      </x:c>
    </x:row>
    <x:row r="32" ht="30" customHeight="1">
      <x:c r="A32" s="208" t="n">
        <x:v>3</x:v>
      </x:c>
      <x:c r="B32" s="203" t="str">
        <x:f>A3_Output!C21</x:f>
        <x:v>建屋</x:v>
      </x:c>
      <x:c r="C32" s="203" t="str">
        <x:f>A3_Output!D21</x:f>
        <x:v>建屋環境による品質・操業影響の優先確認</x:v>
      </x:c>
      <x:c r="D32" s="210" t="n">
        <x:f>A3_Output!E21</x:f>
        <x:v>66.3</x:v>
      </x:c>
      <x:c r="E32" s="210" t="str">
        <x:f>A3_Output!F21</x:f>
        <x:v>A</x:v>
      </x:c>
      <x:c r="F32" s="204" t="str">
        <x:v>根拠資料を確認</x:v>
      </x:c>
    </x:row>
    <x:row r="33" ht="30" customHeight="1">
      <x:c r="A33" s="208" t="n">
        <x:v>4</x:v>
      </x:c>
      <x:c r="B33" s="203" t="str">
        <x:f>A3_Output!C22</x:f>
        <x:v>建屋</x:v>
      </x:c>
      <x:c r="C33" s="203" t="str">
        <x:f>A3_Output!D22</x:f>
        <x:v>建屋点検・修繕優先順位の整理</x:v>
      </x:c>
      <x:c r="D33" s="210" t="n">
        <x:f>A3_Output!E22</x:f>
        <x:v>62.3</x:v>
      </x:c>
      <x:c r="E33" s="210" t="str">
        <x:f>A3_Output!F22</x:f>
        <x:v>B</x:v>
      </x:c>
      <x:c r="F33" s="204" t="str">
        <x:v>根拠資料を確認</x:v>
      </x:c>
      <x:c r="G33" s="214" t="str">
        <x:v>※ レーダーは5領域の『投資対応必要度』を示します。数値が高いほど、優先的な確認・投資検討が必要です。</x:v>
      </x:c>
      <x:c r="H33" s="214"/>
      <x:c r="I33" s="214"/>
      <x:c r="J33" s="214"/>
      <x:c r="K33" s="214"/>
      <x:c r="L33" s="214"/>
      <x:c r="M33" s="214"/>
      <x:c r="N33" s="214"/>
    </x:row>
    <x:row r="34" ht="30" customHeight="1">
      <x:c r="A34" s="209" t="n">
        <x:v>5</x:v>
      </x:c>
      <x:c r="B34" s="206" t="str">
        <x:f>A3_Output!C23</x:f>
        <x:v>エネルギー</x:v>
      </x:c>
      <x:c r="C34" s="206" t="str">
        <x:f>A3_Output!D23</x:f>
        <x:v>電力使用量・デマンド管理の高度化</x:v>
      </x:c>
      <x:c r="D34" s="211" t="n">
        <x:f>A3_Output!E23</x:f>
        <x:v>60.8</x:v>
      </x:c>
      <x:c r="E34" s="211" t="str">
        <x:f>A3_Output!F23</x:f>
        <x:v>B</x:v>
      </x:c>
      <x:c r="F34" s="207" t="str">
        <x:v>根拠資料を確認</x:v>
      </x:c>
      <x:c r="G34" s="214"/>
      <x:c r="H34" s="214"/>
      <x:c r="I34" s="214"/>
      <x:c r="J34" s="214"/>
      <x:c r="K34" s="214"/>
      <x:c r="L34" s="214"/>
      <x:c r="M34" s="214"/>
      <x:c r="N34" s="214"/>
    </x:row>
  </x:sheetData>
  <x:mergeCells>
    <x:mergeCell ref="A1:N2"/>
    <x:mergeCell ref="A3:E4"/>
    <x:mergeCell ref="F3:J4"/>
    <x:mergeCell ref="K3:N4"/>
    <x:mergeCell ref="A6:N6"/>
    <x:mergeCell ref="A7:N10"/>
    <x:mergeCell ref="A12:D16"/>
    <x:mergeCell ref="F12:I16"/>
    <x:mergeCell ref="K12:N16"/>
    <x:mergeCell ref="A18:F18"/>
    <x:mergeCell ref="C19:F19"/>
    <x:mergeCell ref="C20:F21"/>
    <x:mergeCell ref="A20:B21"/>
    <x:mergeCell ref="C22:F23"/>
    <x:mergeCell ref="A22:B23"/>
    <x:mergeCell ref="C24:F25"/>
    <x:mergeCell ref="A24:B25"/>
    <x:mergeCell ref="G18:N18"/>
    <x:mergeCell ref="A28:F28"/>
    <x:mergeCell ref="G33:N34"/>
  </x:mergeCells>
  <x:conditionalFormatting sqref="D30:D3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89d8b730fa114ac7"/>
</x:worksheet>
</file>

<file path=xl/worksheets/sheet1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348" t="str">
        <x:v>Energy Doctor｜次のアクションと投資ロードマップ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</x:row>
    <x:row r="2" ht="18" customHeight="1">
      <x:c r="A2" s="348"/>
      <x:c r="B2" s="348"/>
      <x:c r="C2" s="348"/>
      <x:c r="D2" s="348"/>
      <x:c r="E2" s="348"/>
      <x:c r="F2" s="348"/>
      <x:c r="G2" s="348"/>
      <x:c r="H2" s="348"/>
      <x:c r="I2" s="348"/>
      <x:c r="J2" s="348"/>
      <x:c r="K2" s="348"/>
      <x:c r="L2" s="348"/>
      <x:c r="M2" s="348"/>
      <x:c r="N2" s="348"/>
    </x:row>
    <x:row r="3" ht="22" customHeight="1">
      <x:c r="A3" s="356" t="str">
        <x:f>"対象："&amp;A3_Output!B5&amp;"　"&amp;A3_Output!B6</x:f>
        <x:v>対象：SAMPLE製作所　大阪工場</x:v>
      </x:c>
      <x:c r="B3" s="356"/>
      <x:c r="C3" s="356"/>
      <x:c r="D3" s="356"/>
      <x:c r="E3" s="356"/>
      <x:c r="F3" s="356"/>
      <x:c r="G3" s="356"/>
      <x:c r="H3" s="356"/>
      <x:c r="I3" s="356" t="str">
        <x:v>公開簡易診断｜正式発行前に担当者確認</x:v>
      </x:c>
      <x:c r="J3" s="356"/>
      <x:c r="K3" s="356"/>
      <x:c r="L3" s="356"/>
      <x:c r="M3" s="356"/>
      <x:c r="N3" s="356"/>
    </x:row>
    <x:row r="4">
      <x:c r="A4" s="357"/>
      <x:c r="B4" s="357"/>
      <x:c r="C4" s="357"/>
      <x:c r="D4" s="357"/>
      <x:c r="E4" s="357"/>
      <x:c r="F4" s="357"/>
      <x:c r="G4" s="357"/>
      <x:c r="H4" s="357"/>
      <x:c r="I4" s="357"/>
      <x:c r="J4" s="357"/>
      <x:c r="K4" s="357"/>
      <x:c r="L4" s="357"/>
      <x:c r="M4" s="357"/>
      <x:c r="N4" s="357"/>
    </x:row>
    <x:row r="5" ht="22" customHeight="1">
      <x:c r="A5" s="357" t="str">
        <x:v>優先課題ごとの次のアクション</x:v>
      </x:c>
      <x:c r="B5" s="357"/>
      <x:c r="C5" s="357"/>
      <x:c r="D5" s="357"/>
      <x:c r="E5" s="357"/>
      <x:c r="F5" s="357"/>
      <x:c r="G5" s="357"/>
      <x:c r="H5" s="357"/>
      <x:c r="I5" s="357"/>
      <x:c r="J5" s="357"/>
      <x:c r="K5" s="357"/>
      <x:c r="L5" s="357"/>
      <x:c r="M5" s="357"/>
      <x:c r="N5" s="357"/>
    </x:row>
    <x:row r="6" ht="25" customHeight="1">
      <x:c r="A6" s="221" t="str">
        <x:v>順位</x:v>
      </x:c>
      <x:c r="B6" s="222" t="str">
        <x:v>分野</x:v>
      </x:c>
      <x:c r="C6" s="222" t="str">
        <x:v>優先課題</x:v>
      </x:c>
      <x:c r="D6" s="222"/>
      <x:c r="E6" s="222"/>
      <x:c r="F6" s="222" t="str">
        <x:v>推奨アクション</x:v>
      </x:c>
      <x:c r="G6" s="222"/>
      <x:c r="H6" s="222"/>
      <x:c r="I6" s="222" t="str">
        <x:v>確認するEvidence</x:v>
      </x:c>
      <x:c r="J6" s="222"/>
      <x:c r="K6" s="222"/>
      <x:c r="L6" s="222" t="str">
        <x:v>判断目安</x:v>
      </x:c>
      <x:c r="M6" s="222"/>
      <x:c r="N6" s="223"/>
    </x:row>
    <x:row r="7" ht="52" customHeight="1">
      <x:c r="A7" s="391" t="n">
        <x:v>1</x:v>
      </x:c>
      <x:c r="B7" s="225" t="str">
        <x:f>A3_Output!C19</x:f>
        <x:v>Guardrail</x:v>
      </x:c>
      <x:c r="C7" s="225" t="str">
        <x:f>A3_Output!D19</x:f>
        <x:v>安全・法令・品質・供給継続の未解決事項確認</x:v>
      </x:c>
      <x:c r="D7" s="225"/>
      <x:c r="E7" s="225"/>
      <x:c r="F7" s="225" t="str">
        <x:f>IF(A3_Output!B19="GR-01","未解決事項の内容・期限・責任部署を確認し、必要な是正／BCP検討を優先",IF(A3_Output!B19="EQ-03","重要設備の型式・保守終了・予備品・代替運転を確認し、復旧シナリオを整理",IF(A3_Output!B19="BL-03","現地確認で原因と品質・操業影響を切り分け、応急／恒久対策の優先度を整理",IF(A3_Output!B19="BL-02","屋根・外壁・天井等の点検記録を確認し、修繕対象と実施時期を整理",IF(A3_Output!B19="EN-01","12か月の使用量・デマンドを整理し、削減余地と計測追加の必要性を確認","個別ヒアリングで判断材料を補完")))))</x:f>
        <x:v>未解決事項の内容・期限・責任部署を確認し、必要な是正／BCP検討を優先</x:v>
      </x:c>
      <x:c r="G7" s="225"/>
      <x:c r="H7" s="225"/>
      <x:c r="I7" s="225" t="str">
        <x:f>IF(A3_Output!B19="GR-01","是正記録／点検報告／BCP資料／期限情報",IF(A3_Output!B19="EQ-03","設備台帳／型式／メーカー情報／故障履歴／予備品一覧",IF(A3_Output!B19="BL-03","現地写真／点検記録／品質・停止履歴／温湿度情報",IF(A3_Output!B19="BL-02","建屋点検記録／修繕履歴／写真",IF(A3_Output!B19="EN-01","電力請求書／30分デマンド／計測点一覧","関連図面／履歴／費用情報")))))</x:f>
        <x:v>是正記録／点検報告／BCP資料／期限情報</x:v>
      </x:c>
      <x:c r="J7" s="225"/>
      <x:c r="K7" s="225"/>
      <x:c r="L7" s="225" t="str">
        <x:f>IF(A3_Output!F19="S","0～3か月：最優先確認",IF(A3_Output!F19="A","3～6か月：早期検討",IF(A3_Output!F19="B","6～12か月：計画化",IF(A3_Output!F19="C","1～3年：中期計画","継続監視"))))</x:f>
        <x:v>0～3か月：最優先確認</x:v>
      </x:c>
      <x:c r="M7" s="225"/>
      <x:c r="N7" s="226"/>
    </x:row>
    <x:row r="8" ht="52" customHeight="1">
      <x:c r="A8" s="391" t="n">
        <x:v>2</x:v>
      </x:c>
      <x:c r="B8" s="225" t="str">
        <x:f>A3_Output!C20</x:f>
        <x:v>設備</x:v>
      </x:c>
      <x:c r="C8" s="225" t="str">
        <x:f>A3_Output!D20</x:f>
        <x:v>重要設備のEOL・復旧リスク確認</x:v>
      </x:c>
      <x:c r="D8" s="225"/>
      <x:c r="E8" s="225"/>
      <x:c r="F8" s="225" t="str">
        <x:f>IF(A3_Output!B20="GR-01","未解決事項の内容・期限・責任部署を確認し、必要な是正／BCP検討を優先",IF(A3_Output!B20="EQ-03","重要設備の型式・保守終了・予備品・代替運転を確認し、復旧シナリオを整理",IF(A3_Output!B20="BL-03","現地確認で原因と品質・操業影響を切り分け、応急／恒久対策の優先度を整理",IF(A3_Output!B20="BL-02","屋根・外壁・天井等の点検記録を確認し、修繕対象と実施時期を整理",IF(A3_Output!B20="EN-01","12か月の使用量・デマンドを整理し、削減余地と計測追加の必要性を確認","個別ヒアリングで判断材料を補完")))))</x:f>
        <x:v>重要設備の型式・保守終了・予備品・代替運転を確認し、復旧シナリオを整理</x:v>
      </x:c>
      <x:c r="G8" s="225"/>
      <x:c r="H8" s="225"/>
      <x:c r="I8" s="225" t="str">
        <x:f>IF(A3_Output!B20="GR-01","是正記録／点検報告／BCP資料／期限情報",IF(A3_Output!B20="EQ-03","設備台帳／型式／メーカー情報／故障履歴／予備品一覧",IF(A3_Output!B20="BL-03","現地写真／点検記録／品質・停止履歴／温湿度情報",IF(A3_Output!B20="BL-02","建屋点検記録／修繕履歴／写真",IF(A3_Output!B20="EN-01","電力請求書／30分デマンド／計測点一覧","関連図面／履歴／費用情報")))))</x:f>
        <x:v>設備台帳／型式／メーカー情報／故障履歴／予備品一覧</x:v>
      </x:c>
      <x:c r="J8" s="225"/>
      <x:c r="K8" s="225"/>
      <x:c r="L8" s="225" t="str">
        <x:f>IF(A3_Output!F20="S","0～3か月：最優先確認",IF(A3_Output!F20="A","3～6か月：早期検討",IF(A3_Output!F20="B","6～12か月：計画化",IF(A3_Output!F20="C","1～3年：中期計画","継続監視"))))</x:f>
        <x:v>3～6か月：早期検討</x:v>
      </x:c>
      <x:c r="M8" s="225"/>
      <x:c r="N8" s="226"/>
    </x:row>
    <x:row r="9" ht="52" customHeight="1">
      <x:c r="A9" s="391" t="n">
        <x:v>3</x:v>
      </x:c>
      <x:c r="B9" s="225" t="str">
        <x:f>A3_Output!C21</x:f>
        <x:v>建屋</x:v>
      </x:c>
      <x:c r="C9" s="225" t="str">
        <x:f>A3_Output!D21</x:f>
        <x:v>建屋環境による品質・操業影響の優先確認</x:v>
      </x:c>
      <x:c r="D9" s="225"/>
      <x:c r="E9" s="225"/>
      <x:c r="F9" s="225" t="str">
        <x:f>IF(A3_Output!B21="GR-01","未解決事項の内容・期限・責任部署を確認し、必要な是正／BCP検討を優先",IF(A3_Output!B21="EQ-03","重要設備の型式・保守終了・予備品・代替運転を確認し、復旧シナリオを整理",IF(A3_Output!B21="BL-03","現地確認で原因と品質・操業影響を切り分け、応急／恒久対策の優先度を整理",IF(A3_Output!B21="BL-02","屋根・外壁・天井等の点検記録を確認し、修繕対象と実施時期を整理",IF(A3_Output!B21="EN-01","12か月の使用量・デマンドを整理し、削減余地と計測追加の必要性を確認","個別ヒアリングで判断材料を補完")))))</x:f>
        <x:v>現地確認で原因と品質・操業影響を切り分け、応急／恒久対策の優先度を整理</x:v>
      </x:c>
      <x:c r="G9" s="225"/>
      <x:c r="H9" s="225"/>
      <x:c r="I9" s="225" t="str">
        <x:f>IF(A3_Output!B21="GR-01","是正記録／点検報告／BCP資料／期限情報",IF(A3_Output!B21="EQ-03","設備台帳／型式／メーカー情報／故障履歴／予備品一覧",IF(A3_Output!B21="BL-03","現地写真／点検記録／品質・停止履歴／温湿度情報",IF(A3_Output!B21="BL-02","建屋点検記録／修繕履歴／写真",IF(A3_Output!B21="EN-01","電力請求書／30分デマンド／計測点一覧","関連図面／履歴／費用情報")))))</x:f>
        <x:v>現地写真／点検記録／品質・停止履歴／温湿度情報</x:v>
      </x:c>
      <x:c r="J9" s="225"/>
      <x:c r="K9" s="225"/>
      <x:c r="L9" s="225" t="str">
        <x:f>IF(A3_Output!F21="S","0～3か月：最優先確認",IF(A3_Output!F21="A","3～6か月：早期検討",IF(A3_Output!F21="B","6～12か月：計画化",IF(A3_Output!F21="C","1～3年：中期計画","継続監視"))))</x:f>
        <x:v>3～6か月：早期検討</x:v>
      </x:c>
      <x:c r="M9" s="225"/>
      <x:c r="N9" s="226"/>
    </x:row>
    <x:row r="10" ht="52" customHeight="1">
      <x:c r="A10" s="391" t="n">
        <x:v>4</x:v>
      </x:c>
      <x:c r="B10" s="225" t="str">
        <x:f>A3_Output!C22</x:f>
        <x:v>建屋</x:v>
      </x:c>
      <x:c r="C10" s="225" t="str">
        <x:f>A3_Output!D22</x:f>
        <x:v>建屋点検・修繕優先順位の整理</x:v>
      </x:c>
      <x:c r="D10" s="225"/>
      <x:c r="E10" s="225"/>
      <x:c r="F10" s="225" t="str">
        <x:f>IF(A3_Output!B22="GR-01","未解決事項の内容・期限・責任部署を確認し、必要な是正／BCP検討を優先",IF(A3_Output!B22="EQ-03","重要設備の型式・保守終了・予備品・代替運転を確認し、復旧シナリオを整理",IF(A3_Output!B22="BL-03","現地確認で原因と品質・操業影響を切り分け、応急／恒久対策の優先度を整理",IF(A3_Output!B22="BL-02","屋根・外壁・天井等の点検記録を確認し、修繕対象と実施時期を整理",IF(A3_Output!B22="EN-01","12か月の使用量・デマンドを整理し、削減余地と計測追加の必要性を確認","個別ヒアリングで判断材料を補完")))))</x:f>
        <x:v>屋根・外壁・天井等の点検記録を確認し、修繕対象と実施時期を整理</x:v>
      </x:c>
      <x:c r="G10" s="225"/>
      <x:c r="H10" s="225"/>
      <x:c r="I10" s="225" t="str">
        <x:f>IF(A3_Output!B22="GR-01","是正記録／点検報告／BCP資料／期限情報",IF(A3_Output!B22="EQ-03","設備台帳／型式／メーカー情報／故障履歴／予備品一覧",IF(A3_Output!B22="BL-03","現地写真／点検記録／品質・停止履歴／温湿度情報",IF(A3_Output!B22="BL-02","建屋点検記録／修繕履歴／写真",IF(A3_Output!B22="EN-01","電力請求書／30分デマンド／計測点一覧","関連図面／履歴／費用情報")))))</x:f>
        <x:v>建屋点検記録／修繕履歴／写真</x:v>
      </x:c>
      <x:c r="J10" s="225"/>
      <x:c r="K10" s="225"/>
      <x:c r="L10" s="225" t="str">
        <x:f>IF(A3_Output!F22="S","0～3か月：最優先確認",IF(A3_Output!F22="A","3～6か月：早期検討",IF(A3_Output!F22="B","6～12か月：計画化",IF(A3_Output!F22="C","1～3年：中期計画","継続監視"))))</x:f>
        <x:v>6～12か月：計画化</x:v>
      </x:c>
      <x:c r="M10" s="225"/>
      <x:c r="N10" s="226"/>
    </x:row>
    <x:row r="11" ht="52" customHeight="1">
      <x:c r="A11" s="392" t="n">
        <x:v>5</x:v>
      </x:c>
      <x:c r="B11" s="228" t="str">
        <x:f>A3_Output!C23</x:f>
        <x:v>エネルギー</x:v>
      </x:c>
      <x:c r="C11" s="228" t="str">
        <x:f>A3_Output!D23</x:f>
        <x:v>電力使用量・デマンド管理の高度化</x:v>
      </x:c>
      <x:c r="D11" s="228"/>
      <x:c r="E11" s="228"/>
      <x:c r="F11" s="228" t="str">
        <x:f>IF(A3_Output!B23="GR-01","未解決事項の内容・期限・責任部署を確認し、必要な是正／BCP検討を優先",IF(A3_Output!B23="EQ-03","重要設備の型式・保守終了・予備品・代替運転を確認し、復旧シナリオを整理",IF(A3_Output!B23="BL-03","現地確認で原因と品質・操業影響を切り分け、応急／恒久対策の優先度を整理",IF(A3_Output!B23="BL-02","屋根・外壁・天井等の点検記録を確認し、修繕対象と実施時期を整理",IF(A3_Output!B23="EN-01","12か月の使用量・デマンドを整理し、削減余地と計測追加の必要性を確認","個別ヒアリングで判断材料を補完")))))</x:f>
        <x:v>12か月の使用量・デマンドを整理し、削減余地と計測追加の必要性を確認</x:v>
      </x:c>
      <x:c r="G11" s="228"/>
      <x:c r="H11" s="228"/>
      <x:c r="I11" s="228" t="str">
        <x:f>IF(A3_Output!B23="GR-01","是正記録／点検報告／BCP資料／期限情報",IF(A3_Output!B23="EQ-03","設備台帳／型式／メーカー情報／故障履歴／予備品一覧",IF(A3_Output!B23="BL-03","現地写真／点検記録／品質・停止履歴／温湿度情報",IF(A3_Output!B23="BL-02","建屋点検記録／修繕履歴／写真",IF(A3_Output!B23="EN-01","電力請求書／30分デマンド／計測点一覧","関連図面／履歴／費用情報")))))</x:f>
        <x:v>電力請求書／30分デマンド／計測点一覧</x:v>
      </x:c>
      <x:c r="J11" s="228"/>
      <x:c r="K11" s="228"/>
      <x:c r="L11" s="228" t="str">
        <x:f>IF(A3_Output!F23="S","0～3か月：最優先確認",IF(A3_Output!F23="A","3～6か月：早期検討",IF(A3_Output!F23="B","6～12か月：計画化",IF(A3_Output!F23="C","1～3年：中期計画","継続監視"))))</x:f>
        <x:v>6～12か月：計画化</x:v>
      </x:c>
      <x:c r="M11" s="228"/>
      <x:c r="N11" s="229"/>
    </x:row>
    <x:row r="12">
      <x:c r="A12" s="220"/>
      <x:c r="B12" s="220"/>
      <x:c r="C12" s="220"/>
      <x:c r="D12" s="220"/>
      <x:c r="E12" s="220"/>
      <x:c r="F12" s="220"/>
      <x:c r="G12" s="220"/>
      <x:c r="H12" s="220"/>
      <x:c r="I12" s="220"/>
      <x:c r="J12" s="220"/>
      <x:c r="K12" s="220"/>
      <x:c r="L12" s="220"/>
      <x:c r="M12" s="220"/>
      <x:c r="N12" s="220"/>
    </x:row>
    <x:row r="13" ht="22" customHeight="1">
      <x:c r="A13" s="358" t="str">
        <x:v>投資ロードマップ｜優先順位を時間軸に落とし込む</x:v>
      </x:c>
      <x:c r="B13" s="358"/>
      <x:c r="C13" s="358"/>
      <x:c r="D13" s="358"/>
      <x:c r="E13" s="358"/>
      <x:c r="F13" s="358"/>
      <x:c r="G13" s="358"/>
      <x:c r="H13" s="358"/>
      <x:c r="I13" s="358"/>
      <x:c r="J13" s="358"/>
      <x:c r="K13" s="358"/>
      <x:c r="L13" s="358"/>
      <x:c r="M13" s="358"/>
      <x:c r="N13" s="358"/>
    </x:row>
    <x:row r="14" ht="22" customHeight="1">
      <x:c r="A14" s="359" t="str">
        <x:v>0～3か月</x:v>
      </x:c>
      <x:c r="B14" s="359"/>
      <x:c r="C14" s="359"/>
      <x:c r="D14" s="359"/>
      <x:c r="E14" s="360" t="str">
        <x:v>3～6か月</x:v>
      </x:c>
      <x:c r="F14" s="360"/>
      <x:c r="G14" s="360"/>
      <x:c r="H14" s="360"/>
      <x:c r="I14" s="361" t="str">
        <x:v>6～12か月</x:v>
      </x:c>
      <x:c r="J14" s="361"/>
      <x:c r="K14" s="361"/>
      <x:c r="L14" s="362" t="str">
        <x:v>1～3年／継続</x:v>
      </x:c>
      <x:c r="M14" s="362"/>
      <x:c r="N14" s="362"/>
    </x:row>
    <x:row r="15" ht="30" customHeight="1">
      <x:c r="A15" s="363" t="str">
        <x:f>TEXTJOIN(CHAR(10),TRUE,IF(A3_Output!F19="S","・"&amp;A3_Output!D19,""),IF(A3_Output!F20="S","・"&amp;A3_Output!D20,""),IF(A3_Output!F21="S","・"&amp;A3_Output!D21,""),IF(A3_Output!F22="S","・"&amp;A3_Output!D22,""),IF(A3_Output!F23="S","・"&amp;A3_Output!D23,""))</x:f>
        <x:v>・安全・法令・品質・供給継続の未解決事項確認</x:v>
      </x:c>
      <x:c r="B15" s="364"/>
      <x:c r="C15" s="364"/>
      <x:c r="D15" s="365"/>
      <x:c r="E15" s="363" t="str">
        <x:f>TEXTJOIN(CHAR(10),TRUE,IF(A3_Output!F19="A","・"&amp;A3_Output!D19,""),IF(A3_Output!F20="A","・"&amp;A3_Output!D20,""),IF(A3_Output!F21="A","・"&amp;A3_Output!D21,""),IF(A3_Output!F22="A","・"&amp;A3_Output!D22,""),IF(A3_Output!F23="A","・"&amp;A3_Output!D23,""))</x:f>
        <x:v>・重要設備のEOL・復旧リスク確認
・建屋環境による品質・操業影響の優先確認</x:v>
      </x:c>
      <x:c r="F15" s="364"/>
      <x:c r="G15" s="364"/>
      <x:c r="H15" s="365"/>
      <x:c r="I15" s="363" t="str">
        <x:f>TEXTJOIN(CHAR(10),TRUE,IF(A3_Output!F19="B","・"&amp;A3_Output!D19,""),IF(A3_Output!F20="B","・"&amp;A3_Output!D20,""),IF(A3_Output!F21="B","・"&amp;A3_Output!D21,""),IF(A3_Output!F22="B","・"&amp;A3_Output!D22,""),IF(A3_Output!F23="B","・"&amp;A3_Output!D23,""))</x:f>
        <x:v>・建屋点検・修繕優先順位の整理
・電力使用量・デマンド管理の高度化</x:v>
      </x:c>
      <x:c r="J15" s="364"/>
      <x:c r="K15" s="365"/>
      <x:c r="L15" s="363" t="str">
        <x:f>TEXTJOIN(CHAR(10),TRUE,IF(OR(A3_Output!F19="C",A3_Output!F19="詳細のみ"),"・"&amp;A3_Output!D19,""),IF(OR(A3_Output!F20="C",A3_Output!F20="詳細のみ"),"・"&amp;A3_Output!D20,""),IF(OR(A3_Output!F21="C",A3_Output!F21="詳細のみ"),"・"&amp;A3_Output!D21,""),IF(OR(A3_Output!F22="C",A3_Output!F22="詳細のみ"),"・"&amp;A3_Output!D22,""),IF(OR(A3_Output!F23="C",A3_Output!F23="詳細のみ"),"・"&amp;A3_Output!D23,""))</x:f>
      </x:c>
      <x:c r="M15" s="364"/>
      <x:c r="N15" s="365"/>
    </x:row>
    <x:row r="16" ht="30" customHeight="1">
      <x:c r="A16" s="366"/>
      <x:c r="B16" s="367"/>
      <x:c r="C16" s="367"/>
      <x:c r="D16" s="368"/>
      <x:c r="E16" s="366"/>
      <x:c r="F16" s="367"/>
      <x:c r="G16" s="367"/>
      <x:c r="H16" s="368"/>
      <x:c r="I16" s="366"/>
      <x:c r="J16" s="367"/>
      <x:c r="K16" s="368"/>
      <x:c r="L16" s="366"/>
      <x:c r="M16" s="367"/>
      <x:c r="N16" s="368"/>
    </x:row>
    <x:row r="17" ht="30" customHeight="1">
      <x:c r="A17" s="366"/>
      <x:c r="B17" s="367"/>
      <x:c r="C17" s="367"/>
      <x:c r="D17" s="368"/>
      <x:c r="E17" s="366"/>
      <x:c r="F17" s="367"/>
      <x:c r="G17" s="367"/>
      <x:c r="H17" s="368"/>
      <x:c r="I17" s="366"/>
      <x:c r="J17" s="367"/>
      <x:c r="K17" s="368"/>
      <x:c r="L17" s="366"/>
      <x:c r="M17" s="367"/>
      <x:c r="N17" s="368"/>
    </x:row>
    <x:row r="18" ht="30" customHeight="1">
      <x:c r="A18" s="366"/>
      <x:c r="B18" s="367"/>
      <x:c r="C18" s="367"/>
      <x:c r="D18" s="368"/>
      <x:c r="E18" s="366"/>
      <x:c r="F18" s="367"/>
      <x:c r="G18" s="367"/>
      <x:c r="H18" s="368"/>
      <x:c r="I18" s="366"/>
      <x:c r="J18" s="367"/>
      <x:c r="K18" s="368"/>
      <x:c r="L18" s="366"/>
      <x:c r="M18" s="367"/>
      <x:c r="N18" s="368"/>
    </x:row>
    <x:row r="19" ht="30" customHeight="1">
      <x:c r="A19" s="366"/>
      <x:c r="B19" s="367"/>
      <x:c r="C19" s="367"/>
      <x:c r="D19" s="368"/>
      <x:c r="E19" s="366"/>
      <x:c r="F19" s="367"/>
      <x:c r="G19" s="367"/>
      <x:c r="H19" s="368"/>
      <x:c r="I19" s="366"/>
      <x:c r="J19" s="367"/>
      <x:c r="K19" s="368"/>
      <x:c r="L19" s="366"/>
      <x:c r="M19" s="367"/>
      <x:c r="N19" s="368"/>
    </x:row>
    <x:row r="20" ht="30" customHeight="1">
      <x:c r="A20" s="369"/>
      <x:c r="B20" s="370"/>
      <x:c r="C20" s="370"/>
      <x:c r="D20" s="371"/>
      <x:c r="E20" s="369"/>
      <x:c r="F20" s="370"/>
      <x:c r="G20" s="370"/>
      <x:c r="H20" s="371"/>
      <x:c r="I20" s="369"/>
      <x:c r="J20" s="370"/>
      <x:c r="K20" s="371"/>
      <x:c r="L20" s="369"/>
      <x:c r="M20" s="370"/>
      <x:c r="N20" s="371"/>
    </x:row>
    <x:row r="21">
      <x:c r="A21" s="220"/>
      <x:c r="B21" s="220"/>
      <x:c r="C21" s="220"/>
      <x:c r="D21" s="220"/>
      <x:c r="E21" s="220"/>
      <x:c r="F21" s="220"/>
      <x:c r="G21" s="220"/>
      <x:c r="H21" s="220"/>
      <x:c r="I21" s="220"/>
      <x:c r="J21" s="220"/>
      <x:c r="K21" s="220"/>
      <x:c r="L21" s="220"/>
      <x:c r="M21" s="220"/>
      <x:c r="N21" s="220"/>
    </x:row>
    <x:row r="22" ht="22" customHeight="1">
      <x:c r="A22" s="372" t="str">
        <x:v>正式判断前に確認したい資料・情報</x:v>
      </x:c>
      <x:c r="B22" s="372"/>
      <x:c r="C22" s="372"/>
      <x:c r="D22" s="372"/>
      <x:c r="E22" s="372"/>
      <x:c r="F22" s="372"/>
      <x:c r="G22" s="372"/>
      <x:c r="H22" s="220"/>
      <x:c r="I22" s="372" t="str">
        <x:v>このレポートの考え方</x:v>
      </x:c>
      <x:c r="J22" s="372"/>
      <x:c r="K22" s="372"/>
      <x:c r="L22" s="372"/>
      <x:c r="M22" s="372"/>
      <x:c r="N22" s="372"/>
    </x:row>
    <x:row r="23" ht="25" customHeight="1">
      <x:c r="A23" s="373" t="str">
        <x:v>・主要設備の型式・導入年・メーカー保守状況
・故障／停止履歴、点検・保全記録
・電力使用量・最大需要電力・可能なら30分値
・建屋の点検記録、結露・雨漏り等の現地写真
・安全・法令・品質・BCPに関する未解決事項の内容と期限
・中期更新計画、概算予算、停止可能時期</x:v>
      </x:c>
      <x:c r="B23" s="374"/>
      <x:c r="C23" s="374"/>
      <x:c r="D23" s="374"/>
      <x:c r="E23" s="374"/>
      <x:c r="F23" s="374"/>
      <x:c r="G23" s="375"/>
      <x:c r="H23" s="220"/>
      <x:c r="I23" s="376" t="str">
        <x:v>本レポートは、公開フォーム回答に基づく簡易診断です。
・重大な安全・法令・品質・BCP事項は、総合点より優先して確認します。
・「分からない」は悪い点数にせず、追加確認が必要な情報として扱います。
・特定製品を売ることを前提に順位付けしません。
・投資を急がない、または先に調査するという判断も提示します。
・正式発行時は、担当者が根拠資料と優先順位を確認します。</x:v>
      </x:c>
      <x:c r="J23" s="377"/>
      <x:c r="K23" s="377"/>
      <x:c r="L23" s="377"/>
      <x:c r="M23" s="377"/>
      <x:c r="N23" s="378"/>
    </x:row>
    <x:row r="24" ht="25" customHeight="1">
      <x:c r="A24" s="379"/>
      <x:c r="B24" s="380"/>
      <x:c r="C24" s="380"/>
      <x:c r="D24" s="380"/>
      <x:c r="E24" s="380"/>
      <x:c r="F24" s="380"/>
      <x:c r="G24" s="381"/>
      <x:c r="H24" s="220"/>
      <x:c r="I24" s="382"/>
      <x:c r="J24" s="383"/>
      <x:c r="K24" s="383"/>
      <x:c r="L24" s="383"/>
      <x:c r="M24" s="383"/>
      <x:c r="N24" s="384"/>
    </x:row>
    <x:row r="25" ht="25" customHeight="1">
      <x:c r="A25" s="379"/>
      <x:c r="B25" s="380"/>
      <x:c r="C25" s="380"/>
      <x:c r="D25" s="380"/>
      <x:c r="E25" s="380"/>
      <x:c r="F25" s="380"/>
      <x:c r="G25" s="381"/>
      <x:c r="H25" s="220"/>
      <x:c r="I25" s="382"/>
      <x:c r="J25" s="383"/>
      <x:c r="K25" s="383"/>
      <x:c r="L25" s="383"/>
      <x:c r="M25" s="383"/>
      <x:c r="N25" s="384"/>
    </x:row>
    <x:row r="26" ht="25" customHeight="1">
      <x:c r="A26" s="379"/>
      <x:c r="B26" s="380"/>
      <x:c r="C26" s="380"/>
      <x:c r="D26" s="380"/>
      <x:c r="E26" s="380"/>
      <x:c r="F26" s="380"/>
      <x:c r="G26" s="381"/>
      <x:c r="H26" s="220"/>
      <x:c r="I26" s="382"/>
      <x:c r="J26" s="383"/>
      <x:c r="K26" s="383"/>
      <x:c r="L26" s="383"/>
      <x:c r="M26" s="383"/>
      <x:c r="N26" s="384"/>
    </x:row>
    <x:row r="27" ht="25" customHeight="1">
      <x:c r="A27" s="379"/>
      <x:c r="B27" s="380"/>
      <x:c r="C27" s="380"/>
      <x:c r="D27" s="380"/>
      <x:c r="E27" s="380"/>
      <x:c r="F27" s="380"/>
      <x:c r="G27" s="381"/>
      <x:c r="H27" s="220"/>
      <x:c r="I27" s="382"/>
      <x:c r="J27" s="383"/>
      <x:c r="K27" s="383"/>
      <x:c r="L27" s="383"/>
      <x:c r="M27" s="383"/>
      <x:c r="N27" s="384"/>
    </x:row>
    <x:row r="28" ht="25" customHeight="1">
      <x:c r="A28" s="379"/>
      <x:c r="B28" s="380"/>
      <x:c r="C28" s="380"/>
      <x:c r="D28" s="380"/>
      <x:c r="E28" s="380"/>
      <x:c r="F28" s="380"/>
      <x:c r="G28" s="381"/>
      <x:c r="H28" s="220"/>
      <x:c r="I28" s="382"/>
      <x:c r="J28" s="383"/>
      <x:c r="K28" s="383"/>
      <x:c r="L28" s="383"/>
      <x:c r="M28" s="383"/>
      <x:c r="N28" s="384"/>
    </x:row>
    <x:row r="29" ht="25" customHeight="1">
      <x:c r="A29" s="385"/>
      <x:c r="B29" s="386"/>
      <x:c r="C29" s="386"/>
      <x:c r="D29" s="386"/>
      <x:c r="E29" s="386"/>
      <x:c r="F29" s="386"/>
      <x:c r="G29" s="387"/>
      <x:c r="H29" s="220"/>
      <x:c r="I29" s="388"/>
      <x:c r="J29" s="389"/>
      <x:c r="K29" s="389"/>
      <x:c r="L29" s="389"/>
      <x:c r="M29" s="389"/>
      <x:c r="N29" s="390"/>
    </x:row>
    <x:row r="30">
      <x:c r="A30" s="220"/>
      <x:c r="B30" s="220"/>
      <x:c r="C30" s="220"/>
      <x:c r="D30" s="220"/>
      <x:c r="E30" s="220"/>
      <x:c r="F30" s="220"/>
      <x:c r="G30" s="220"/>
      <x:c r="H30" s="220"/>
      <x:c r="I30" s="220"/>
      <x:c r="J30" s="220"/>
      <x:c r="K30" s="220"/>
      <x:c r="L30" s="220"/>
      <x:c r="M30" s="220"/>
      <x:c r="N30" s="220"/>
    </x:row>
    <x:row r="31" ht="28" customHeight="1">
      <x:c r="A31" s="339" t="str">
        <x:f>"NEXT STEP｜まず「"&amp;A3_Output!D19&amp;"」について、必要な資料と現状を確認します。その結果に応じて、現地調査・基本構想・概算見積など、次の検討ステップをご案内します。"</x:f>
        <x:v>NEXT STEP｜まず「安全・法令・品質・供給継続の未解決事項確認」について、必要な資料と現状を確認します。その結果に応じて、現地調査・基本構想・概算見積など、次の検討ステップをご案内します。</x:v>
      </x:c>
      <x:c r="B31" s="340"/>
      <x:c r="C31" s="340"/>
      <x:c r="D31" s="340"/>
      <x:c r="E31" s="340"/>
      <x:c r="F31" s="340"/>
      <x:c r="G31" s="340"/>
      <x:c r="H31" s="340"/>
      <x:c r="I31" s="340"/>
      <x:c r="J31" s="340"/>
      <x:c r="K31" s="340"/>
      <x:c r="L31" s="340"/>
      <x:c r="M31" s="340"/>
      <x:c r="N31" s="341"/>
    </x:row>
    <x:row r="32" ht="28" customHeight="1">
      <x:c r="A32" s="342"/>
      <x:c r="B32" s="343"/>
      <x:c r="C32" s="343"/>
      <x:c r="D32" s="343"/>
      <x:c r="E32" s="343"/>
      <x:c r="F32" s="343"/>
      <x:c r="G32" s="343"/>
      <x:c r="H32" s="343"/>
      <x:c r="I32" s="343"/>
      <x:c r="J32" s="343"/>
      <x:c r="K32" s="343"/>
      <x:c r="L32" s="343"/>
      <x:c r="M32" s="343"/>
      <x:c r="N32" s="344"/>
    </x:row>
    <x:row r="33" ht="28" customHeight="1">
      <x:c r="A33" s="345"/>
      <x:c r="B33" s="346"/>
      <x:c r="C33" s="346"/>
      <x:c r="D33" s="346"/>
      <x:c r="E33" s="346"/>
      <x:c r="F33" s="346"/>
      <x:c r="G33" s="346"/>
      <x:c r="H33" s="346"/>
      <x:c r="I33" s="346"/>
      <x:c r="J33" s="346"/>
      <x:c r="K33" s="346"/>
      <x:c r="L33" s="346"/>
      <x:c r="M33" s="346"/>
      <x:c r="N33" s="347"/>
    </x:row>
    <x:row r="34">
      <x:c r="A34" s="220"/>
      <x:c r="B34" s="220"/>
      <x:c r="C34" s="220"/>
      <x:c r="D34" s="220"/>
      <x:c r="E34" s="220"/>
      <x:c r="F34" s="220"/>
      <x:c r="G34" s="220"/>
      <x:c r="H34" s="220"/>
      <x:c r="I34" s="220"/>
      <x:c r="J34" s="220"/>
      <x:c r="K34" s="220"/>
      <x:c r="L34" s="220"/>
      <x:c r="M34" s="220"/>
      <x:c r="N34" s="220"/>
    </x:row>
    <x:row r="35" ht="22" customHeight="1">
      <x:c r="A35" s="214" t="str">
        <x:v>※ 本サンプルは架空条件による表示例です。実案件の効果・安全・法令適合・製品適用等を保証するものではありません。</x:v>
      </x:c>
      <x:c r="B35" s="214"/>
      <x:c r="C35" s="214"/>
      <x:c r="D35" s="214"/>
      <x:c r="E35" s="214"/>
      <x:c r="F35" s="214"/>
      <x:c r="G35" s="214"/>
      <x:c r="H35" s="214"/>
      <x:c r="I35" s="214"/>
      <x:c r="J35" s="214"/>
      <x:c r="K35" s="214"/>
      <x:c r="L35" s="214"/>
      <x:c r="M35" s="214"/>
      <x:c r="N35" s="214"/>
    </x:row>
    <x:row r="36" ht="22" customHeight="1">
      <x:c r="A36" s="214"/>
      <x:c r="B36" s="214"/>
      <x:c r="C36" s="214"/>
      <x:c r="D36" s="214"/>
      <x:c r="E36" s="214"/>
      <x:c r="F36" s="214"/>
      <x:c r="G36" s="214"/>
      <x:c r="H36" s="214"/>
      <x:c r="I36" s="214"/>
      <x:c r="J36" s="214"/>
      <x:c r="K36" s="214"/>
      <x:c r="L36" s="214"/>
      <x:c r="M36" s="214"/>
      <x:c r="N36" s="214"/>
    </x:row>
  </x:sheetData>
  <x:mergeCells>
    <x:mergeCell ref="A1:N2"/>
    <x:mergeCell ref="A4:N4"/>
    <x:mergeCell ref="C6:E6"/>
    <x:mergeCell ref="F6:H6"/>
    <x:mergeCell ref="I6:K6"/>
    <x:mergeCell ref="L6:N6"/>
    <x:mergeCell ref="C7:E7"/>
    <x:mergeCell ref="F7:H7"/>
    <x:mergeCell ref="I7:K7"/>
    <x:mergeCell ref="L7:N7"/>
    <x:mergeCell ref="C8:E8"/>
    <x:mergeCell ref="F8:H8"/>
    <x:mergeCell ref="I8:K8"/>
    <x:mergeCell ref="L8:N8"/>
    <x:mergeCell ref="C9:E9"/>
    <x:mergeCell ref="F9:H9"/>
    <x:mergeCell ref="I9:K9"/>
    <x:mergeCell ref="L9:N9"/>
    <x:mergeCell ref="C10:E10"/>
    <x:mergeCell ref="F10:H10"/>
    <x:mergeCell ref="I10:K10"/>
    <x:mergeCell ref="L10:N10"/>
    <x:mergeCell ref="C5:E5"/>
    <x:mergeCell ref="F5:H5"/>
    <x:mergeCell ref="I5:K5"/>
    <x:mergeCell ref="L5:N5"/>
    <x:mergeCell ref="A3:H3"/>
    <x:mergeCell ref="I3:N3"/>
    <x:mergeCell ref="A5:N5"/>
    <x:mergeCell ref="C11:E11"/>
    <x:mergeCell ref="F11:H11"/>
    <x:mergeCell ref="I11:K11"/>
    <x:mergeCell ref="L11:N11"/>
    <x:mergeCell ref="A13:N13"/>
    <x:mergeCell ref="A14:D14"/>
    <x:mergeCell ref="E14:H14"/>
    <x:mergeCell ref="I14:K14"/>
    <x:mergeCell ref="L14:N14"/>
    <x:mergeCell ref="A15:D20"/>
    <x:mergeCell ref="E15:H20"/>
    <x:mergeCell ref="I15:K20"/>
    <x:mergeCell ref="L15:N20"/>
    <x:mergeCell ref="A22:G22"/>
    <x:mergeCell ref="A23:G29"/>
    <x:mergeCell ref="I22:N22"/>
    <x:mergeCell ref="I23:N29"/>
    <x:mergeCell ref="A31:N33"/>
    <x:mergeCell ref="A35:N3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6" hidden="0" customWidth="1"/>
  </x:cols>
  <x:sheetData>
    <x:row r="1">
      <x:c r="A1" s="47" t="str">
        <x:v>投資判断レーダー（Web簡易診断・参考）</x:v>
      </x:c>
      <x:c r="B1" s="47"/>
      <x:c r="C1" s="47"/>
    </x:row>
    <x:row r="2">
      <x:c r="A2" s="48" t="str">
        <x:v>領域</x:v>
      </x:c>
      <x:c r="B2" s="48" t="str">
        <x:v>投資対応必要度</x:v>
      </x:c>
      <x:c r="C2" s="48" t="str">
        <x:v>算定ロジック</x:v>
      </x:c>
    </x:row>
    <x:row r="3">
      <x:c r="A3" s="24" t="str">
        <x:v>エネルギー</x:v>
      </x:c>
      <x:c r="B3" s="49" t="n">
        <x:f>MAX(TOP5_Final!E7:E10)</x:f>
        <x:v>60.8</x:v>
      </x:c>
      <x:c r="C3" s="24" t="str">
        <x:v>EN-01～04の最大TOP_SCORE</x:v>
      </x:c>
    </x:row>
    <x:row r="4">
      <x:c r="A4" s="24" t="str">
        <x:v>設備</x:v>
      </x:c>
      <x:c r="B4" s="49" t="n">
        <x:f>MAX(TOP5_Final!E4:E6)</x:f>
        <x:v>74.3</x:v>
      </x:c>
      <x:c r="C4" s="24" t="str">
        <x:v>EQ-01～03の最大TOP_SCORE</x:v>
      </x:c>
    </x:row>
    <x:row r="5">
      <x:c r="A5" s="24" t="str">
        <x:v>建屋</x:v>
      </x:c>
      <x:c r="B5" s="49" t="n">
        <x:f>MAX(TOP5_Final!E11:E13)</x:f>
        <x:v>66.3</x:v>
      </x:c>
      <x:c r="C5" s="24" t="str">
        <x:v>BL-01～03の最大TOP_SCORE</x:v>
      </x:c>
    </x:row>
    <x:row r="6">
      <x:c r="A6" s="24" t="str">
        <x:v>保全</x:v>
      </x:c>
      <x:c r="B6" s="49" t="n">
        <x:f>MAX(TOP5_Final!E5:E6,TOP5_Final!E14)</x:f>
        <x:v>74.3</x:v>
      </x:c>
      <x:c r="C6" s="24" t="str">
        <x:v>EQ-02/EQ-03/MG-01の最大TOP_SCORE</x:v>
      </x:c>
    </x:row>
    <x:row r="7">
      <x:c r="A7" s="24" t="str">
        <x:v>BCP</x:v>
      </x:c>
      <x:c r="B7" s="49" t="n">
        <x:f>MAX(TOP5_Final!E17,TOP5_Final!E6)</x:f>
        <x:v>81.3</x:v>
      </x:c>
      <x:c r="C7" s="24" t="str">
        <x:v>GR-01/EQ-03の最大TOP_SCORE</x:v>
      </x:c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433" t="str">
        <x:v>Energy Doctor｜A3診断レポート SAMPLE</x:v>
      </x:c>
      <x:c r="B1" s="433"/>
      <x:c r="C1" s="433"/>
      <x:c r="D1" s="433"/>
      <x:c r="E1" s="433"/>
      <x:c r="F1" s="433"/>
      <x:c r="G1" s="433"/>
      <x:c r="H1" s="433"/>
      <x:c r="I1" s="433"/>
      <x:c r="J1" s="433"/>
      <x:c r="K1" s="433"/>
      <x:c r="L1" s="433"/>
      <x:c r="M1" s="433"/>
      <x:c r="N1" s="433"/>
    </x:row>
    <x:row r="2">
      <x:c r="A2" s="433"/>
      <x:c r="B2" s="433"/>
      <x:c r="C2" s="433"/>
      <x:c r="D2" s="433"/>
      <x:c r="E2" s="433"/>
      <x:c r="F2" s="433"/>
      <x:c r="G2" s="433"/>
      <x:c r="H2" s="433"/>
      <x:c r="I2" s="433"/>
      <x:c r="J2" s="433"/>
      <x:c r="K2" s="433"/>
      <x:c r="L2" s="433"/>
      <x:c r="M2" s="433"/>
      <x:c r="N2" s="433"/>
    </x:row>
    <x:row r="3">
      <x:c r="A3" s="437" t="str">
        <x:v>何から投資すべきかを、A3一枚で整理。
課題・優先順位・次のアクションまで、経営層が短時間で把握できるレポートです。</x:v>
      </x:c>
      <x:c r="B3" s="437"/>
      <x:c r="C3" s="437"/>
      <x:c r="D3" s="437"/>
      <x:c r="E3" s="437"/>
      <x:c r="F3" s="437"/>
      <x:c r="G3" s="437"/>
      <x:c r="H3" s="437"/>
      <x:c r="I3" s="437"/>
      <x:c r="J3" s="437"/>
      <x:c r="K3" s="437"/>
      <x:c r="L3" s="437"/>
      <x:c r="M3" s="437"/>
      <x:c r="N3" s="437"/>
    </x:row>
    <x:row r="4">
      <x:c r="A4" s="437"/>
      <x:c r="B4" s="437"/>
      <x:c r="C4" s="437"/>
      <x:c r="D4" s="437"/>
      <x:c r="E4" s="437"/>
      <x:c r="F4" s="437"/>
      <x:c r="G4" s="437"/>
      <x:c r="H4" s="437"/>
      <x:c r="I4" s="437"/>
      <x:c r="J4" s="437"/>
      <x:c r="K4" s="437"/>
      <x:c r="L4" s="437"/>
      <x:c r="M4" s="437"/>
      <x:c r="N4" s="437"/>
    </x:row>
    <x:row r="6">
      <x:c r="A6" s="467" t="str">
        <x:v>① 何が課題か
設備・エネルギー・建屋・BCPなどを横断して、優先確認事項を整理します。</x:v>
      </x:c>
      <x:c r="B6" s="468"/>
      <x:c r="C6" s="468"/>
      <x:c r="D6" s="469"/>
      <x:c r="F6" s="505" t="str">
        <x:v>② 何から着手するか
TOP5と投資判断レーダーで、投資・確認の優先順位を見える化します。</x:v>
      </x:c>
      <x:c r="G6" s="506"/>
      <x:c r="H6" s="506"/>
      <x:c r="I6" s="507"/>
      <x:c r="K6" s="543" t="str">
        <x:v>③ 次に何をするか
現地調査、資料確認、基本構想、見積など、次のアクションまで提示します。</x:v>
      </x:c>
      <x:c r="L6" s="544"/>
      <x:c r="M6" s="544"/>
      <x:c r="N6" s="545"/>
    </x:row>
    <x:row r="7">
      <x:c r="A7" s="470"/>
      <x:c r="B7" s="471"/>
      <x:c r="C7" s="471"/>
      <x:c r="D7" s="472"/>
      <x:c r="F7" s="508"/>
      <x:c r="G7" s="509"/>
      <x:c r="H7" s="509"/>
      <x:c r="I7" s="510"/>
      <x:c r="K7" s="546"/>
      <x:c r="L7" s="547"/>
      <x:c r="M7" s="547"/>
      <x:c r="N7" s="548"/>
    </x:row>
    <x:row r="8">
      <x:c r="A8" s="470"/>
      <x:c r="B8" s="471"/>
      <x:c r="C8" s="471"/>
      <x:c r="D8" s="472"/>
      <x:c r="F8" s="508"/>
      <x:c r="G8" s="509"/>
      <x:c r="H8" s="509"/>
      <x:c r="I8" s="510"/>
      <x:c r="K8" s="546"/>
      <x:c r="L8" s="547"/>
      <x:c r="M8" s="547"/>
      <x:c r="N8" s="548"/>
    </x:row>
    <x:row r="9">
      <x:c r="A9" s="470"/>
      <x:c r="B9" s="471"/>
      <x:c r="C9" s="471"/>
      <x:c r="D9" s="472"/>
      <x:c r="F9" s="508"/>
      <x:c r="G9" s="509"/>
      <x:c r="H9" s="509"/>
      <x:c r="I9" s="510"/>
      <x:c r="K9" s="546"/>
      <x:c r="L9" s="547"/>
      <x:c r="M9" s="547"/>
      <x:c r="N9" s="548"/>
    </x:row>
    <x:row r="10">
      <x:c r="A10" s="473"/>
      <x:c r="B10" s="474"/>
      <x:c r="C10" s="474"/>
      <x:c r="D10" s="475"/>
      <x:c r="F10" s="511"/>
      <x:c r="G10" s="512"/>
      <x:c r="H10" s="512"/>
      <x:c r="I10" s="513"/>
      <x:c r="K10" s="549"/>
      <x:c r="L10" s="550"/>
      <x:c r="M10" s="550"/>
      <x:c r="N10" s="551"/>
    </x:row>
    <x:row r="12">
      <x:c r="A12" s="409" t="str">
        <x:v>SAMPLE RESULT｜架空事業所の診断例</x:v>
      </x:c>
      <x:c r="B12" s="409"/>
      <x:c r="C12" s="409"/>
      <x:c r="D12" s="409"/>
      <x:c r="E12" s="409"/>
      <x:c r="F12" s="409"/>
      <x:c r="G12" s="409"/>
      <x:c r="H12" s="409"/>
      <x:c r="I12" s="409"/>
      <x:c r="J12" s="409"/>
      <x:c r="K12" s="409"/>
      <x:c r="L12" s="409"/>
      <x:c r="M12" s="409"/>
      <x:c r="N12" s="409"/>
    </x:row>
    <x:row r="13">
      <x:c r="A13" s="557" t="str">
        <x:f>"最優先課題"&amp;CHAR(10)&amp;"「"&amp;A3_Output!D19&amp;"」"&amp;CHAR(10)&amp;"優先度 "&amp;TEXT(A3_Output!E19,"0.0")&amp;" / 100"</x:f>
        <x:v>最優先課題
「安全・法令・品質・供給継続の未解決事項確認」
優先度 81.3 / 100</x:v>
      </x:c>
      <x:c r="B13" s="557"/>
      <x:c r="C13" s="557"/>
      <x:c r="D13" s="557"/>
      <x:c r="E13" s="557"/>
      <x:c r="F13" s="557"/>
      <x:c r="H13" s="561" t="str">
        <x:v>投資判断レーダー
エネルギー・設備・建屋・保全・BCPの5領域を俯瞰し、バランスと優先領域を確認します。</x:v>
      </x:c>
      <x:c r="I13" s="561"/>
      <x:c r="J13" s="561"/>
      <x:c r="K13" s="561"/>
      <x:c r="L13" s="561"/>
      <x:c r="M13" s="561"/>
      <x:c r="N13" s="561"/>
    </x:row>
    <x:row r="14">
      <x:c r="A14" s="557"/>
      <x:c r="B14" s="557"/>
      <x:c r="C14" s="557"/>
      <x:c r="D14" s="557"/>
      <x:c r="E14" s="557"/>
      <x:c r="F14" s="557"/>
      <x:c r="H14" s="561"/>
      <x:c r="I14" s="561"/>
      <x:c r="J14" s="561"/>
      <x:c r="K14" s="561"/>
      <x:c r="L14" s="561"/>
      <x:c r="M14" s="561"/>
      <x:c r="N14" s="561"/>
    </x:row>
    <x:row r="15">
      <x:c r="A15" s="557"/>
      <x:c r="B15" s="557"/>
      <x:c r="C15" s="557"/>
      <x:c r="D15" s="557"/>
      <x:c r="E15" s="557"/>
      <x:c r="F15" s="557"/>
      <x:c r="H15" s="561"/>
      <x:c r="I15" s="561"/>
      <x:c r="J15" s="561"/>
      <x:c r="K15" s="561"/>
      <x:c r="L15" s="561"/>
      <x:c r="M15" s="561"/>
      <x:c r="N15" s="561"/>
    </x:row>
    <x:row r="16">
      <x:c r="A16" s="557"/>
      <x:c r="B16" s="557"/>
      <x:c r="C16" s="557"/>
      <x:c r="D16" s="557"/>
      <x:c r="E16" s="557"/>
      <x:c r="F16" s="557"/>
      <x:c r="H16" s="561"/>
      <x:c r="I16" s="561"/>
      <x:c r="J16" s="561"/>
      <x:c r="K16" s="561"/>
      <x:c r="L16" s="561"/>
      <x:c r="M16" s="561"/>
      <x:c r="N16" s="561"/>
    </x:row>
    <x:row r="18">
      <x:c r="A18" s="563" t="str">
        <x:v>A3レポートに含まれる主な内容</x:v>
      </x:c>
      <x:c r="B18" s="563"/>
      <x:c r="C18" s="563"/>
      <x:c r="D18" s="563"/>
      <x:c r="E18" s="563"/>
      <x:c r="F18" s="563"/>
      <x:c r="G18" s="563"/>
      <x:c r="H18" s="563"/>
      <x:c r="I18" s="563"/>
      <x:c r="J18" s="563"/>
      <x:c r="K18" s="563"/>
      <x:c r="L18" s="563"/>
      <x:c r="M18" s="563"/>
      <x:c r="N18" s="563"/>
    </x:row>
    <x:row r="19">
      <x:c r="A19" s="567" t="str">
        <x:v>項目</x:v>
      </x:c>
      <x:c r="B19" s="568" t="str">
        <x:v>内容</x:v>
      </x:c>
      <x:c r="C19" s="568"/>
      <x:c r="D19" s="568"/>
      <x:c r="E19" s="568"/>
      <x:c r="F19" s="568"/>
      <x:c r="G19" s="568"/>
      <x:c r="H19" s="568"/>
      <x:c r="I19" s="568"/>
      <x:c r="J19" s="568"/>
      <x:c r="K19" s="568"/>
      <x:c r="L19" s="568"/>
      <x:c r="M19" s="568"/>
      <x:c r="N19" s="569"/>
    </x:row>
    <x:row r="20">
      <x:c r="A20" s="202" t="str">
        <x:v>総合所見</x:v>
      </x:c>
      <x:c r="B20" s="203" t="str">
        <x:v>今回の診断で見えてきた課題と、最初に確認すべき事項</x:v>
      </x:c>
      <x:c r="C20" s="203"/>
      <x:c r="D20" s="203"/>
      <x:c r="E20" s="203"/>
      <x:c r="F20" s="203"/>
      <x:c r="G20" s="203"/>
      <x:c r="H20" s="203"/>
      <x:c r="I20" s="203"/>
      <x:c r="J20" s="203"/>
      <x:c r="K20" s="203"/>
      <x:c r="L20" s="203"/>
      <x:c r="M20" s="203"/>
      <x:c r="N20" s="204"/>
    </x:row>
    <x:row r="21">
      <x:c r="A21" s="202" t="str">
        <x:v>3つの参考指標</x:v>
      </x:c>
      <x:c r="B21" s="203" t="str">
        <x:v>設備・管理の状態／判断材料の充足度／対応の優先度</x:v>
      </x:c>
      <x:c r="C21" s="203"/>
      <x:c r="D21" s="203"/>
      <x:c r="E21" s="203"/>
      <x:c r="F21" s="203"/>
      <x:c r="G21" s="203"/>
      <x:c r="H21" s="203"/>
      <x:c r="I21" s="203"/>
      <x:c r="J21" s="203"/>
      <x:c r="K21" s="203"/>
      <x:c r="L21" s="203"/>
      <x:c r="M21" s="203"/>
      <x:c r="N21" s="204"/>
    </x:row>
    <x:row r="22">
      <x:c r="A22" s="202" t="str">
        <x:v>投資判断レーダー</x:v>
      </x:c>
      <x:c r="B22" s="203" t="str">
        <x:v>エネルギー・設備・建屋・保全・BCPの5領域を俯瞰</x:v>
      </x:c>
      <x:c r="C22" s="203"/>
      <x:c r="D22" s="203"/>
      <x:c r="E22" s="203"/>
      <x:c r="F22" s="203"/>
      <x:c r="G22" s="203"/>
      <x:c r="H22" s="203"/>
      <x:c r="I22" s="203"/>
      <x:c r="J22" s="203"/>
      <x:c r="K22" s="203"/>
      <x:c r="L22" s="203"/>
      <x:c r="M22" s="203"/>
      <x:c r="N22" s="204"/>
    </x:row>
    <x:row r="23">
      <x:c r="A23" s="202" t="str">
        <x:v>優先課題TOP5</x:v>
      </x:c>
      <x:c r="B23" s="203" t="str">
        <x:v>何から確認・投資判断すべきかを順位表示</x:v>
      </x:c>
      <x:c r="C23" s="203"/>
      <x:c r="D23" s="203"/>
      <x:c r="E23" s="203"/>
      <x:c r="F23" s="203"/>
      <x:c r="G23" s="203"/>
      <x:c r="H23" s="203"/>
      <x:c r="I23" s="203"/>
      <x:c r="J23" s="203"/>
      <x:c r="K23" s="203"/>
      <x:c r="L23" s="203"/>
      <x:c r="M23" s="203"/>
      <x:c r="N23" s="204"/>
    </x:row>
    <x:row r="24">
      <x:c r="A24" s="202" t="str">
        <x:v>投資ロードマップ</x:v>
      </x:c>
      <x:c r="B24" s="203" t="str">
        <x:v>0～3か月／3～6か月／6～12か月／1～3年に整理</x:v>
      </x:c>
      <x:c r="C24" s="203"/>
      <x:c r="D24" s="203"/>
      <x:c r="E24" s="203"/>
      <x:c r="F24" s="203"/>
      <x:c r="G24" s="203"/>
      <x:c r="H24" s="203"/>
      <x:c r="I24" s="203"/>
      <x:c r="J24" s="203"/>
      <x:c r="K24" s="203"/>
      <x:c r="L24" s="203"/>
      <x:c r="M24" s="203"/>
      <x:c r="N24" s="204"/>
    </x:row>
    <x:row r="25">
      <x:c r="A25" s="205" t="str">
        <x:v>次のアクション</x:v>
      </x:c>
      <x:c r="B25" s="206" t="str">
        <x:v>確認資料、現地調査、基本構想、概算見積等の次工程</x:v>
      </x:c>
      <x:c r="C25" s="206"/>
      <x:c r="D25" s="206"/>
      <x:c r="E25" s="206"/>
      <x:c r="F25" s="206"/>
      <x:c r="G25" s="206"/>
      <x:c r="H25" s="206"/>
      <x:c r="I25" s="206"/>
      <x:c r="J25" s="206"/>
      <x:c r="K25" s="206"/>
      <x:c r="L25" s="206"/>
      <x:c r="M25" s="206"/>
      <x:c r="N25" s="207"/>
    </x:row>
    <x:row r="27">
      <x:c r="A27" s="573" t="str">
        <x:v>無料診断の回答後、必要に応じて担当者が内容を確認し、A3レポートとして整理します。
公開フォームには図面・写真などの資料添付は設けず、必要な資料は個別にご案内します。</x:v>
      </x:c>
      <x:c r="B27" s="573"/>
      <x:c r="C27" s="573"/>
      <x:c r="D27" s="573"/>
      <x:c r="E27" s="573"/>
      <x:c r="F27" s="573"/>
      <x:c r="G27" s="573"/>
      <x:c r="H27" s="573"/>
      <x:c r="I27" s="573"/>
      <x:c r="J27" s="573"/>
      <x:c r="K27" s="573"/>
      <x:c r="L27" s="573"/>
      <x:c r="M27" s="573"/>
      <x:c r="N27" s="573"/>
    </x:row>
    <x:row r="28">
      <x:c r="A28" s="573"/>
      <x:c r="B28" s="573"/>
      <x:c r="C28" s="573"/>
      <x:c r="D28" s="573"/>
      <x:c r="E28" s="573"/>
      <x:c r="F28" s="573"/>
      <x:c r="G28" s="573"/>
      <x:c r="H28" s="573"/>
      <x:c r="I28" s="573"/>
      <x:c r="J28" s="573"/>
      <x:c r="K28" s="573"/>
      <x:c r="L28" s="573"/>
      <x:c r="M28" s="573"/>
      <x:c r="N28" s="573"/>
    </x:row>
    <x:row r="29">
      <x:c r="A29" s="573"/>
      <x:c r="B29" s="573"/>
      <x:c r="C29" s="573"/>
      <x:c r="D29" s="573"/>
      <x:c r="E29" s="573"/>
      <x:c r="F29" s="573"/>
      <x:c r="G29" s="573"/>
      <x:c r="H29" s="573"/>
      <x:c r="I29" s="573"/>
      <x:c r="J29" s="573"/>
      <x:c r="K29" s="573"/>
      <x:c r="L29" s="573"/>
      <x:c r="M29" s="573"/>
      <x:c r="N29" s="573"/>
    </x:row>
    <x:row r="30">
      <x:c r="A30" s="573"/>
      <x:c r="B30" s="573"/>
      <x:c r="C30" s="573"/>
      <x:c r="D30" s="573"/>
      <x:c r="E30" s="573"/>
      <x:c r="F30" s="573"/>
      <x:c r="G30" s="573"/>
      <x:c r="H30" s="573"/>
      <x:c r="I30" s="573"/>
      <x:c r="J30" s="573"/>
      <x:c r="K30" s="573"/>
      <x:c r="L30" s="573"/>
      <x:c r="M30" s="573"/>
      <x:c r="N30" s="573"/>
    </x:row>
    <x:row r="32">
      <x:c r="A32" s="576" t="str">
        <x:v>無料診断を開始する　　｜　　A3レポートサンプルを見る</x:v>
      </x:c>
      <x:c r="B32" s="576"/>
      <x:c r="C32" s="576"/>
      <x:c r="D32" s="576"/>
      <x:c r="E32" s="576"/>
      <x:c r="F32" s="576"/>
      <x:c r="G32" s="576"/>
      <x:c r="H32" s="576"/>
      <x:c r="I32" s="576"/>
      <x:c r="J32" s="576"/>
      <x:c r="K32" s="576"/>
      <x:c r="L32" s="576"/>
      <x:c r="M32" s="576"/>
      <x:c r="N32" s="576"/>
    </x:row>
    <x:row r="33">
      <x:c r="A33" s="576"/>
      <x:c r="B33" s="576"/>
      <x:c r="C33" s="576"/>
      <x:c r="D33" s="576"/>
      <x:c r="E33" s="576"/>
      <x:c r="F33" s="576"/>
      <x:c r="G33" s="576"/>
      <x:c r="H33" s="576"/>
      <x:c r="I33" s="576"/>
      <x:c r="J33" s="576"/>
      <x:c r="K33" s="576"/>
      <x:c r="L33" s="576"/>
      <x:c r="M33" s="576"/>
      <x:c r="N33" s="576"/>
    </x:row>
    <x:row r="34">
      <x:c r="A34" s="576"/>
      <x:c r="B34" s="576"/>
      <x:c r="C34" s="576"/>
      <x:c r="D34" s="576"/>
      <x:c r="E34" s="576"/>
      <x:c r="F34" s="576"/>
      <x:c r="G34" s="576"/>
      <x:c r="H34" s="576"/>
      <x:c r="I34" s="576"/>
      <x:c r="J34" s="576"/>
      <x:c r="K34" s="576"/>
      <x:c r="L34" s="576"/>
      <x:c r="M34" s="576"/>
      <x:c r="N34" s="576"/>
    </x:row>
    <x:row r="36">
      <x:c r="A36" s="580" t="str">
        <x:v>※ SAMPLE：架空データによる表示例です。診断結果や投資効果を保証するものではありません。</x:v>
      </x:c>
      <x:c r="B36" s="580"/>
      <x:c r="C36" s="580"/>
      <x:c r="D36" s="580"/>
      <x:c r="E36" s="580"/>
      <x:c r="F36" s="580"/>
      <x:c r="G36" s="580"/>
      <x:c r="H36" s="580"/>
      <x:c r="I36" s="580"/>
      <x:c r="J36" s="580"/>
      <x:c r="K36" s="580"/>
      <x:c r="L36" s="580"/>
      <x:c r="M36" s="580"/>
      <x:c r="N36" s="580"/>
    </x:row>
    <x:row r="37">
      <x:c r="A37" s="580"/>
      <x:c r="B37" s="580"/>
      <x:c r="C37" s="580"/>
      <x:c r="D37" s="580"/>
      <x:c r="E37" s="580"/>
      <x:c r="F37" s="580"/>
      <x:c r="G37" s="580"/>
      <x:c r="H37" s="580"/>
      <x:c r="I37" s="580"/>
      <x:c r="J37" s="580"/>
      <x:c r="K37" s="580"/>
      <x:c r="L37" s="580"/>
      <x:c r="M37" s="580"/>
      <x:c r="N37" s="580"/>
    </x:row>
  </x:sheetData>
  <x:mergeCells>
    <x:mergeCell ref="A1:N2"/>
    <x:mergeCell ref="A3:N4"/>
    <x:mergeCell ref="A6:D10"/>
    <x:mergeCell ref="F6:I10"/>
    <x:mergeCell ref="K6:N10"/>
    <x:mergeCell ref="A12:N12"/>
    <x:mergeCell ref="A13:F16"/>
    <x:mergeCell ref="H13:N16"/>
    <x:mergeCell ref="A18:N18"/>
    <x:mergeCell ref="B19:N19"/>
    <x:mergeCell ref="B20:N20"/>
    <x:mergeCell ref="B21:N21"/>
    <x:mergeCell ref="B22:N22"/>
    <x:mergeCell ref="B23:N23"/>
    <x:mergeCell ref="B24:N24"/>
    <x:mergeCell ref="B25:N25"/>
    <x:mergeCell ref="A27:N30"/>
    <x:mergeCell ref="A32:N34"/>
    <x:mergeCell ref="A36:N37"/>
  </x:mergeCells>
  <x:pageMargins left="0.7" right="0.7" top="0.75" bottom="0.75" header="0.3" footer="0.3"/>
</x:worksheet>
</file>