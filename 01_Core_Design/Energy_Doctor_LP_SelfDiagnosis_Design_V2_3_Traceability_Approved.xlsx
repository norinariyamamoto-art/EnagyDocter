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46d075ad82540f3" /></Relationships>
</file>

<file path=xl/workbook.xml><?xml version="1.0" encoding="utf-8"?>
<x:workbook xmlns:x="http://schemas.openxmlformats.org/spreadsheetml/2006/main">
  <x:sheets>
    <x:sheet xmlns:r="http://schemas.openxmlformats.org/officeDocument/2006/relationships" name="00_設計方針" sheetId="1" r:id="R6cb30b7711e64db6"/>
    <x:sheet xmlns:r="http://schemas.openxmlformats.org/officeDocument/2006/relationships" name="01_LP質問票" sheetId="2" r:id="R6c83726a6fa3424f"/>
    <x:sheet xmlns:r="http://schemas.openxmlformats.org/officeDocument/2006/relationships" name="02_回答選択肢" sheetId="3" r:id="R356e201ae2b7420b"/>
    <x:sheet xmlns:r="http://schemas.openxmlformats.org/officeDocument/2006/relationships" name="03_採点マトリクス" sheetId="4" r:id="R6352d7c0fd694115"/>
    <x:sheet xmlns:r="http://schemas.openxmlformats.org/officeDocument/2006/relationships" name="04_Guardrail判定" sheetId="5" r:id="R5d9cb5a36e1d4c25"/>
    <x:sheet xmlns:r="http://schemas.openxmlformats.org/officeDocument/2006/relationships" name="05_Evidence判定" sheetId="6" r:id="R04f5b1fb499d4a08"/>
    <x:sheet xmlns:r="http://schemas.openxmlformats.org/officeDocument/2006/relationships" name="06_回答整合性チェック" sheetId="7" r:id="Rad37287dfabb4d2b"/>
    <x:sheet xmlns:r="http://schemas.openxmlformats.org/officeDocument/2006/relationships" name="07_コメントコード" sheetId="8" r:id="R7084a3c2fde047d0"/>
    <x:sheet xmlns:r="http://schemas.openxmlformats.org/officeDocument/2006/relationships" name="08_レポート可変項目定義" sheetId="9" r:id="Rab0b16607d9540ad"/>
    <x:sheet xmlns:r="http://schemas.openxmlformats.org/officeDocument/2006/relationships" name="09_断定レベル・文章統制" sheetId="10" r:id="Rfb5b48ec412644a8"/>
    <x:sheet xmlns:r="http://schemas.openxmlformats.org/officeDocument/2006/relationships" name="10_レポート項目対応" sheetId="11" r:id="R6e69595ee6864eab"/>
    <x:sheet xmlns:r="http://schemas.openxmlformats.org/officeDocument/2006/relationships" name="11_テストケース" sheetId="12" r:id="R28a83e130fba4f14"/>
    <x:sheet xmlns:r="http://schemas.openxmlformats.org/officeDocument/2006/relationships" name="12_改訂履歴" sheetId="13" r:id="R496bea65b9524cd0"/>
    <x:sheet xmlns:r="http://schemas.openxmlformats.org/officeDocument/2006/relationships" name="13_算定式・順位ロジック" sheetId="14" r:id="R773ffd614b0d4f50"/>
    <x:sheet xmlns:r="http://schemas.openxmlformats.org/officeDocument/2006/relationships" name="14_診断品質・文章生成" sheetId="15" r:id="R3363b3d97c0f4f6a"/>
    <x:sheet xmlns:r="http://schemas.openxmlformats.org/officeDocument/2006/relationships" name="15_コメントコード充足表" sheetId="16" r:id="R5f876a4b50694710"/>
    <x:sheet xmlns:r="http://schemas.openxmlformats.org/officeDocument/2006/relationships" name="16_テスト入力" sheetId="17" r:id="R7cf2ecc33a1a457a"/>
    <x:sheet xmlns:r="http://schemas.openxmlformats.org/officeDocument/2006/relationships" name="17_自動生成サンプル" sheetId="18" r:id="R2379e6cc12ac4da7"/>
    <x:sheet xmlns:r="http://schemas.openxmlformats.org/officeDocument/2006/relationships" name="18_A3レポート_P1" sheetId="19" r:id="R161626fddc0c4dc4"/>
    <x:sheet xmlns:r="http://schemas.openxmlformats.org/officeDocument/2006/relationships" name="19_A3レポート_P2" sheetId="20" r:id="R72bd24b0fea44d19"/>
    <x:sheet xmlns:r="http://schemas.openxmlformats.org/officeDocument/2006/relationships" name="20_LP画面遷移" sheetId="21" r:id="R7c88db80f1624977"/>
    <x:sheet xmlns:r="http://schemas.openxmlformats.org/officeDocument/2006/relationships" name="21_UI項目仕様" sheetId="22" r:id="Rf05a48d5351d440b"/>
    <x:sheet xmlns:r="http://schemas.openxmlformats.org/officeDocument/2006/relationships" name="22_システム処理フロー" sheetId="23" r:id="Ra69a29eae0cd4235"/>
    <x:sheet xmlns:r="http://schemas.openxmlformats.org/officeDocument/2006/relationships" name="23_データ・API仕様" sheetId="24" r:id="R6ed2f0a8b92a4569"/>
    <x:sheet xmlns:r="http://schemas.openxmlformats.org/officeDocument/2006/relationships" name="24_受入テスト" sheetId="25" r:id="R45efa46f1bbe49ec"/>
    <x:sheet xmlns:r="http://schemas.openxmlformats.org/officeDocument/2006/relationships" name="25_RFP回答様式" sheetId="26" r:id="R6decfe15ce7944f5"/>
    <x:sheet xmlns:r="http://schemas.openxmlformats.org/officeDocument/2006/relationships" name="26_見積内訳" sheetId="27" r:id="R43cfc2ddaea94137"/>
    <x:sheet xmlns:r="http://schemas.openxmlformats.org/officeDocument/2006/relationships" name="27_提案評価" sheetId="28" r:id="R69e55711c5884a2c"/>
    <x:sheet xmlns:r="http://schemas.openxmlformats.org/officeDocument/2006/relationships" name="28_開発ロードマップ" sheetId="29" r:id="Rab15dec73fa84c59"/>
    <x:sheet xmlns:r="http://schemas.openxmlformats.org/officeDocument/2006/relationships" name="29_リスク・課題管理" sheetId="30" r:id="R5d46c80da14044fb"/>
    <x:sheet xmlns:r="http://schemas.openxmlformats.org/officeDocument/2006/relationships" name="30_社内決裁・予算計画" sheetId="31" r:id="R6e127c83109949c8"/>
    <x:sheet xmlns:r="http://schemas.openxmlformats.org/officeDocument/2006/relationships" name="31_パイロットKPI" sheetId="32" r:id="Ra87bd25365ce4b43"/>
    <x:sheet xmlns:r="http://schemas.openxmlformats.org/officeDocument/2006/relationships" name="32_運用体制_RACI" sheetId="33" r:id="Rb91ce211a6ab47eb"/>
    <x:sheet xmlns:r="http://schemas.openxmlformats.org/officeDocument/2006/relationships" name="33_変更管理" sheetId="34" r:id="R6ffdc4b7a6e6479d"/>
    <x:sheet xmlns:r="http://schemas.openxmlformats.org/officeDocument/2006/relationships" name="34_ベンダーQ&amp;A" sheetId="35" r:id="R6025b56525f14b5e"/>
    <x:sheet xmlns:r="http://schemas.openxmlformats.org/officeDocument/2006/relationships" name="35_契約・発注チェック" sheetId="36" r:id="Re2e00e59c90e42ec"/>
    <x:sheet xmlns:r="http://schemas.openxmlformats.org/officeDocument/2006/relationships" name="36_リリース判定" sheetId="37" r:id="R07a5d307e62849d0"/>
    <x:sheet xmlns:r="http://schemas.openxmlformats.org/officeDocument/2006/relationships" name="37_成果物マスター" sheetId="38" r:id="Re3537ec113224df4"/>
    <x:sheet xmlns:r="http://schemas.openxmlformats.org/officeDocument/2006/relationships" name="38_Baseline_Freeze" sheetId="39" r:id="R8b3dc13f08434431"/>
    <x:sheet xmlns:r="http://schemas.openxmlformats.org/officeDocument/2006/relationships" name="39_開発バックログ" sheetId="40" r:id="R2e54e70ef5c14a67"/>
    <x:sheet xmlns:r="http://schemas.openxmlformats.org/officeDocument/2006/relationships" name="40_要件トレーサビリティ" sheetId="41" r:id="R21ae422f19824ddd"/>
    <x:sheet xmlns:r="http://schemas.openxmlformats.org/officeDocument/2006/relationships" name="41_V1.0ステータス" sheetId="42" r:id="Re8f0f486a7694e71"/>
    <x:sheet xmlns:r="http://schemas.openxmlformats.org/officeDocument/2006/relationships" name="42_内製MVP方針" sheetId="43" r:id="Rfa8cdecd9f314e53"/>
    <x:sheet xmlns:r="http://schemas.openxmlformats.org/officeDocument/2006/relationships" name="43_顧客対応フロー" sheetId="44" r:id="Rea4c5763b5714361"/>
    <x:sheet xmlns:r="http://schemas.openxmlformats.org/officeDocument/2006/relationships" name="44_ノーコード構成" sheetId="45" r:id="R419c6a6158314a7f"/>
    <x:sheet xmlns:r="http://schemas.openxmlformats.org/officeDocument/2006/relationships" name="45_秘密情報取扱" sheetId="46" r:id="R5dbb5b503a3e4645"/>
    <x:sheet xmlns:r="http://schemas.openxmlformats.org/officeDocument/2006/relationships" name="46_AIエージェント運用" sheetId="47" r:id="R30eb1d17f57147dc"/>
    <x:sheet xmlns:r="http://schemas.openxmlformats.org/officeDocument/2006/relationships" name="47_内製実装ロードマップ" sheetId="48" r:id="R4770430e299e4dab"/>
    <x:sheet xmlns:r="http://schemas.openxmlformats.org/officeDocument/2006/relationships" name="48_フォーム・資料分離設計" sheetId="49" r:id="Rca5cb1206cfb4c96"/>
    <x:sheet xmlns:r="http://schemas.openxmlformats.org/officeDocument/2006/relationships" name="49_AI利用条件確認" sheetId="50" r:id="R3079b01ef0704374"/>
    <x:sheet xmlns:r="http://schemas.openxmlformats.org/officeDocument/2006/relationships" name="50_AI資料投入ルール" sheetId="51" r:id="Rc45d22361b444237"/>
    <x:sheet xmlns:r="http://schemas.openxmlformats.org/officeDocument/2006/relationships" name="51_Stage0情シス確認票" sheetId="52" r:id="Rd5b10406747946f8"/>
    <x:sheet xmlns:r="http://schemas.openxmlformats.org/officeDocument/2006/relationships" name="52_Stage1実装仕様" sheetId="53" r:id="R212a396417264aa3"/>
    <x:sheet xmlns:r="http://schemas.openxmlformats.org/officeDocument/2006/relationships" name="53_Stage1データ項目" sheetId="54" r:id="Rcb512e50395b4f9f"/>
    <x:sheet xmlns:r="http://schemas.openxmlformats.org/officeDocument/2006/relationships" name="54_Stage1運用台帳" sheetId="55" r:id="R6aac867867614075"/>
    <x:sheet xmlns:r="http://schemas.openxmlformats.org/officeDocument/2006/relationships" name="55_Stage1受入テスト" sheetId="56" r:id="Rf622a73f307f4ebe"/>
    <x:sheet xmlns:r="http://schemas.openxmlformats.org/officeDocument/2006/relationships" name="56_公開Web受付開始判定" sheetId="57" r:id="R2f04511389e54bd5"/>
    <x:sheet xmlns:r="http://schemas.openxmlformats.org/officeDocument/2006/relationships" name="57_LPページ仕様" sheetId="58" r:id="R92293905d87347e8"/>
    <x:sheet xmlns:r="http://schemas.openxmlformats.org/officeDocument/2006/relationships" name="58_公開フォーム項目" sheetId="59" r:id="R0cd67a3dc31b4713"/>
    <x:sheet xmlns:r="http://schemas.openxmlformats.org/officeDocument/2006/relationships" name="59_Web・メール文面" sheetId="60" r:id="R9ef1a2ab260c4daa"/>
    <x:sheet xmlns:r="http://schemas.openxmlformats.org/officeDocument/2006/relationships" name="60_Web変更作業指示" sheetId="61" r:id="Race4a6120f334c1f"/>
    <x:sheet xmlns:r="http://schemas.openxmlformats.org/officeDocument/2006/relationships" name="61_Stage1A_Web受入テスト" sheetId="62" r:id="R643d2f4b49c3458b"/>
    <x:sheet xmlns:r="http://schemas.openxmlformats.org/officeDocument/2006/relationships" name="62_独立LP構成" sheetId="63" r:id="Rd1fe773e088e4393"/>
    <x:sheet xmlns:r="http://schemas.openxmlformats.org/officeDocument/2006/relationships" name="63_サブドメイン確認票" sheetId="64" r:id="R23a6704886444232"/>
    <x:sheet xmlns:r="http://schemas.openxmlformats.org/officeDocument/2006/relationships" name="64_情シス提示書" sheetId="65" r:id="R7b67389efccb4516"/>
    <x:sheet xmlns:r="http://schemas.openxmlformats.org/officeDocument/2006/relationships" name="65_LPワイヤーフレーム" sheetId="66" r:id="Rb20017ae71404c06"/>
    <x:sheet xmlns:r="http://schemas.openxmlformats.org/officeDocument/2006/relationships" name="66_LP掲載文章完成稿" sheetId="67" r:id="R39dc3c06f8ca4063"/>
    <x:sheet xmlns:r="http://schemas.openxmlformats.org/officeDocument/2006/relationships" name="67_LP実装注記" sheetId="68" r:id="Ree39a3b782a74293"/>
    <x:sheet xmlns:r="http://schemas.openxmlformats.org/officeDocument/2006/relationships" name="68_公開フォーム最小質問セット" sheetId="69" r:id="R58d75231d6bf436b"/>
    <x:sheet xmlns:r="http://schemas.openxmlformats.org/officeDocument/2006/relationships" name="69_LP掲載A3サンプル仕様" sheetId="70" r:id="R92942104b6e24561"/>
    <x:sheet xmlns:r="http://schemas.openxmlformats.org/officeDocument/2006/relationships" name="70_LP文章・画面レビュー" sheetId="71" r:id="R5e4ba685d2f04a43"/>
    <x:sheet xmlns:r="http://schemas.openxmlformats.org/officeDocument/2006/relationships" name="71_LP制作引渡しパッケージ" sheetId="72" r:id="Rd1625b74c7d84a61"/>
    <x:sheet xmlns:r="http://schemas.openxmlformats.org/officeDocument/2006/relationships" name="72_LP公開基盤比較" sheetId="73" r:id="Rcc4aee7f866b48da"/>
    <x:sheet xmlns:r="http://schemas.openxmlformats.org/officeDocument/2006/relationships" name="73_LP公開基盤仮決定" sheetId="74" r:id="R71c215e4e1fc4e24"/>
    <x:sheet xmlns:r="http://schemas.openxmlformats.org/officeDocument/2006/relationships" name="74_LP仮構築手順" sheetId="75" r:id="Rfee41140db094b0b"/>
    <x:sheet xmlns:r="http://schemas.openxmlformats.org/officeDocument/2006/relationships" name="75_LP_HTML初版仕様" sheetId="76" r:id="R00cb93dad5fc4e10"/>
    <x:sheet xmlns:r="http://schemas.openxmlformats.org/officeDocument/2006/relationships" name="76_MicrosoftForms実装仕様" sheetId="77" r:id="R19e32a25bc5e4d6e"/>
    <x:sheet xmlns:r="http://schemas.openxmlformats.org/officeDocument/2006/relationships" name="77_WQ-Q_Traceability" sheetId="78" r:id="R65675cf0e60d4871"/>
    <x:sheet xmlns:r="http://schemas.openxmlformats.org/officeDocument/2006/relationships" name="78_Web診断Disposition" sheetId="79" r:id="R101d991897614ff6"/>
    <x:sheet xmlns:r="http://schemas.openxmlformats.org/officeDocument/2006/relationships" name="79_WQ-Q_Review" sheetId="80" r:id="Racaa9a4606ca41ae"/>
  </x:sheets>
</x:workbook>
</file>

<file path=xl/sharedStrings.xml><?xml version="1.0" encoding="utf-8"?>
<x:sst xmlns:x="http://schemas.openxmlformats.org/spreadsheetml/2006/main"/>
</file>

<file path=xl/styles.xml><?xml version="1.0" encoding="utf-8"?>
<x:styleSheet xmlns:x="http://schemas.openxmlformats.org/spreadsheetml/2006/main">
  <x:numFmts count="8">
    <x:numFmt numFmtId="200" formatCode="#,##0&quot;円&quot;"/>
    <x:numFmt numFmtId="201" formatCode="0.0"/>
    <x:numFmt numFmtId="202" formatCode="0%"/>
    <x:numFmt numFmtId="203" formatCode="0.00"/>
    <x:numFmt numFmtId="204" formatCode="0"/>
    <x:numFmt numFmtId="205" formatCode="0.0%"/>
    <x:numFmt numFmtId="206" formatCode="yyyy-mm-dd"/>
    <x:numFmt numFmtId="207" formatCode="0.0&quot;日&quot;"/>
  </x:numFmts>
  <x:fonts count="34">
    <x:font>
      <x:sz val="11"/>
      <x:name val="Carlito"/>
    </x:font>
    <x:font>
      <x:b/>
      <x:sz val="16"/>
      <x:color rgb="FFFFFFFF"/>
      <x:name val="Carlito"/>
    </x:font>
    <x:font>
      <x:i/>
      <x:sz val="10"/>
      <x:color rgb="FF334E68"/>
      <x:name val="Carlito"/>
    </x:font>
    <x:font>
      <x:b/>
      <x:sz val="10"/>
      <x:color rgb="FFFFFFFF"/>
      <x:name val="Carlito"/>
    </x:font>
    <x:font>
      <x:sz val="9"/>
      <x:name val="Carlito"/>
    </x:font>
    <x:font>
      <x:b/>
      <x:sz val="12"/>
      <x:name val="Carlito"/>
    </x:font>
    <x:font>
      <x:b/>
      <x:sz val="12"/>
      <x:color rgb="FFFFFFFF"/>
      <x:name val="Carlito"/>
    </x:font>
    <x:font>
      <x:sz val="10"/>
      <x:name val="Carlito"/>
    </x:font>
    <x:font>
      <x:b/>
      <x:sz val="18"/>
      <x:color rgb="FFFFFFFF"/>
      <x:name val="Carlito"/>
    </x:font>
    <x:font>
      <x:b/>
      <x:sz val="10"/>
      <x:color rgb="FF243746"/>
      <x:name val="Carlito"/>
    </x:font>
    <x:font>
      <x:b/>
      <x:sz val="22"/>
      <x:color rgb="FF243746"/>
      <x:name val="Carlito"/>
    </x:font>
    <x:font>
      <x:b/>
      <x:sz val="9"/>
      <x:color rgb="FF243746"/>
      <x:name val="Carlito"/>
    </x:font>
    <x:font>
      <x:b/>
      <x:sz val="11"/>
      <x:color rgb="FFFFFFFF"/>
      <x:name val="Carlito"/>
    </x:font>
    <x:font>
      <x:b/>
      <x:sz val="9"/>
      <x:color rgb="FFFFFFFF"/>
      <x:name val="Carlito"/>
    </x:font>
    <x:font>
      <x:sz val="9"/>
      <x:color rgb="FF243746"/>
      <x:name val="Carlito"/>
    </x:font>
    <x:font>
      <x:b/>
      <x:sz val="11"/>
      <x:color rgb="FF243746"/>
      <x:name val="Carlito"/>
    </x:font>
    <x:font>
      <x:b/>
      <x:sz val="15"/>
      <x:color rgb="FF243746"/>
      <x:name val="Carlito"/>
    </x:font>
    <x:font>
      <x:sz val="8"/>
      <x:color rgb="FF243746"/>
      <x:name val="Carlito"/>
    </x:font>
    <x:font>
      <x:i/>
      <x:sz val="8"/>
      <x:color rgb="FF243746"/>
      <x:name val="Carlito"/>
    </x:font>
    <x:font>
      <x:sz val="10"/>
      <x:color rgb="FF243746"/>
      <x:name val="Carlito"/>
    </x:font>
    <x:font>
      <x:sz val="8"/>
      <x:color rgb="FF243746"/>
      <x:name val="Carlito"/>
    </x:font>
    <x:font>
      <x:i/>
      <x:sz val="10"/>
      <x:color rgb="FF243746"/>
      <x:name val="Carlito"/>
    </x:font>
    <x:font>
      <x:b/>
      <x:sz val="14"/>
      <x:color rgb="FFFFFFFF"/>
      <x:name val="Carlito"/>
    </x:font>
    <x:font>
      <x:b/>
      <x:sz val="18"/>
      <x:color rgb="FF243746"/>
      <x:name val="Carlito"/>
    </x:font>
    <x:font>
      <x:b/>
      <x:sz val="8"/>
      <x:color rgb="FF243746"/>
      <x:name val="Carlito"/>
    </x:font>
    <x:font>
      <x:sz val="11"/>
      <x:color rgb="FF243746"/>
      <x:name val="Carlito"/>
    </x:font>
    <x:font>
      <x:i/>
      <x:sz val="11"/>
      <x:color rgb="FF243746"/>
      <x:name val="Carlito"/>
    </x:font>
    <x:font>
      <x:sz val="10"/>
      <x:color rgb="FFFFFFFF"/>
      <x:name val="Carlito"/>
    </x:font>
    <x:font>
      <x:sz val="10"/>
      <x:color rgb="FF243746"/>
      <x:name val="Carlito"/>
    </x:font>
    <x:font>
      <x:sz val="9"/>
      <x:color rgb="FFFFFFFF"/>
      <x:name val="Carlito"/>
    </x:font>
    <x:font>
      <x:b/>
      <x:sz val="11"/>
      <x:color rgb="FF1F1F1F"/>
      <x:name val="Carlito"/>
    </x:font>
    <x:font>
      <x:i/>
      <x:sz val="11"/>
      <x:color rgb="FF1F1F1F"/>
      <x:name val="Carlito"/>
    </x:font>
    <x:font>
      <x:sz val="11"/>
      <x:color rgb="FF1F1F1F"/>
      <x:name val="Carlito"/>
    </x:font>
    <x:font>
      <x:i/>
      <x:sz val="11"/>
      <x:name val="Carlito"/>
    </x:font>
  </x:fonts>
  <x:fills count="91">
    <x:fill>
      <x:patternFill patternType="none"/>
    </x:fill>
    <x:fill>
      <x:patternFill patternType="gray125"/>
    </x:fill>
    <x:fill>
      <x:patternFill patternType="solid">
        <x:fgColor rgb="FF123B5D"/>
      </x:patternFill>
    </x:fill>
    <x:fill>
      <x:patternFill patternType="solid">
        <x:fgColor rgb="FFEAF2F8"/>
      </x:patternFill>
    </x:fill>
    <x:fill>
      <x:patternFill patternType="solid">
        <x:fgColor rgb="FF2F75B5"/>
      </x:patternFill>
    </x:fill>
    <x:fill>
      <x:patternFill patternType="solid">
        <x:fgColor rgb="FF2F75B5"/>
      </x:patternFill>
    </x:fill>
    <x:fill>
      <x:patternFill patternType="solid">
        <x:fgColor rgb="FF123B5D"/>
      </x:patternFill>
    </x:fill>
    <x:fill>
      <x:patternFill patternType="solid">
        <x:fgColor rgb="FFEAF2F8"/>
      </x:patternFill>
    </x:fill>
    <x:fill>
      <x:patternFill patternType="solid">
        <x:fgColor rgb="FFD9EAF7"/>
      </x:patternFill>
    </x:fill>
    <x:fill>
      <x:patternFill patternType="solid">
        <x:fgColor rgb="FF2F75B5"/>
      </x:patternFill>
    </x:fill>
    <x:fill>
      <x:patternFill patternType="solid">
        <x:fgColor rgb="FF123B5D"/>
      </x:patternFill>
    </x:fill>
    <x:fill>
      <x:patternFill patternType="solid">
        <x:fgColor rgb="FFEAF2F8"/>
      </x:patternFill>
    </x:fill>
    <x:fill>
      <x:patternFill patternType="solid">
        <x:fgColor rgb="FFD9EAF7"/>
      </x:patternFill>
    </x:fill>
    <x:fill>
      <x:patternFill patternType="solid">
        <x:fgColor rgb="FF2F75B5"/>
      </x:patternFill>
    </x:fill>
    <x:fill>
      <x:patternFill patternType="solid">
        <x:fgColor rgb="FF123B5D"/>
      </x:patternFill>
    </x:fill>
    <x:fill>
      <x:patternFill patternType="solid">
        <x:fgColor rgb="FFEAF2F8"/>
      </x:patternFill>
    </x:fill>
    <x:fill>
      <x:patternFill patternType="solid">
        <x:fgColor rgb="FF2F75B5"/>
      </x:patternFill>
    </x:fill>
    <x:fill>
      <x:patternFill patternType="solid">
        <x:fgColor rgb="FFD9EAF7"/>
      </x:patternFill>
    </x:fill>
    <x:fill>
      <x:patternFill patternType="solid">
        <x:fgColor rgb="FF123B5D"/>
      </x:patternFill>
    </x:fill>
    <x:fill>
      <x:patternFill patternType="solid">
        <x:fgColor rgb="FFEEF5FA"/>
      </x:patternFill>
    </x:fill>
    <x:fill>
      <x:patternFill patternType="solid">
        <x:fgColor rgb="FFFCE4D6"/>
      </x:patternFill>
    </x:fill>
    <x:fill>
      <x:patternFill patternType="solid">
        <x:fgColor rgb="FFFFF2CC"/>
      </x:patternFill>
    </x:fill>
    <x:fill>
      <x:patternFill patternType="solid">
        <x:fgColor rgb="FFF4CCCC"/>
      </x:patternFill>
    </x:fill>
    <x:fill>
      <x:patternFill patternType="solid">
        <x:fgColor rgb="FFD9EAF7"/>
      </x:patternFill>
    </x:fill>
    <x:fill>
      <x:patternFill patternType="solid">
        <x:fgColor rgb="FF2F75B5"/>
      </x:patternFill>
    </x:fill>
    <x:fill>
      <x:patternFill patternType="solid">
        <x:fgColor rgb="FFD9EAD3"/>
      </x:patternFill>
    </x:fill>
    <x:fill>
      <x:patternFill patternType="solid">
        <x:fgColor rgb="FFE7E6E6"/>
      </x:patternFill>
    </x:fill>
    <x:fill>
      <x:patternFill patternType="solid">
        <x:fgColor rgb="FFFFFFFF"/>
      </x:patternFill>
    </x:fill>
    <x:fill>
      <x:patternFill patternType="solid">
        <x:fgColor rgb="FF123B5D"/>
      </x:patternFill>
    </x:fill>
    <x:fill>
      <x:patternFill patternType="solid">
        <x:fgColor rgb="FFEEF5FA"/>
      </x:patternFill>
    </x:fill>
    <x:fill>
      <x:patternFill patternType="solid">
        <x:fgColor rgb="FF2F75B5"/>
      </x:patternFill>
    </x:fill>
    <x:fill>
      <x:patternFill patternType="solid">
        <x:fgColor rgb="FF123B5D"/>
      </x:patternFill>
    </x:fill>
    <x:fill>
      <x:patternFill patternType="solid">
        <x:fgColor rgb="FFEEF5FA"/>
      </x:patternFill>
    </x:fill>
    <x:fill>
      <x:patternFill patternType="solid">
        <x:fgColor rgb="FF2F75B5"/>
      </x:patternFill>
    </x:fill>
    <x:fill>
      <x:patternFill patternType="solid">
        <x:fgColor rgb="FF123B5D"/>
      </x:patternFill>
    </x:fill>
    <x:fill>
      <x:patternFill patternType="solid">
        <x:fgColor rgb="FFEEF5FA"/>
      </x:patternFill>
    </x:fill>
    <x:fill>
      <x:patternFill patternType="solid">
        <x:fgColor rgb="FF2F75B5"/>
      </x:patternFill>
    </x:fill>
    <x:fill>
      <x:patternFill patternType="solid">
        <x:fgColor rgb="FF123B5D"/>
      </x:patternFill>
    </x:fill>
    <x:fill>
      <x:patternFill patternType="solid">
        <x:fgColor rgb="FFEEF5FA"/>
      </x:patternFill>
    </x:fill>
    <x:fill>
      <x:patternFill patternType="solid">
        <x:fgColor rgb="FF2F75B5"/>
      </x:patternFill>
    </x:fill>
    <x:fill>
      <x:patternFill patternType="solid">
        <x:fgColor rgb="FFD9EAD3"/>
      </x:patternFill>
    </x:fill>
    <x:fill>
      <x:patternFill patternType="solid">
        <x:fgColor rgb="FFFFF2CC"/>
      </x:patternFill>
    </x:fill>
    <x:fill>
      <x:patternFill patternType="solid">
        <x:fgColor rgb="FFFCE4D6"/>
      </x:patternFill>
    </x:fill>
    <x:fill>
      <x:patternFill patternType="solid">
        <x:fgColor rgb="FF123B5D"/>
      </x:patternFill>
    </x:fill>
    <x:fill>
      <x:patternFill patternType="solid">
        <x:fgColor rgb="FFEEF5FA"/>
      </x:patternFill>
    </x:fill>
    <x:fill>
      <x:patternFill patternType="solid">
        <x:fgColor rgb="FF2F75B5"/>
      </x:patternFill>
    </x:fill>
    <x:fill>
      <x:patternFill patternType="solid">
        <x:fgColor rgb="FF123B5D"/>
      </x:patternFill>
    </x:fill>
    <x:fill>
      <x:patternFill patternType="solid">
        <x:fgColor rgb="FFEEF5FA"/>
      </x:patternFill>
    </x:fill>
    <x:fill>
      <x:patternFill patternType="solid">
        <x:fgColor rgb="FF2F75B5"/>
      </x:patternFill>
    </x:fill>
    <x:fill>
      <x:patternFill patternType="solid">
        <x:fgColor rgb="FFFFF2CC"/>
      </x:patternFill>
    </x:fill>
    <x:fill>
      <x:patternFill patternType="solid">
        <x:fgColor rgb="FF123B5D"/>
      </x:patternFill>
    </x:fill>
    <x:fill>
      <x:patternFill patternType="solid">
        <x:fgColor rgb="FFEEF5FA"/>
      </x:patternFill>
    </x:fill>
    <x:fill>
      <x:patternFill patternType="solid">
        <x:fgColor rgb="FF2F75B5"/>
      </x:patternFill>
    </x:fill>
    <x:fill>
      <x:patternFill patternType="solid">
        <x:fgColor rgb="FF123B5D"/>
      </x:patternFill>
    </x:fill>
    <x:fill>
      <x:patternFill patternType="solid">
        <x:fgColor rgb="FFEEF5FA"/>
      </x:patternFill>
    </x:fill>
    <x:fill>
      <x:patternFill patternType="solid">
        <x:fgColor rgb="FF2F75B5"/>
      </x:patternFill>
    </x:fill>
    <x:fill>
      <x:patternFill patternType="solid">
        <x:fgColor rgb="FF123B5D"/>
      </x:patternFill>
    </x:fill>
    <x:fill>
      <x:patternFill patternType="solid">
        <x:fgColor rgb="FFEEF5FA"/>
      </x:patternFill>
    </x:fill>
    <x:fill>
      <x:patternFill patternType="solid">
        <x:fgColor rgb="FF2F75B5"/>
      </x:patternFill>
    </x:fill>
    <x:fill>
      <x:patternFill patternType="solid">
        <x:fgColor rgb="FF123B5D"/>
      </x:patternFill>
    </x:fill>
    <x:fill>
      <x:patternFill patternType="solid">
        <x:fgColor rgb="FFEEF5FA"/>
      </x:patternFill>
    </x:fill>
    <x:fill>
      <x:patternFill patternType="solid">
        <x:fgColor rgb="FF2F75B5"/>
      </x:patternFill>
    </x:fill>
    <x:fill>
      <x:patternFill patternType="solid">
        <x:fgColor rgb="FF2F75B5"/>
      </x:patternFill>
    </x:fill>
    <x:fill>
      <x:patternFill patternType="solid">
        <x:fgColor rgb="FF123B5D"/>
      </x:patternFill>
    </x:fill>
    <x:fill>
      <x:patternFill patternType="solid">
        <x:fgColor rgb="FFEEF5FA"/>
      </x:patternFill>
    </x:fill>
    <x:fill>
      <x:patternFill patternType="solid">
        <x:fgColor rgb="FF123B5D"/>
      </x:patternFill>
    </x:fill>
    <x:fill>
      <x:patternFill patternType="solid">
        <x:fgColor rgb="FFEEF5FA"/>
      </x:patternFill>
    </x:fill>
    <x:fill>
      <x:patternFill patternType="solid">
        <x:fgColor rgb="FF2F75B5"/>
      </x:patternFill>
    </x:fill>
    <x:fill>
      <x:patternFill patternType="solid">
        <x:fgColor rgb="FFF7F9FB"/>
      </x:patternFill>
    </x:fill>
    <x:fill>
      <x:patternFill patternType="solid">
        <x:fgColor rgb="FFFFFFFF"/>
      </x:patternFill>
    </x:fill>
    <x:fill>
      <x:patternFill patternType="solid">
        <x:fgColor rgb="FF123B5D"/>
      </x:patternFill>
    </x:fill>
    <x:fill>
      <x:patternFill patternType="solid">
        <x:fgColor rgb="FFEEF5FA"/>
      </x:patternFill>
    </x:fill>
    <x:fill>
      <x:patternFill patternType="solid">
        <x:fgColor rgb="FF2F75B5"/>
      </x:patternFill>
    </x:fill>
    <x:fill>
      <x:patternFill patternType="solid">
        <x:fgColor rgb="FF123B5D"/>
      </x:patternFill>
    </x:fill>
    <x:fill>
      <x:patternFill patternType="solid">
        <x:fgColor rgb="FFEEF5FA"/>
      </x:patternFill>
    </x:fill>
    <x:fill>
      <x:patternFill patternType="solid">
        <x:fgColor rgb="FF2F75B5"/>
      </x:patternFill>
    </x:fill>
    <x:fill>
      <x:patternFill patternType="solid">
        <x:fgColor rgb="FF123B5D"/>
      </x:patternFill>
    </x:fill>
    <x:fill>
      <x:patternFill patternType="solid">
        <x:fgColor rgb="FFEEF5FA"/>
      </x:patternFill>
    </x:fill>
    <x:fill>
      <x:patternFill patternType="solid">
        <x:fgColor rgb="FF2F75B5"/>
      </x:patternFill>
    </x:fill>
    <x:fill>
      <x:patternFill patternType="solid">
        <x:fgColor rgb="FFE2F0D9"/>
      </x:patternFill>
    </x:fill>
    <x:fill>
      <x:patternFill patternType="solid">
        <x:fgColor rgb="FF5B9BD5"/>
      </x:patternFill>
    </x:fill>
    <x:fill>
      <x:patternFill patternType="solid">
        <x:fgColor rgb="FFD9EAF7"/>
      </x:patternFill>
    </x:fill>
    <x:fill>
      <x:patternFill patternType="solid">
        <x:fgColor rgb="FF17365D"/>
      </x:patternFill>
    </x:fill>
    <x:fill>
      <x:patternFill patternType="solid">
        <x:fgColor rgb="FF17365D"/>
      </x:patternFill>
    </x:fill>
    <x:fill>
      <x:patternFill patternType="solid">
        <x:fgColor rgb="FFD9EAF7"/>
      </x:patternFill>
    </x:fill>
    <x:fill>
      <x:patternFill patternType="solid">
        <x:fgColor rgb="FF5B9BD5"/>
      </x:patternFill>
    </x:fill>
    <x:fill>
      <x:patternFill patternType="solid">
        <x:fgColor rgb="FFFFF2CC"/>
      </x:patternFill>
    </x:fill>
    <x:fill>
      <x:patternFill patternType="solid">
        <x:fgColor rgb="FFE2F0D9"/>
      </x:patternFill>
    </x:fill>
    <x:fill>
      <x:patternFill patternType="solid">
        <x:fgColor rgb="FFF2F2F2"/>
      </x:patternFill>
    </x:fill>
    <x:fill>
      <x:patternFill patternType="solid">
        <x:fgColor rgb="FFE2F0D9"/>
      </x:patternFill>
    </x:fill>
    <x:fill>
      <x:patternFill patternType="solid">
        <x:fgColor rgb="FFFFF2CC"/>
      </x:patternFill>
    </x:fill>
  </x:fills>
  <x:borders count="286">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s>
  <x:cellStyleXfs count="1">
    <x:xf numFmtId="0" fontId="0" fillId="0" borderId="0"/>
  </x:cellStyleXfs>
  <x:cellXfs count="302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2" xfId="0" applyNumberFormat="1" applyFont="1" applyFill="1" applyBorder="1" applyAlignment="1">
      <x:alignment horizontal="center" wrapText="1"/>
    </x:xf>
    <x:xf numFmtId="0" fontId="3" fillId="4" borderId="3" xfId="0" applyNumberFormat="1" applyFont="1" applyFill="1" applyBorder="1" applyAlignment="1">
      <x:alignment horizontal="center"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horizontal="center" wrapText="1"/>
    </x:xf>
    <x:xf numFmtId="0" fontId="3" fillId="4" borderId="5" xfId="0" applyNumberFormat="1" applyFont="1" applyFill="1" applyBorder="1" applyAlignment="1">
      <x:alignment horizontal="center" wrapText="1"/>
    </x:xf>
    <x:xf numFmtId="0" fontId="3" fillId="4" borderId="4" xfId="0" applyNumberFormat="1" applyFont="1" applyFill="1" applyBorder="1" applyAlignment="1">
      <x:alignment horizontal="center" vertical="center" wrapText="1"/>
    </x:xf>
    <x:xf numFmtId="0" fontId="3" fillId="4" borderId="5" xfId="0" applyNumberFormat="1" applyFont="1" applyFill="1" applyBorder="1" applyAlignment="1">
      <x:alignment horizontal="center" vertical="center" wrapText="1"/>
    </x:xf>
    <x:xf numFmtId="0" fontId="4" fillId="0" borderId="0" xfId="0" applyNumberFormat="1" applyFont="1" applyFill="1" applyBorder="1"/>
    <x:xf numFmtId="0" fontId="4" fillId="0" borderId="6" xfId="0" applyNumberFormat="1" applyFont="1" applyFill="1" applyBorder="1"/>
    <x:xf numFmtId="0" fontId="4" fillId="0" borderId="7" xfId="0" applyNumberFormat="1" applyFont="1" applyFill="1" applyBorder="1"/>
    <x:xf numFmtId="0" fontId="4" fillId="0" borderId="8" xfId="0" applyNumberFormat="1" applyFont="1" applyFill="1" applyBorder="1"/>
    <x:xf numFmtId="0" fontId="4" fillId="0" borderId="9" xfId="0" applyNumberFormat="1" applyFont="1" applyFill="1" applyBorder="1"/>
    <x:xf numFmtId="0" fontId="4" fillId="0" borderId="10" xfId="0" applyNumberFormat="1" applyFont="1" applyFill="1" applyBorder="1"/>
    <x:xf numFmtId="0" fontId="4" fillId="0" borderId="11" xfId="0" applyNumberFormat="1" applyFont="1" applyFill="1" applyBorder="1"/>
    <x:xf numFmtId="0" fontId="4" fillId="0" borderId="6" xfId="0" applyNumberFormat="1" applyFont="1" applyFill="1" applyBorder="1" applyAlignment="1">
      <x:alignment wrapText="1"/>
    </x:xf>
    <x:xf numFmtId="0" fontId="4" fillId="0" borderId="7" xfId="0" applyNumberFormat="1" applyFont="1" applyFill="1" applyBorder="1" applyAlignment="1">
      <x:alignment wrapText="1"/>
    </x:xf>
    <x:xf numFmtId="0" fontId="4" fillId="0" borderId="8" xfId="0" applyNumberFormat="1" applyFont="1" applyFill="1" applyBorder="1" applyAlignment="1">
      <x:alignment wrapText="1"/>
    </x:xf>
    <x:xf numFmtId="0" fontId="4" fillId="0" borderId="9" xfId="0" applyNumberFormat="1" applyFont="1" applyFill="1" applyBorder="1" applyAlignment="1">
      <x:alignment wrapText="1"/>
    </x:xf>
    <x:xf numFmtId="0" fontId="4" fillId="0" borderId="10" xfId="0" applyNumberFormat="1" applyFont="1" applyFill="1" applyBorder="1" applyAlignment="1">
      <x:alignment wrapText="1"/>
    </x:xf>
    <x:xf numFmtId="0" fontId="4" fillId="0" borderId="11" xfId="0" applyNumberFormat="1" applyFont="1" applyFill="1" applyBorder="1" applyAlignment="1">
      <x:alignment wrapText="1"/>
    </x:xf>
    <x:xf numFmtId="0" fontId="4" fillId="0" borderId="6" xfId="0" applyNumberFormat="1" applyFont="1" applyFill="1" applyBorder="1" applyAlignment="1">
      <x:alignment vertical="top" wrapText="1"/>
    </x:xf>
    <x:xf numFmtId="0" fontId="4" fillId="0" borderId="7" xfId="0" applyNumberFormat="1" applyFont="1" applyFill="1" applyBorder="1" applyAlignment="1">
      <x:alignment vertical="top" wrapText="1"/>
    </x:xf>
    <x:xf numFmtId="0" fontId="4" fillId="0" borderId="8" xfId="0" applyNumberFormat="1" applyFont="1" applyFill="1" applyBorder="1" applyAlignment="1">
      <x:alignment vertical="top" wrapText="1"/>
    </x:xf>
    <x:xf numFmtId="0" fontId="4" fillId="0" borderId="9" xfId="0" applyNumberFormat="1" applyFont="1" applyFill="1" applyBorder="1" applyAlignment="1">
      <x:alignment vertical="top" wrapText="1"/>
    </x:xf>
    <x:xf numFmtId="0" fontId="4" fillId="0" borderId="10" xfId="0" applyNumberFormat="1" applyFont="1" applyFill="1" applyBorder="1" applyAlignment="1">
      <x:alignment vertical="top" wrapText="1"/>
    </x:xf>
    <x:xf numFmtId="0" fontId="4" fillId="0" borderId="11" xfId="0" applyNumberFormat="1" applyFont="1" applyFill="1" applyBorder="1" applyAlignment="1">
      <x:alignment vertical="top" wrapText="1"/>
    </x:xf>
    <x:xf numFmtId="0" fontId="4" fillId="0" borderId="1" xfId="0" applyNumberFormat="1" applyFont="1" applyFill="1" applyBorder="1"/>
    <x:xf numFmtId="0" fontId="4" fillId="0" borderId="12" xfId="0" applyNumberFormat="1" applyFont="1" applyFill="1" applyBorder="1"/>
    <x:xf numFmtId="0" fontId="4" fillId="0" borderId="13" xfId="0" applyNumberFormat="1" applyFont="1" applyFill="1" applyBorder="1"/>
    <x:xf numFmtId="0" fontId="4" fillId="0" borderId="14" xfId="0" applyNumberFormat="1" applyFont="1" applyFill="1" applyBorder="1"/>
    <x:xf numFmtId="0" fontId="4" fillId="0" borderId="15" xfId="0" applyNumberFormat="1" applyFont="1" applyFill="1" applyBorder="1"/>
    <x:xf numFmtId="0" fontId="4" fillId="0" borderId="16" xfId="0" applyNumberFormat="1" applyFont="1" applyFill="1" applyBorder="1"/>
    <x:xf numFmtId="0" fontId="4" fillId="0" borderId="17" xfId="0" applyNumberFormat="1" applyFont="1" applyFill="1" applyBorder="1"/>
    <x:xf numFmtId="0" fontId="4" fillId="0" borderId="12" xfId="0" applyNumberFormat="1" applyFont="1" applyFill="1" applyBorder="1" applyAlignment="1">
      <x:alignment wrapText="1"/>
    </x:xf>
    <x:xf numFmtId="0" fontId="4" fillId="0" borderId="13" xfId="0" applyNumberFormat="1" applyFont="1" applyFill="1" applyBorder="1" applyAlignment="1">
      <x:alignment wrapText="1"/>
    </x:xf>
    <x:xf numFmtId="0" fontId="4" fillId="0" borderId="14" xfId="0" applyNumberFormat="1" applyFont="1" applyFill="1" applyBorder="1" applyAlignment="1">
      <x:alignment wrapText="1"/>
    </x:xf>
    <x:xf numFmtId="0" fontId="4" fillId="0" borderId="15" xfId="0" applyNumberFormat="1" applyFont="1" applyFill="1" applyBorder="1" applyAlignment="1">
      <x:alignment wrapText="1"/>
    </x:xf>
    <x:xf numFmtId="0" fontId="4" fillId="0" borderId="16" xfId="0" applyNumberFormat="1" applyFont="1" applyFill="1" applyBorder="1" applyAlignment="1">
      <x:alignment wrapText="1"/>
    </x:xf>
    <x:xf numFmtId="0" fontId="4" fillId="0" borderId="17" xfId="0" applyNumberFormat="1" applyFont="1" applyFill="1" applyBorder="1" applyAlignment="1">
      <x:alignment wrapText="1"/>
    </x:xf>
    <x:xf numFmtId="0" fontId="4" fillId="0" borderId="12" xfId="0" applyNumberFormat="1" applyFont="1" applyFill="1" applyBorder="1" applyAlignment="1">
      <x:alignment vertical="top" wrapText="1"/>
    </x:xf>
    <x:xf numFmtId="0" fontId="4" fillId="0" borderId="13" xfId="0" applyNumberFormat="1" applyFont="1" applyFill="1" applyBorder="1" applyAlignment="1">
      <x:alignment vertical="top" wrapText="1"/>
    </x:xf>
    <x:xf numFmtId="0" fontId="4" fillId="0" borderId="14" xfId="0" applyNumberFormat="1" applyFont="1" applyFill="1" applyBorder="1" applyAlignment="1">
      <x:alignment vertical="top" wrapText="1"/>
    </x:xf>
    <x:xf numFmtId="0" fontId="4" fillId="0" borderId="15" xfId="0" applyNumberFormat="1" applyFont="1" applyFill="1" applyBorder="1" applyAlignment="1">
      <x:alignment vertical="top" wrapText="1"/>
    </x:xf>
    <x:xf numFmtId="0" fontId="4" fillId="0" borderId="16" xfId="0" applyNumberFormat="1" applyFont="1" applyFill="1" applyBorder="1" applyAlignment="1">
      <x:alignment vertical="top" wrapText="1"/>
    </x:xf>
    <x:xf numFmtId="0" fontId="4" fillId="0" borderId="17" xfId="0" applyNumberFormat="1" applyFont="1" applyFill="1" applyBorder="1" applyAlignment="1">
      <x:alignment vertical="top" wrapText="1"/>
    </x:xf>
    <x:xf numFmtId="0" fontId="3" fillId="4" borderId="18" xfId="0" applyNumberFormat="1" applyFont="1" applyFill="1" applyBorder="1"/>
    <x:xf numFmtId="0" fontId="3" fillId="4" borderId="18" xfId="0" applyNumberFormat="1" applyFont="1" applyFill="1" applyBorder="1" applyAlignment="1">
      <x:alignment wrapText="1"/>
    </x:xf>
    <x:xf numFmtId="0" fontId="3" fillId="4" borderId="18" xfId="0" applyNumberFormat="1" applyFont="1" applyFill="1" applyBorder="1" applyAlignment="1">
      <x:alignment horizontal="center" wrapText="1"/>
    </x:xf>
    <x:xf numFmtId="0" fontId="3" fillId="4" borderId="18" xfId="0" applyNumberFormat="1" applyFont="1" applyFill="1" applyBorder="1" applyAlignment="1">
      <x:alignment horizontal="center" vertical="center" wrapText="1"/>
    </x:xf>
    <x:xf numFmtId="0" fontId="3" fillId="4" borderId="19" xfId="0" applyNumberFormat="1" applyFont="1" applyFill="1" applyBorder="1"/>
    <x:xf numFmtId="0" fontId="3" fillId="4" borderId="19" xfId="0" applyNumberFormat="1" applyFont="1" applyFill="1" applyBorder="1" applyAlignment="1">
      <x:alignment wrapText="1"/>
    </x:xf>
    <x:xf numFmtId="0" fontId="3" fillId="4" borderId="19" xfId="0" applyNumberFormat="1" applyFont="1" applyFill="1" applyBorder="1" applyAlignment="1">
      <x:alignment horizontal="center" wrapText="1"/>
    </x:xf>
    <x:xf numFmtId="0" fontId="3" fillId="4" borderId="19" xfId="0" applyNumberFormat="1" applyFont="1" applyFill="1" applyBorder="1" applyAlignment="1">
      <x:alignment horizontal="center" vertical="center" wrapText="1"/>
    </x:xf>
    <x:xf numFmtId="0" fontId="4" fillId="0" borderId="20" xfId="0" applyNumberFormat="1" applyFont="1" applyFill="1" applyBorder="1"/>
    <x:xf numFmtId="0" fontId="4" fillId="0" borderId="21" xfId="0" applyNumberFormat="1" applyFont="1" applyFill="1" applyBorder="1"/>
    <x:xf numFmtId="0" fontId="4" fillId="0" borderId="20" xfId="0" applyNumberFormat="1" applyFont="1" applyFill="1" applyBorder="1" applyAlignment="1">
      <x:alignment wrapText="1"/>
    </x:xf>
    <x:xf numFmtId="0" fontId="4" fillId="0" borderId="0" xfId="0" applyNumberFormat="1" applyFont="1" applyFill="1" applyBorder="1" applyAlignment="1">
      <x:alignment wrapText="1"/>
    </x:xf>
    <x:xf numFmtId="0" fontId="4" fillId="0" borderId="21" xfId="0" applyNumberFormat="1" applyFont="1" applyFill="1" applyBorder="1" applyAlignment="1">
      <x:alignment wrapText="1"/>
    </x:xf>
    <x:xf numFmtId="0" fontId="4" fillId="0" borderId="2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0" borderId="21" xfId="0" applyNumberFormat="1" applyFont="1" applyFill="1" applyBorder="1" applyAlignment="1">
      <x:alignment vertical="top" wrapText="1"/>
    </x:xf>
    <x:xf numFmtId="0" fontId="4" fillId="0" borderId="22" xfId="0" applyNumberFormat="1" applyFont="1" applyFill="1" applyBorder="1"/>
    <x:xf numFmtId="0" fontId="4" fillId="0" borderId="23" xfId="0" applyNumberFormat="1" applyFont="1" applyFill="1" applyBorder="1"/>
    <x:xf numFmtId="0" fontId="4" fillId="0" borderId="22" xfId="0" applyNumberFormat="1" applyFont="1" applyFill="1" applyBorder="1" applyAlignment="1">
      <x:alignment wrapText="1"/>
    </x:xf>
    <x:xf numFmtId="0" fontId="4" fillId="0" borderId="1" xfId="0" applyNumberFormat="1" applyFont="1" applyFill="1" applyBorder="1" applyAlignment="1">
      <x:alignment wrapText="1"/>
    </x:xf>
    <x:xf numFmtId="0" fontId="4" fillId="0" borderId="23" xfId="0" applyNumberFormat="1" applyFont="1" applyFill="1" applyBorder="1" applyAlignment="1">
      <x:alignment wrapText="1"/>
    </x:xf>
    <x:xf numFmtId="0" fontId="4" fillId="0" borderId="22"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4" fillId="0" borderId="23" xfId="0" applyNumberFormat="1" applyFont="1" applyFill="1" applyBorder="1" applyAlignment="1">
      <x:alignment vertical="top" wrapText="1"/>
    </x:xf>
    <x:xf numFmtId="0" fontId="4" fillId="0" borderId="2" xfId="0" applyNumberFormat="1" applyFont="1" applyFill="1" applyBorder="1"/>
    <x:xf numFmtId="0" fontId="4" fillId="0" borderId="18" xfId="0" applyNumberFormat="1" applyFont="1" applyFill="1" applyBorder="1"/>
    <x:xf numFmtId="0" fontId="4" fillId="0" borderId="3" xfId="0" applyNumberFormat="1" applyFont="1" applyFill="1" applyBorder="1"/>
    <x:xf numFmtId="0" fontId="4" fillId="0" borderId="2" xfId="0" applyNumberFormat="1" applyFont="1" applyFill="1" applyBorder="1" applyAlignment="1">
      <x:alignment wrapText="1"/>
    </x:xf>
    <x:xf numFmtId="0" fontId="4" fillId="0" borderId="18"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2" xfId="0" applyNumberFormat="1" applyFont="1" applyFill="1" applyBorder="1" applyAlignment="1">
      <x:alignment vertical="top" wrapText="1"/>
    </x:xf>
    <x:xf numFmtId="0" fontId="4" fillId="0" borderId="18"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0" borderId="4" xfId="0" applyNumberFormat="1" applyFont="1" applyFill="1" applyBorder="1"/>
    <x:xf numFmtId="0" fontId="4" fillId="0" borderId="19" xfId="0" applyNumberFormat="1" applyFont="1" applyFill="1" applyBorder="1"/>
    <x:xf numFmtId="0" fontId="4" fillId="0" borderId="5" xfId="0" applyNumberFormat="1" applyFont="1" applyFill="1" applyBorder="1"/>
    <x:xf numFmtId="0" fontId="4" fillId="0" borderId="4" xfId="0" applyNumberFormat="1" applyFont="1" applyFill="1" applyBorder="1" applyAlignment="1">
      <x:alignment wrapText="1"/>
    </x:xf>
    <x:xf numFmtId="0" fontId="4" fillId="0" borderId="19" xfId="0" applyNumberFormat="1" applyFont="1" applyFill="1" applyBorder="1" applyAlignment="1">
      <x:alignment wrapText="1"/>
    </x:xf>
    <x:xf numFmtId="0" fontId="4" fillId="0" borderId="5" xfId="0" applyNumberFormat="1" applyFont="1" applyFill="1" applyBorder="1" applyAlignment="1">
      <x:alignment wrapText="1"/>
    </x:xf>
    <x:xf numFmtId="0" fontId="4" fillId="0" borderId="4" xfId="0" applyNumberFormat="1" applyFont="1" applyFill="1" applyBorder="1" applyAlignment="1">
      <x:alignment vertical="top" wrapText="1"/>
    </x:xf>
    <x:xf numFmtId="0" fontId="4" fillId="0" borderId="19" xfId="0" applyNumberFormat="1" applyFont="1" applyFill="1" applyBorder="1" applyAlignment="1">
      <x:alignment vertical="top" wrapText="1"/>
    </x:xf>
    <x:xf numFmtId="0" fontId="4" fillId="0" borderId="5" xfId="0" applyNumberFormat="1" applyFont="1" applyFill="1" applyBorder="1" applyAlignment="1">
      <x:alignment vertical="top" wrapText="1"/>
    </x:xf>
    <x:xf numFmtId="0" fontId="1" fillId="2" borderId="0" xfId="0" applyNumberFormat="1" applyFont="1" applyFill="1" applyBorder="1" applyAlignment="1">
      <x:alignment horizontal="left" vertical="top"/>
    </x:xf>
    <x:xf numFmtId="0" fontId="0" fillId="0" borderId="0" xfId="0" applyNumberFormat="1" applyFont="1" applyFill="1" applyBorder="1" applyAlignment="1">
      <x:alignment vertical="top"/>
    </x:xf>
    <x:xf numFmtId="0" fontId="2" fillId="3" borderId="0" xfId="0" applyNumberFormat="1" applyFont="1" applyFill="1" applyBorder="1" applyAlignment="1">
      <x:alignment vertical="top" wrapText="1"/>
    </x:xf>
    <x:xf numFmtId="0" fontId="3" fillId="4" borderId="2" xfId="0" applyNumberFormat="1" applyFont="1" applyFill="1" applyBorder="1" applyAlignment="1">
      <x:alignment horizontal="center" vertical="top" wrapText="1"/>
    </x:xf>
    <x:xf numFmtId="0" fontId="3" fillId="4" borderId="3" xfId="0" applyNumberFormat="1" applyFont="1" applyFill="1" applyBorder="1" applyAlignment="1">
      <x:alignment horizontal="center" vertical="top" wrapText="1"/>
    </x:xf>
    <x:xf numFmtId="0" fontId="1" fillId="2" borderId="1" xfId="0" applyNumberFormat="1" applyFont="1" applyFill="1" applyBorder="1" applyAlignment="1">
      <x:alignment horizontal="left" vertical="top"/>
    </x:xf>
    <x:xf numFmtId="0" fontId="0" fillId="0" borderId="1" xfId="0" applyNumberFormat="1" applyFont="1" applyFill="1" applyBorder="1" applyAlignment="1">
      <x:alignment vertical="top"/>
    </x:xf>
    <x:xf numFmtId="0" fontId="2" fillId="3" borderId="1" xfId="0" applyNumberFormat="1" applyFont="1" applyFill="1" applyBorder="1" applyAlignment="1">
      <x:alignment vertical="top" wrapText="1"/>
    </x:xf>
    <x:xf numFmtId="0" fontId="3" fillId="4" borderId="4" xfId="0" applyNumberFormat="1" applyFont="1" applyFill="1" applyBorder="1" applyAlignment="1">
      <x:alignment horizontal="center" vertical="top" wrapText="1"/>
    </x:xf>
    <x:xf numFmtId="0" fontId="3" fillId="4" borderId="5" xfId="0" applyNumberFormat="1" applyFont="1" applyFill="1" applyBorder="1" applyAlignment="1">
      <x:alignment horizontal="center" vertical="top" wrapText="1"/>
    </x:xf>
    <x:xf numFmtId="0" fontId="3" fillId="4" borderId="18" xfId="0" applyNumberFormat="1" applyFont="1" applyFill="1" applyBorder="1" applyAlignment="1">
      <x:alignment horizontal="center" vertical="top" wrapText="1"/>
    </x:xf>
    <x:xf numFmtId="0" fontId="3" fillId="4" borderId="19" xfId="0" applyNumberFormat="1" applyFont="1" applyFill="1" applyBorder="1" applyAlignment="1">
      <x:alignment horizontal="center" vertical="top" wrapText="1"/>
    </x:xf>
    <x:xf numFmtId="0" fontId="0" fillId="0"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3" fillId="4" borderId="0" xfId="0" applyNumberFormat="1" applyFont="1" applyFill="1" applyBorder="1" applyAlignment="1">
      <x:alignment horizontal="center" vertical="top" wrapText="1"/>
    </x:xf>
    <x:xf numFmtId="0" fontId="3" fillId="5" borderId="2" xfId="0" applyNumberFormat="1" applyFont="1" applyFill="1" applyBorder="1" applyAlignment="1">
      <x:alignment horizontal="center" vertical="top" wrapText="1"/>
    </x:xf>
    <x:xf numFmtId="0" fontId="3" fillId="5" borderId="18" xfId="0" applyNumberFormat="1" applyFont="1" applyFill="1" applyBorder="1" applyAlignment="1">
      <x:alignment horizontal="center" vertical="top" wrapText="1"/>
    </x:xf>
    <x:xf numFmtId="0" fontId="3" fillId="5" borderId="3" xfId="0" applyNumberFormat="1" applyFont="1" applyFill="1" applyBorder="1" applyAlignment="1">
      <x:alignment horizontal="center" vertical="top" wrapText="1"/>
    </x:xf>
    <x:xf numFmtId="0" fontId="3" fillId="5" borderId="24" xfId="0" applyNumberFormat="1" applyFont="1" applyFill="1" applyBorder="1" applyAlignment="1">
      <x:alignment horizontal="center" vertical="top" wrapText="1"/>
    </x:xf>
    <x:xf numFmtId="0" fontId="3" fillId="5" borderId="25" xfId="0" applyNumberFormat="1" applyFont="1" applyFill="1" applyBorder="1" applyAlignment="1">
      <x:alignment horizontal="center" vertical="top" wrapText="1"/>
    </x:xf>
    <x:xf numFmtId="0" fontId="3" fillId="5" borderId="26" xfId="0" applyNumberFormat="1" applyFont="1" applyFill="1" applyBorder="1" applyAlignment="1">
      <x:alignment horizontal="center" vertical="top" wrapText="1"/>
    </x:xf>
    <x:xf numFmtId="0" fontId="3" fillId="5" borderId="24" xfId="0" applyNumberFormat="1" applyFont="1" applyFill="1" applyBorder="1" applyAlignment="1">
      <x:alignment horizontal="center" vertical="center" wrapText="1"/>
    </x:xf>
    <x:xf numFmtId="0" fontId="3" fillId="5" borderId="25" xfId="0" applyNumberFormat="1" applyFont="1" applyFill="1" applyBorder="1" applyAlignment="1">
      <x:alignment horizontal="center" vertical="center" wrapText="1"/>
    </x:xf>
    <x:xf numFmtId="0" fontId="3" fillId="5" borderId="26" xfId="0" applyNumberFormat="1" applyFont="1" applyFill="1" applyBorder="1" applyAlignment="1">
      <x:alignment horizontal="center" vertical="center" wrapText="1"/>
    </x:xf>
    <x:xf numFmtId="0" fontId="3" fillId="5" borderId="0" xfId="0" applyNumberFormat="1" applyFont="1" applyFill="1" applyBorder="1" applyAlignment="1">
      <x:alignment horizontal="center" vertical="top" wrapText="1"/>
    </x:xf>
    <x:xf numFmtId="0" fontId="4" fillId="0" borderId="0" xfId="0" applyNumberFormat="1" applyFont="1" applyFill="1" applyBorder="1" applyAlignment="1">
      <x:alignment vertical="top"/>
    </x:xf>
    <x:xf numFmtId="0" fontId="4" fillId="0" borderId="27" xfId="0" applyNumberFormat="1" applyFont="1" applyFill="1" applyBorder="1" applyAlignment="1">
      <x:alignment vertical="top" wrapText="1"/>
    </x:xf>
    <x:xf numFmtId="0" fontId="4" fillId="0" borderId="28" xfId="0" applyNumberFormat="1" applyFont="1" applyFill="1" applyBorder="1" applyAlignment="1">
      <x:alignment vertical="top" wrapText="1"/>
    </x:xf>
    <x:xf numFmtId="0" fontId="4" fillId="0" borderId="29" xfId="0" applyNumberFormat="1" applyFont="1" applyFill="1" applyBorder="1" applyAlignment="1">
      <x:alignment vertical="top" wrapText="1"/>
    </x:xf>
    <x:xf numFmtId="0" fontId="4" fillId="0" borderId="30" xfId="0" applyNumberFormat="1" applyFont="1" applyFill="1" applyBorder="1" applyAlignment="1">
      <x:alignment vertical="top" wrapText="1"/>
    </x:xf>
    <x:xf numFmtId="0" fontId="4" fillId="0" xfId="0" applyNumberFormat="1" applyFont="1" applyFill="1" applyBorder="0" applyAlignment="1">
      <x:alignment vertical="top" wrapText="1"/>
    </x:xf>
    <x:xf numFmtId="0" fontId="4" fillId="0" borderId="31" xfId="0" applyNumberFormat="1" applyFont="1" applyFill="1" applyBorder="1" applyAlignment="1">
      <x:alignment vertical="top" wrapText="1"/>
    </x:xf>
    <x:xf numFmtId="0" fontId="4" fillId="0" borderId="32" xfId="0" applyNumberFormat="1" applyFont="1" applyFill="1" applyBorder="1" applyAlignment="1">
      <x:alignment vertical="top" wrapText="1"/>
    </x:xf>
    <x:xf numFmtId="0" fontId="4" fillId="0" borderId="33" xfId="0" applyNumberFormat="1" applyFont="1" applyFill="1" applyBorder="1" applyAlignment="1">
      <x:alignment vertical="top" wrapText="1"/>
    </x:xf>
    <x:xf numFmtId="0" fontId="4" fillId="0" borderId="30" xfId="0" applyNumberFormat="1" applyFont="1" applyFill="1" applyBorder="1" applyAlignment="1">
      <x:alignment vertical="top"/>
    </x:xf>
    <x:xf numFmtId="0" fontId="4" fillId="0" xfId="0" applyNumberFormat="1" applyFont="1" applyFill="1" applyBorder="0" applyAlignment="1">
      <x:alignment vertical="top"/>
    </x:xf>
    <x:xf numFmtId="0" fontId="4" fillId="0" borderId="31" xfId="0" applyNumberFormat="1" applyFont="1" applyFill="1" applyBorder="1" applyAlignment="1">
      <x:alignment vertical="top"/>
    </x:xf>
    <x:xf numFmtId="0" fontId="4" fillId="0" borderId="34" xfId="0" applyNumberFormat="1" applyFont="1" applyFill="1" applyBorder="1" applyAlignment="1">
      <x:alignment vertical="top"/>
    </x:xf>
    <x:xf numFmtId="0" fontId="4" fillId="0" borderId="35" xfId="0" applyNumberFormat="1" applyFont="1" applyFill="1" applyBorder="1" applyAlignment="1">
      <x:alignment vertical="top"/>
    </x:xf>
    <x:xf numFmtId="0" fontId="4" fillId="0" borderId="36" xfId="0" applyNumberFormat="1" applyFont="1" applyFill="1" applyBorder="1" applyAlignment="1">
      <x:alignment vertical="top"/>
    </x:xf>
    <x:xf numFmtId="0" fontId="4" fillId="0" borderId="34" xfId="0" applyNumberFormat="1" applyFont="1" applyFill="1" applyBorder="1" applyAlignment="1">
      <x:alignment vertical="top" wrapText="1"/>
    </x:xf>
    <x:xf numFmtId="0" fontId="4" fillId="0" borderId="35" xfId="0" applyNumberFormat="1" applyFont="1" applyFill="1" applyBorder="1" applyAlignment="1">
      <x:alignment vertical="top" wrapText="1"/>
    </x:xf>
    <x:xf numFmtId="0" fontId="4" fillId="0" borderId="36" xfId="0" applyNumberFormat="1" applyFont="1" applyFill="1" applyBorder="1" applyAlignment="1">
      <x:alignment vertical="top" wrapText="1"/>
    </x:xf>
    <x:xf numFmtId="0" fontId="0" fillId="5" borderId="0" xfId="0" applyNumberFormat="1" applyFont="1" applyFill="1" applyBorder="1" applyAlignment="1">
      <x:alignment vertical="top"/>
    </x:xf>
    <x:xf numFmtId="0" fontId="3" fillId="5" borderId="0" xfId="0" applyNumberFormat="1" applyFont="1" applyFill="1" applyBorder="1" applyAlignment="1">
      <x:alignment vertical="top"/>
    </x:xf>
    <x:xf numFmtId="0" fontId="3" fillId="5" borderId="37" xfId="0" applyNumberFormat="1" applyFont="1" applyFill="1" applyBorder="1" applyAlignment="1">
      <x:alignment horizontal="center" vertical="top" wrapText="1"/>
    </x:xf>
    <x:xf numFmtId="0" fontId="3" fillId="5" borderId="25" xfId="0" applyNumberFormat="1" applyFont="1" applyFill="1" applyBorder="1" applyAlignment="1">
      <x:alignment vertical="top"/>
    </x:xf>
    <x:xf numFmtId="0" fontId="3" fillId="5" borderId="26" xfId="0" applyNumberFormat="1" applyFont="1" applyFill="1" applyBorder="1" applyAlignment="1">
      <x:alignment vertical="top"/>
    </x:xf>
    <x:xf numFmtId="0" fontId="3" fillId="5" borderId="25" xfId="0" applyNumberFormat="1" applyFont="1" applyFill="1" applyBorder="1" applyAlignment="1">
      <x:alignment vertical="top" wrapText="1"/>
    </x:xf>
    <x:xf numFmtId="0" fontId="3" fillId="5" borderId="26" xfId="0" applyNumberFormat="1" applyFont="1" applyFill="1" applyBorder="1" applyAlignment="1">
      <x:alignment vertical="top" wrapText="1"/>
    </x:xf>
    <x:xf numFmtId="0" fontId="3" fillId="5" borderId="37" xfId="0" applyNumberFormat="1" applyFont="1" applyFill="1" applyBorder="1" applyAlignment="1">
      <x:alignment horizontal="center" vertical="center" wrapText="1"/>
    </x:xf>
    <x:xf numFmtId="0" fontId="4" fillId="0" borderId="27" xfId="0" applyNumberFormat="1" applyFont="1" applyFill="1" applyBorder="1" applyAlignment="1">
      <x:alignment vertical="top"/>
    </x:xf>
    <x:xf numFmtId="0" fontId="4" fillId="0" borderId="28" xfId="0" applyNumberFormat="1" applyFont="1" applyFill="1" applyBorder="1" applyAlignment="1">
      <x:alignment vertical="top"/>
    </x:xf>
    <x:xf numFmtId="0" fontId="4" fillId="0" borderId="29" xfId="0" applyNumberFormat="1" applyFont="1" applyFill="1" applyBorder="1" applyAlignment="1">
      <x:alignment vertical="top"/>
    </x:xf>
    <x:xf numFmtId="0" fontId="4" fillId="0" borderId="38" xfId="0" applyNumberFormat="1" applyFont="1" applyFill="1" applyBorder="1" applyAlignment="1">
      <x:alignment vertical="top" wrapText="1"/>
    </x:xf>
    <x:xf numFmtId="0" fontId="4" fillId="0" borderId="39" xfId="0" applyNumberFormat="1" applyFont="1" applyFill="1" applyBorder="1" applyAlignment="1">
      <x:alignment vertical="top" wrapText="1"/>
    </x:xf>
    <x:xf numFmtId="0" fontId="4" fillId="0" borderId="40" xfId="0" applyNumberFormat="1" applyFont="1" applyFill="1" applyBorder="1" applyAlignment="1">
      <x:alignment vertical="top" wrapText="1"/>
    </x:xf>
    <x:xf numFmtId="0" fontId="0" fillId="4" borderId="0" xfId="0" applyNumberFormat="1" applyFont="1" applyFill="1" applyBorder="1" applyAlignment="1">
      <x:alignment vertical="top"/>
    </x:xf>
    <x:xf numFmtId="0" fontId="3" fillId="4" borderId="0" xfId="0" applyNumberFormat="1" applyFont="1" applyFill="1" applyBorder="1" applyAlignment="1">
      <x:alignment vertical="top"/>
    </x:xf>
    <x:xf numFmtId="0" fontId="3" fillId="4" borderId="0" xfId="0" applyNumberFormat="1" applyFont="1" applyFill="1" applyBorder="1" applyAlignment="1">
      <x:alignment vertical="top" wrapText="1"/>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horizontal="left"/>
    </x:xf>
    <x:xf numFmtId="0" fontId="1" fillId="6" borderId="0" xfId="0" applyNumberFormat="1" applyFont="1" applyFill="1" applyBorder="1" applyAlignment="1">
      <x:alignment horizontal="left" vertical="center"/>
    </x:xf>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0" fillId="8" borderId="0" xfId="0" applyNumberFormat="1" applyFont="1" applyFill="1" applyBorder="1"/>
    <x:xf numFmtId="0" fontId="5" fillId="8" borderId="0" xfId="0" applyNumberFormat="1" applyFont="1" applyFill="1" applyBorder="1"/>
    <x:xf numFmtId="0" fontId="5" fillId="8" borderId="41" xfId="0" applyNumberFormat="1" applyFont="1" applyFill="1" applyBorder="1"/>
    <x:xf numFmtId="0" fontId="5" fillId="8" borderId="42" xfId="0" applyNumberFormat="1" applyFont="1" applyFill="1" applyBorder="1"/>
    <x:xf numFmtId="0" fontId="5" fillId="8" borderId="43" xfId="0" applyNumberFormat="1" applyFont="1" applyFill="1" applyBorder="1"/>
    <x:xf numFmtId="0" fontId="0" fillId="9" borderId="0" xfId="0" applyNumberFormat="1" applyFont="1" applyFill="1" applyBorder="1"/>
    <x:xf numFmtId="0" fontId="3" fillId="9" borderId="0" xfId="0" applyNumberFormat="1" applyFont="1" applyFill="1" applyBorder="1"/>
    <x:xf numFmtId="0" fontId="3" fillId="9" borderId="41" xfId="0" applyNumberFormat="1" applyFont="1" applyFill="1" applyBorder="1"/>
    <x:xf numFmtId="0" fontId="3" fillId="9" borderId="42" xfId="0" applyNumberFormat="1" applyFont="1" applyFill="1" applyBorder="1"/>
    <x:xf numFmtId="0" fontId="3" fillId="9" borderId="43" xfId="0" applyNumberFormat="1" applyFont="1" applyFill="1" applyBorder="1"/>
    <x:xf numFmtId="0" fontId="3" fillId="9" borderId="41" xfId="0" applyNumberFormat="1" applyFont="1" applyFill="1" applyBorder="1" applyAlignment="1">
      <x:alignment wrapText="1"/>
    </x:xf>
    <x:xf numFmtId="0" fontId="3" fillId="9" borderId="42" xfId="0" applyNumberFormat="1" applyFont="1" applyFill="1" applyBorder="1" applyAlignment="1">
      <x:alignment wrapText="1"/>
    </x:xf>
    <x:xf numFmtId="0" fontId="3" fillId="9" borderId="43" xfId="0" applyNumberFormat="1" applyFont="1" applyFill="1" applyBorder="1" applyAlignment="1">
      <x:alignment wrapText="1"/>
    </x:xf>
    <x:xf numFmtId="0" fontId="3" fillId="9" borderId="41" xfId="0" applyNumberFormat="1" applyFont="1" applyFill="1" applyBorder="1" applyAlignment="1">
      <x:alignment horizontal="center" wrapText="1"/>
    </x:xf>
    <x:xf numFmtId="0" fontId="3" fillId="9" borderId="42" xfId="0" applyNumberFormat="1" applyFont="1" applyFill="1" applyBorder="1" applyAlignment="1">
      <x:alignment horizontal="center" wrapText="1"/>
    </x:xf>
    <x:xf numFmtId="0" fontId="3" fillId="9" borderId="43" xfId="0" applyNumberFormat="1" applyFont="1" applyFill="1" applyBorder="1" applyAlignment="1">
      <x:alignment horizontal="center" wrapText="1"/>
    </x:xf>
    <x:xf numFmtId="0" fontId="3" fillId="9" borderId="41" xfId="0" applyNumberFormat="1" applyFont="1" applyFill="1" applyBorder="1" applyAlignment="1">
      <x:alignment horizontal="center" vertical="center" wrapText="1"/>
    </x:xf>
    <x:xf numFmtId="0" fontId="3" fillId="9" borderId="42" xfId="0" applyNumberFormat="1" applyFont="1" applyFill="1" applyBorder="1" applyAlignment="1">
      <x:alignment horizontal="center" vertical="center" wrapText="1"/>
    </x:xf>
    <x:xf numFmtId="0" fontId="3" fillId="9" borderId="43" xfId="0" applyNumberFormat="1" applyFont="1" applyFill="1" applyBorder="1" applyAlignment="1">
      <x:alignment horizontal="center" vertical="center" wrapText="1"/>
    </x:xf>
    <x:xf numFmtId="0" fontId="4" fillId="0" borderId="44" xfId="0" applyNumberFormat="1" applyFont="1" applyFill="1" applyBorder="1"/>
    <x:xf numFmtId="0" fontId="4" fillId="0" borderId="45" xfId="0" applyNumberFormat="1" applyFont="1" applyFill="1" applyBorder="1"/>
    <x:xf numFmtId="0" fontId="4" fillId="0" borderId="46" xfId="0" applyNumberFormat="1" applyFont="1" applyFill="1" applyBorder="1"/>
    <x:xf numFmtId="0" fontId="4" fillId="0" borderId="47" xfId="0" applyNumberFormat="1" applyFont="1" applyFill="1" applyBorder="1"/>
    <x:xf numFmtId="0" fontId="4" fillId="0" xfId="0" applyNumberFormat="1" applyFont="1" applyFill="1" applyBorder="0"/>
    <x:xf numFmtId="0" fontId="4" fillId="0" borderId="48" xfId="0" applyNumberFormat="1" applyFont="1" applyFill="1" applyBorder="1"/>
    <x:xf numFmtId="0" fontId="4" fillId="0" borderId="49" xfId="0" applyNumberFormat="1" applyFont="1" applyFill="1" applyBorder="1"/>
    <x:xf numFmtId="0" fontId="4" fillId="0" borderId="50" xfId="0" applyNumberFormat="1" applyFont="1" applyFill="1" applyBorder="1"/>
    <x:xf numFmtId="0" fontId="4" fillId="0" borderId="51" xfId="0" applyNumberFormat="1" applyFont="1" applyFill="1" applyBorder="1"/>
    <x:xf numFmtId="0" fontId="4" fillId="0" borderId="44" xfId="0" applyNumberFormat="1" applyFont="1" applyFill="1" applyBorder="1" applyAlignment="1">
      <x:alignment wrapText="1"/>
    </x:xf>
    <x:xf numFmtId="0" fontId="4" fillId="0" borderId="45" xfId="0" applyNumberFormat="1" applyFont="1" applyFill="1" applyBorder="1" applyAlignment="1">
      <x:alignment wrapText="1"/>
    </x:xf>
    <x:xf numFmtId="0" fontId="4" fillId="0" borderId="46" xfId="0" applyNumberFormat="1" applyFont="1" applyFill="1" applyBorder="1" applyAlignment="1">
      <x:alignment wrapText="1"/>
    </x:xf>
    <x:xf numFmtId="0" fontId="4" fillId="0" borderId="47" xfId="0" applyNumberFormat="1" applyFont="1" applyFill="1" applyBorder="1" applyAlignment="1">
      <x:alignment wrapText="1"/>
    </x:xf>
    <x:xf numFmtId="0" fontId="4" fillId="0" xfId="0" applyNumberFormat="1" applyFont="1" applyFill="1" applyBorder="0" applyAlignment="1">
      <x:alignment wrapText="1"/>
    </x:xf>
    <x:xf numFmtId="0" fontId="4" fillId="0" borderId="48" xfId="0" applyNumberFormat="1" applyFont="1" applyFill="1" applyBorder="1" applyAlignment="1">
      <x:alignment wrapText="1"/>
    </x:xf>
    <x:xf numFmtId="0" fontId="4" fillId="0" borderId="49" xfId="0" applyNumberFormat="1" applyFont="1" applyFill="1" applyBorder="1" applyAlignment="1">
      <x:alignment wrapText="1"/>
    </x:xf>
    <x:xf numFmtId="0" fontId="4" fillId="0" borderId="50" xfId="0" applyNumberFormat="1" applyFont="1" applyFill="1" applyBorder="1" applyAlignment="1">
      <x:alignment wrapText="1"/>
    </x:xf>
    <x:xf numFmtId="0" fontId="4" fillId="0" borderId="51" xfId="0" applyNumberFormat="1" applyFont="1" applyFill="1" applyBorder="1" applyAlignment="1">
      <x:alignment wrapText="1"/>
    </x:xf>
    <x:xf numFmtId="0" fontId="4" fillId="0" borderId="44" xfId="0" applyNumberFormat="1" applyFont="1" applyFill="1" applyBorder="1" applyAlignment="1">
      <x:alignment vertical="top" wrapText="1"/>
    </x:xf>
    <x:xf numFmtId="0" fontId="4" fillId="0" borderId="45" xfId="0" applyNumberFormat="1" applyFont="1" applyFill="1" applyBorder="1" applyAlignment="1">
      <x:alignment vertical="top" wrapText="1"/>
    </x:xf>
    <x:xf numFmtId="0" fontId="4" fillId="0" borderId="46" xfId="0" applyNumberFormat="1" applyFont="1" applyFill="1" applyBorder="1" applyAlignment="1">
      <x:alignment vertical="top" wrapText="1"/>
    </x:xf>
    <x:xf numFmtId="0" fontId="4" fillId="0" borderId="47" xfId="0" applyNumberFormat="1" applyFont="1" applyFill="1" applyBorder="1" applyAlignment="1">
      <x:alignment vertical="top" wrapText="1"/>
    </x:xf>
    <x:xf numFmtId="0" fontId="4" fillId="0" borderId="48" xfId="0" applyNumberFormat="1" applyFont="1" applyFill="1" applyBorder="1" applyAlignment="1">
      <x:alignment vertical="top" wrapText="1"/>
    </x:xf>
    <x:xf numFmtId="0" fontId="4" fillId="0" borderId="49" xfId="0" applyNumberFormat="1" applyFont="1" applyFill="1" applyBorder="1" applyAlignment="1">
      <x:alignment vertical="top" wrapText="1"/>
    </x:xf>
    <x:xf numFmtId="0" fontId="4" fillId="0" borderId="50" xfId="0" applyNumberFormat="1" applyFont="1" applyFill="1" applyBorder="1" applyAlignment="1">
      <x:alignment vertical="top" wrapText="1"/>
    </x:xf>
    <x:xf numFmtId="0" fontId="4" fillId="0" borderId="51" xfId="0" applyNumberFormat="1" applyFont="1" applyFill="1" applyBorder="1" applyAlignment="1">
      <x:alignment vertical="top" wrapText="1"/>
    </x:xf>
    <x:xf numFmtId="0" fontId="0" fillId="6" borderId="0" xfId="0" applyNumberFormat="1" applyFont="1" applyFill="1" applyBorder="1" applyAlignment="1">
      <x:alignment vertical="top"/>
    </x:xf>
    <x:xf numFmtId="0" fontId="6" fillId="6" borderId="0" xfId="0" applyNumberFormat="1" applyFont="1" applyFill="1" applyBorder="1" applyAlignment="1">
      <x:alignment vertical="top"/>
    </x:xf>
    <x:xf numFmtId="0" fontId="0" fillId="9" borderId="0" xfId="0" applyNumberFormat="1" applyFont="1" applyFill="1" applyBorder="1" applyAlignment="1">
      <x:alignment vertical="top"/>
    </x:xf>
    <x:xf numFmtId="0" fontId="3" fillId="9" borderId="0" xfId="0" applyNumberFormat="1" applyFont="1" applyFill="1" applyBorder="1" applyAlignment="1">
      <x:alignment vertical="top"/>
    </x:xf>
    <x:xf numFmtId="0" fontId="3" fillId="9" borderId="41" xfId="0" applyNumberFormat="1" applyFont="1" applyFill="1" applyBorder="1" applyAlignment="1">
      <x:alignment vertical="top"/>
    </x:xf>
    <x:xf numFmtId="0" fontId="3" fillId="9" borderId="43" xfId="0" applyNumberFormat="1" applyFont="1" applyFill="1" applyBorder="1" applyAlignment="1">
      <x:alignment vertical="top"/>
    </x:xf>
    <x:xf numFmtId="0" fontId="3" fillId="9" borderId="41" xfId="0" applyNumberFormat="1" applyFont="1" applyFill="1" applyBorder="1" applyAlignment="1">
      <x:alignment vertical="top" wrapText="1"/>
    </x:xf>
    <x:xf numFmtId="0" fontId="3" fillId="9" borderId="43" xfId="0" applyNumberFormat="1" applyFont="1" applyFill="1" applyBorder="1" applyAlignment="1">
      <x:alignment vertical="top" wrapText="1"/>
    </x:xf>
    <x:xf numFmtId="0" fontId="3" fillId="9" borderId="41" xfId="0" applyNumberFormat="1" applyFont="1" applyFill="1" applyBorder="1" applyAlignment="1">
      <x:alignment horizontal="center" vertical="top" wrapText="1"/>
    </x:xf>
    <x:xf numFmtId="0" fontId="3" fillId="9" borderId="43" xfId="0" applyNumberFormat="1" applyFont="1" applyFill="1" applyBorder="1" applyAlignment="1">
      <x:alignment horizontal="center" vertical="top" wrapText="1"/>
    </x:xf>
    <x:xf numFmtId="0" fontId="4" fillId="0" borderId="44" xfId="0" applyNumberFormat="1" applyFont="1" applyFill="1" applyBorder="1" applyAlignment="1">
      <x:alignment vertical="top"/>
    </x:xf>
    <x:xf numFmtId="0" fontId="4" fillId="0" borderId="46" xfId="0" applyNumberFormat="1" applyFont="1" applyFill="1" applyBorder="1" applyAlignment="1">
      <x:alignment vertical="top"/>
    </x:xf>
    <x:xf numFmtId="0" fontId="4" fillId="0" borderId="47" xfId="0" applyNumberFormat="1" applyFont="1" applyFill="1" applyBorder="1" applyAlignment="1">
      <x:alignment vertical="top"/>
    </x:xf>
    <x:xf numFmtId="0" fontId="4" fillId="0" borderId="48" xfId="0" applyNumberFormat="1" applyFont="1" applyFill="1" applyBorder="1" applyAlignment="1">
      <x:alignment vertical="top"/>
    </x:xf>
    <x:xf numFmtId="0" fontId="4" fillId="0" borderId="49" xfId="0" applyNumberFormat="1" applyFont="1" applyFill="1" applyBorder="1" applyAlignment="1">
      <x:alignment vertical="top"/>
    </x:xf>
    <x:xf numFmtId="0" fontId="4" fillId="0" borderId="51" xfId="0" applyNumberFormat="1" applyFont="1" applyFill="1" applyBorder="1" applyAlignment="1">
      <x:alignment vertical="top"/>
    </x:xf>
    <x:xf numFmtId="0" fontId="3" fillId="9" borderId="42" xfId="0" applyNumberFormat="1" applyFont="1" applyFill="1" applyBorder="1" applyAlignment="1">
      <x:alignment vertical="top"/>
    </x:xf>
    <x:xf numFmtId="0" fontId="3" fillId="9" borderId="42" xfId="0" applyNumberFormat="1" applyFont="1" applyFill="1" applyBorder="1" applyAlignment="1">
      <x:alignment vertical="top" wrapText="1"/>
    </x:xf>
    <x:xf numFmtId="0" fontId="3" fillId="9" borderId="42" xfId="0" applyNumberFormat="1" applyFont="1" applyFill="1" applyBorder="1" applyAlignment="1">
      <x:alignment horizontal="center" vertical="top" wrapText="1"/>
    </x:xf>
    <x:xf numFmtId="0" fontId="4" fillId="0" borderId="45" xfId="0" applyNumberFormat="1" applyFont="1" applyFill="1" applyBorder="1" applyAlignment="1">
      <x:alignment vertical="top"/>
    </x:xf>
    <x:xf numFmtId="0" fontId="4" fillId="0" borderId="50" xfId="0" applyNumberFormat="1" applyFont="1" applyFill="1" applyBorder="1" applyAlignment="1">
      <x:alignment vertical="top"/>
    </x:xf>
    <x:xf numFmtId="0" fontId="4" fillId="0" borderId="52" xfId="0" applyNumberFormat="1" applyFont="1" applyFill="1" applyBorder="1" applyAlignment="1">
      <x:alignment vertical="top" wrapText="1"/>
    </x:xf>
    <x:xf numFmtId="0" fontId="4" fillId="0" borderId="53" xfId="0" applyNumberFormat="1" applyFont="1" applyFill="1" applyBorder="1" applyAlignment="1">
      <x:alignment vertical="top" wrapText="1"/>
    </x:xf>
    <x:xf numFmtId="0" fontId="0" fillId="2" borderId="0" xfId="0" applyNumberFormat="1" applyFont="1" applyFill="1" applyBorder="1" applyAlignment="1">
      <x:alignment vertical="top"/>
    </x:xf>
    <x:xf numFmtId="0" fontId="6" fillId="2" borderId="0" xfId="0" applyNumberFormat="1" applyFont="1" applyFill="1" applyBorder="1" applyAlignment="1">
      <x:alignment vertical="top"/>
    </x:xf>
    <x:xf numFmtId="0" fontId="0" fillId="10" borderId="0" xfId="0" applyNumberFormat="1" applyFont="1" applyFill="1" applyBorder="1"/>
    <x:xf numFmtId="0" fontId="1" fillId="10" borderId="0" xfId="0" applyNumberFormat="1" applyFont="1" applyFill="1" applyBorder="1"/>
    <x:xf numFmtId="0" fontId="1" fillId="10" borderId="0" xfId="0" applyNumberFormat="1" applyFont="1" applyFill="1" applyBorder="1" applyAlignment="1">
      <x:alignment horizontal="left"/>
    </x:xf>
    <x:xf numFmtId="0" fontId="1" fillId="10" borderId="0" xfId="0" applyNumberFormat="1" applyFont="1" applyFill="1" applyBorder="1" applyAlignment="1">
      <x:alignment horizontal="left" vertical="center"/>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0" fillId="12" borderId="0" xfId="0" applyNumberFormat="1" applyFont="1" applyFill="1" applyBorder="1"/>
    <x:xf numFmtId="0" fontId="5" fillId="12" borderId="0" xfId="0" applyNumberFormat="1" applyFont="1" applyFill="1" applyBorder="1"/>
    <x:xf numFmtId="0" fontId="5" fillId="12" borderId="54" xfId="0" applyNumberFormat="1" applyFont="1" applyFill="1" applyBorder="1"/>
    <x:xf numFmtId="0" fontId="5" fillId="12" borderId="55" xfId="0" applyNumberFormat="1" applyFont="1" applyFill="1" applyBorder="1"/>
    <x:xf numFmtId="0" fontId="5" fillId="12" borderId="56" xfId="0" applyNumberFormat="1" applyFont="1" applyFill="1" applyBorder="1"/>
    <x:xf numFmtId="0" fontId="0" fillId="13" borderId="0" xfId="0" applyNumberFormat="1" applyFont="1" applyFill="1" applyBorder="1"/>
    <x:xf numFmtId="0" fontId="3" fillId="13" borderId="0" xfId="0" applyNumberFormat="1" applyFont="1" applyFill="1" applyBorder="1"/>
    <x:xf numFmtId="0" fontId="3" fillId="13" borderId="54" xfId="0" applyNumberFormat="1" applyFont="1" applyFill="1" applyBorder="1"/>
    <x:xf numFmtId="0" fontId="3" fillId="13" borderId="55" xfId="0" applyNumberFormat="1" applyFont="1" applyFill="1" applyBorder="1"/>
    <x:xf numFmtId="0" fontId="3" fillId="13" borderId="56" xfId="0" applyNumberFormat="1" applyFont="1" applyFill="1" applyBorder="1"/>
    <x:xf numFmtId="0" fontId="3" fillId="13" borderId="54" xfId="0" applyNumberFormat="1" applyFont="1" applyFill="1" applyBorder="1" applyAlignment="1">
      <x:alignment wrapText="1"/>
    </x:xf>
    <x:xf numFmtId="0" fontId="3" fillId="13" borderId="55" xfId="0" applyNumberFormat="1" applyFont="1" applyFill="1" applyBorder="1" applyAlignment="1">
      <x:alignment wrapText="1"/>
    </x:xf>
    <x:xf numFmtId="0" fontId="3" fillId="13" borderId="56" xfId="0" applyNumberFormat="1" applyFont="1" applyFill="1" applyBorder="1" applyAlignment="1">
      <x:alignment wrapText="1"/>
    </x:xf>
    <x:xf numFmtId="0" fontId="3" fillId="13" borderId="54" xfId="0" applyNumberFormat="1" applyFont="1" applyFill="1" applyBorder="1" applyAlignment="1">
      <x:alignment horizontal="center" wrapText="1"/>
    </x:xf>
    <x:xf numFmtId="0" fontId="3" fillId="13" borderId="55" xfId="0" applyNumberFormat="1" applyFont="1" applyFill="1" applyBorder="1" applyAlignment="1">
      <x:alignment horizontal="center" wrapText="1"/>
    </x:xf>
    <x:xf numFmtId="0" fontId="3" fillId="13" borderId="56" xfId="0" applyNumberFormat="1" applyFont="1" applyFill="1" applyBorder="1" applyAlignment="1">
      <x:alignment horizontal="center" wrapText="1"/>
    </x:xf>
    <x:xf numFmtId="0" fontId="3" fillId="13" borderId="54" xfId="0" applyNumberFormat="1" applyFont="1" applyFill="1" applyBorder="1" applyAlignment="1">
      <x:alignment horizontal="center" vertical="center" wrapText="1"/>
    </x:xf>
    <x:xf numFmtId="0" fontId="3" fillId="13" borderId="55" xfId="0" applyNumberFormat="1" applyFont="1" applyFill="1" applyBorder="1" applyAlignment="1">
      <x:alignment horizontal="center" vertical="center" wrapText="1"/>
    </x:xf>
    <x:xf numFmtId="0" fontId="3" fillId="13" borderId="56" xfId="0" applyNumberFormat="1" applyFont="1" applyFill="1" applyBorder="1" applyAlignment="1">
      <x:alignment horizontal="center" vertical="center" wrapText="1"/>
    </x:xf>
    <x:xf numFmtId="0" fontId="4" fillId="0" borderId="57" xfId="0" applyNumberFormat="1" applyFont="1" applyFill="1" applyBorder="1"/>
    <x:xf numFmtId="0" fontId="4" fillId="0" borderId="58" xfId="0" applyNumberFormat="1" applyFont="1" applyFill="1" applyBorder="1"/>
    <x:xf numFmtId="0" fontId="4" fillId="0" borderId="59" xfId="0" applyNumberFormat="1" applyFont="1" applyFill="1" applyBorder="1"/>
    <x:xf numFmtId="0" fontId="4" fillId="0" borderId="60" xfId="0" applyNumberFormat="1" applyFont="1" applyFill="1" applyBorder="1"/>
    <x:xf numFmtId="0" fontId="4" fillId="0" borderId="61" xfId="0" applyNumberFormat="1" applyFont="1" applyFill="1" applyBorder="1"/>
    <x:xf numFmtId="0" fontId="4" fillId="0" borderId="62" xfId="0" applyNumberFormat="1" applyFont="1" applyFill="1" applyBorder="1"/>
    <x:xf numFmtId="0" fontId="4" fillId="0" borderId="63" xfId="0" applyNumberFormat="1" applyFont="1" applyFill="1" applyBorder="1"/>
    <x:xf numFmtId="0" fontId="4" fillId="0" borderId="64" xfId="0" applyNumberFormat="1" applyFont="1" applyFill="1" applyBorder="1"/>
    <x:xf numFmtId="0" fontId="4" fillId="0" borderId="57" xfId="0" applyNumberFormat="1" applyFont="1" applyFill="1" applyBorder="1" applyAlignment="1">
      <x:alignment wrapText="1"/>
    </x:xf>
    <x:xf numFmtId="0" fontId="4" fillId="0" borderId="58" xfId="0" applyNumberFormat="1" applyFont="1" applyFill="1" applyBorder="1" applyAlignment="1">
      <x:alignment wrapText="1"/>
    </x:xf>
    <x:xf numFmtId="0" fontId="4" fillId="0" borderId="59" xfId="0" applyNumberFormat="1" applyFont="1" applyFill="1" applyBorder="1" applyAlignment="1">
      <x:alignment wrapText="1"/>
    </x:xf>
    <x:xf numFmtId="0" fontId="4" fillId="0" borderId="60" xfId="0" applyNumberFormat="1" applyFont="1" applyFill="1" applyBorder="1" applyAlignment="1">
      <x:alignment wrapText="1"/>
    </x:xf>
    <x:xf numFmtId="0" fontId="4" fillId="0" borderId="61" xfId="0" applyNumberFormat="1" applyFont="1" applyFill="1" applyBorder="1" applyAlignment="1">
      <x:alignment wrapText="1"/>
    </x:xf>
    <x:xf numFmtId="0" fontId="4" fillId="0" borderId="62" xfId="0" applyNumberFormat="1" applyFont="1" applyFill="1" applyBorder="1" applyAlignment="1">
      <x:alignment wrapText="1"/>
    </x:xf>
    <x:xf numFmtId="0" fontId="4" fillId="0" borderId="63" xfId="0" applyNumberFormat="1" applyFont="1" applyFill="1" applyBorder="1" applyAlignment="1">
      <x:alignment wrapText="1"/>
    </x:xf>
    <x:xf numFmtId="0" fontId="4" fillId="0" borderId="64" xfId="0" applyNumberFormat="1" applyFont="1" applyFill="1" applyBorder="1" applyAlignment="1">
      <x:alignment wrapText="1"/>
    </x:xf>
    <x:xf numFmtId="0" fontId="4" fillId="0" borderId="57" xfId="0" applyNumberFormat="1" applyFont="1" applyFill="1" applyBorder="1" applyAlignment="1">
      <x:alignment vertical="top" wrapText="1"/>
    </x:xf>
    <x:xf numFmtId="0" fontId="4" fillId="0" borderId="58" xfId="0" applyNumberFormat="1" applyFont="1" applyFill="1" applyBorder="1" applyAlignment="1">
      <x:alignment vertical="top" wrapText="1"/>
    </x:xf>
    <x:xf numFmtId="0" fontId="4" fillId="0" borderId="59" xfId="0" applyNumberFormat="1" applyFont="1" applyFill="1" applyBorder="1" applyAlignment="1">
      <x:alignment vertical="top" wrapText="1"/>
    </x:xf>
    <x:xf numFmtId="0" fontId="4" fillId="0" borderId="60" xfId="0" applyNumberFormat="1" applyFont="1" applyFill="1" applyBorder="1" applyAlignment="1">
      <x:alignment vertical="top" wrapText="1"/>
    </x:xf>
    <x:xf numFmtId="0" fontId="4" fillId="0" borderId="61" xfId="0" applyNumberFormat="1" applyFont="1" applyFill="1" applyBorder="1" applyAlignment="1">
      <x:alignment vertical="top" wrapText="1"/>
    </x:xf>
    <x:xf numFmtId="0" fontId="4" fillId="0" borderId="62" xfId="0" applyNumberFormat="1" applyFont="1" applyFill="1" applyBorder="1" applyAlignment="1">
      <x:alignment vertical="top" wrapText="1"/>
    </x:xf>
    <x:xf numFmtId="0" fontId="4" fillId="0" borderId="63" xfId="0" applyNumberFormat="1" applyFont="1" applyFill="1" applyBorder="1" applyAlignment="1">
      <x:alignment vertical="top" wrapText="1"/>
    </x:xf>
    <x:xf numFmtId="0" fontId="4" fillId="0" borderId="64" xfId="0" applyNumberFormat="1" applyFont="1" applyFill="1" applyBorder="1" applyAlignment="1">
      <x:alignment vertical="top" wrapText="1"/>
    </x:xf>
    <x:xf numFmtId="0" fontId="0" fillId="13" borderId="0" xfId="0" applyNumberFormat="1" applyFont="1" applyFill="1" applyBorder="1" applyAlignment="1">
      <x:alignment vertical="top"/>
    </x:xf>
    <x:xf numFmtId="0" fontId="3" fillId="13" borderId="0" xfId="0" applyNumberFormat="1" applyFont="1" applyFill="1" applyBorder="1" applyAlignment="1">
      <x:alignment vertical="top"/>
    </x:xf>
    <x:xf numFmtId="0" fontId="3" fillId="13" borderId="54" xfId="0" applyNumberFormat="1" applyFont="1" applyFill="1" applyBorder="1" applyAlignment="1">
      <x:alignment vertical="top"/>
    </x:xf>
    <x:xf numFmtId="0" fontId="3" fillId="13" borderId="55" xfId="0" applyNumberFormat="1" applyFont="1" applyFill="1" applyBorder="1" applyAlignment="1">
      <x:alignment vertical="top"/>
    </x:xf>
    <x:xf numFmtId="0" fontId="3" fillId="13" borderId="56" xfId="0" applyNumberFormat="1" applyFont="1" applyFill="1" applyBorder="1" applyAlignment="1">
      <x:alignment vertical="top"/>
    </x:xf>
    <x:xf numFmtId="0" fontId="3" fillId="13" borderId="54" xfId="0" applyNumberFormat="1" applyFont="1" applyFill="1" applyBorder="1" applyAlignment="1">
      <x:alignment vertical="top" wrapText="1"/>
    </x:xf>
    <x:xf numFmtId="0" fontId="3" fillId="13" borderId="55" xfId="0" applyNumberFormat="1" applyFont="1" applyFill="1" applyBorder="1" applyAlignment="1">
      <x:alignment vertical="top" wrapText="1"/>
    </x:xf>
    <x:xf numFmtId="0" fontId="3" fillId="13" borderId="56" xfId="0" applyNumberFormat="1" applyFont="1" applyFill="1" applyBorder="1" applyAlignment="1">
      <x:alignment vertical="top" wrapText="1"/>
    </x:xf>
    <x:xf numFmtId="0" fontId="3" fillId="13" borderId="54" xfId="0" applyNumberFormat="1" applyFont="1" applyFill="1" applyBorder="1" applyAlignment="1">
      <x:alignment horizontal="center" vertical="top" wrapText="1"/>
    </x:xf>
    <x:xf numFmtId="0" fontId="3" fillId="13" borderId="55" xfId="0" applyNumberFormat="1" applyFont="1" applyFill="1" applyBorder="1" applyAlignment="1">
      <x:alignment horizontal="center" vertical="top" wrapText="1"/>
    </x:xf>
    <x:xf numFmtId="0" fontId="3" fillId="13" borderId="56" xfId="0" applyNumberFormat="1" applyFont="1" applyFill="1" applyBorder="1" applyAlignment="1">
      <x:alignment horizontal="center" vertical="top" wrapText="1"/>
    </x:xf>
    <x:xf numFmtId="0" fontId="4" fillId="0" borderId="57" xfId="0" applyNumberFormat="1" applyFont="1" applyFill="1" applyBorder="1" applyAlignment="1">
      <x:alignment vertical="top"/>
    </x:xf>
    <x:xf numFmtId="0" fontId="4" fillId="0" borderId="58" xfId="0" applyNumberFormat="1" applyFont="1" applyFill="1" applyBorder="1" applyAlignment="1">
      <x:alignment vertical="top"/>
    </x:xf>
    <x:xf numFmtId="0" fontId="4" fillId="0" borderId="59" xfId="0" applyNumberFormat="1" applyFont="1" applyFill="1" applyBorder="1" applyAlignment="1">
      <x:alignment vertical="top"/>
    </x:xf>
    <x:xf numFmtId="0" fontId="4" fillId="0" borderId="60" xfId="0" applyNumberFormat="1" applyFont="1" applyFill="1" applyBorder="1" applyAlignment="1">
      <x:alignment vertical="top"/>
    </x:xf>
    <x:xf numFmtId="0" fontId="4" fillId="0" borderId="61" xfId="0" applyNumberFormat="1" applyFont="1" applyFill="1" applyBorder="1" applyAlignment="1">
      <x:alignment vertical="top"/>
    </x:xf>
    <x:xf numFmtId="0" fontId="4" fillId="0" borderId="62" xfId="0" applyNumberFormat="1" applyFont="1" applyFill="1" applyBorder="1" applyAlignment="1">
      <x:alignment vertical="top"/>
    </x:xf>
    <x:xf numFmtId="0" fontId="4" fillId="0" borderId="63" xfId="0" applyNumberFormat="1" applyFont="1" applyFill="1" applyBorder="1" applyAlignment="1">
      <x:alignment vertical="top"/>
    </x:xf>
    <x:xf numFmtId="0" fontId="4" fillId="0" borderId="64" xfId="0" applyNumberFormat="1" applyFont="1" applyFill="1" applyBorder="1" applyAlignment="1">
      <x:alignment vertical="top"/>
    </x:xf>
    <x:xf numFmtId="0" fontId="4" fillId="0" borderId="65" xfId="0" applyNumberFormat="1" applyFont="1" applyFill="1" applyBorder="1" applyAlignment="1">
      <x:alignment vertical="top" wrapText="1"/>
    </x:xf>
    <x:xf numFmtId="0" fontId="4" fillId="0" borderId="66" xfId="0" applyNumberFormat="1" applyFont="1" applyFill="1" applyBorder="1" applyAlignment="1">
      <x:alignment vertical="top" wrapText="1"/>
    </x:xf>
    <x:xf numFmtId="0" fontId="0" fillId="14" borderId="0" xfId="0" applyNumberFormat="1" applyFont="1" applyFill="1" applyBorder="1"/>
    <x:xf numFmtId="0" fontId="1" fillId="14" borderId="0" xfId="0" applyNumberFormat="1" applyFont="1" applyFill="1" applyBorder="1"/>
    <x:xf numFmtId="0" fontId="1" fillId="14" borderId="0" xfId="0" applyNumberFormat="1" applyFont="1" applyFill="1" applyBorder="1" applyAlignment="1">
      <x:alignment horizontal="left"/>
    </x:xf>
    <x:xf numFmtId="0" fontId="1" fillId="14" borderId="0" xfId="0" applyNumberFormat="1" applyFont="1" applyFill="1" applyBorder="1" applyAlignment="1">
      <x:alignment horizontal="left" vertical="center"/>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0" fillId="16" borderId="0" xfId="0" applyNumberFormat="1" applyFont="1" applyFill="1" applyBorder="1"/>
    <x:xf numFmtId="0" fontId="3" fillId="16" borderId="0" xfId="0" applyNumberFormat="1" applyFont="1" applyFill="1" applyBorder="1"/>
    <x:xf numFmtId="0" fontId="3" fillId="16" borderId="67" xfId="0" applyNumberFormat="1" applyFont="1" applyFill="1" applyBorder="1"/>
    <x:xf numFmtId="0" fontId="3" fillId="16" borderId="68" xfId="0" applyNumberFormat="1" applyFont="1" applyFill="1" applyBorder="1"/>
    <x:xf numFmtId="0" fontId="3" fillId="16" borderId="69" xfId="0" applyNumberFormat="1" applyFont="1" applyFill="1" applyBorder="1"/>
    <x:xf numFmtId="0" fontId="3" fillId="16" borderId="67" xfId="0" applyNumberFormat="1" applyFont="1" applyFill="1" applyBorder="1" applyAlignment="1">
      <x:alignment wrapText="1"/>
    </x:xf>
    <x:xf numFmtId="0" fontId="3" fillId="16" borderId="68" xfId="0" applyNumberFormat="1" applyFont="1" applyFill="1" applyBorder="1" applyAlignment="1">
      <x:alignment wrapText="1"/>
    </x:xf>
    <x:xf numFmtId="0" fontId="3" fillId="16" borderId="69" xfId="0" applyNumberFormat="1" applyFont="1" applyFill="1" applyBorder="1" applyAlignment="1">
      <x:alignment wrapText="1"/>
    </x:xf>
    <x:xf numFmtId="0" fontId="3" fillId="16" borderId="67" xfId="0" applyNumberFormat="1" applyFont="1" applyFill="1" applyBorder="1" applyAlignment="1">
      <x:alignment horizontal="center" wrapText="1"/>
    </x:xf>
    <x:xf numFmtId="0" fontId="3" fillId="16" borderId="68" xfId="0" applyNumberFormat="1" applyFont="1" applyFill="1" applyBorder="1" applyAlignment="1">
      <x:alignment horizontal="center" wrapText="1"/>
    </x:xf>
    <x:xf numFmtId="0" fontId="3" fillId="16" borderId="69" xfId="0" applyNumberFormat="1" applyFont="1" applyFill="1" applyBorder="1" applyAlignment="1">
      <x:alignment horizontal="center" wrapText="1"/>
    </x:xf>
    <x:xf numFmtId="0" fontId="3" fillId="16" borderId="67" xfId="0" applyNumberFormat="1" applyFont="1" applyFill="1" applyBorder="1" applyAlignment="1">
      <x:alignment horizontal="center" vertical="center" wrapText="1"/>
    </x:xf>
    <x:xf numFmtId="0" fontId="3" fillId="16" borderId="68" xfId="0" applyNumberFormat="1" applyFont="1" applyFill="1" applyBorder="1" applyAlignment="1">
      <x:alignment horizontal="center" vertical="center" wrapText="1"/>
    </x:xf>
    <x:xf numFmtId="0" fontId="3" fillId="16" borderId="69" xfId="0" applyNumberFormat="1" applyFont="1" applyFill="1" applyBorder="1" applyAlignment="1">
      <x:alignment horizontal="center" vertical="center" wrapText="1"/>
    </x:xf>
    <x:xf numFmtId="0" fontId="4" fillId="0" borderId="70" xfId="0" applyNumberFormat="1" applyFont="1" applyFill="1" applyBorder="1"/>
    <x:xf numFmtId="0" fontId="4" fillId="0" borderId="71" xfId="0" applyNumberFormat="1" applyFont="1" applyFill="1" applyBorder="1"/>
    <x:xf numFmtId="0" fontId="4" fillId="0" borderId="72" xfId="0" applyNumberFormat="1" applyFont="1" applyFill="1" applyBorder="1"/>
    <x:xf numFmtId="0" fontId="4" fillId="0" borderId="73" xfId="0" applyNumberFormat="1" applyFont="1" applyFill="1" applyBorder="1"/>
    <x:xf numFmtId="0" fontId="4" fillId="0" borderId="74" xfId="0" applyNumberFormat="1" applyFont="1" applyFill="1" applyBorder="1"/>
    <x:xf numFmtId="0" fontId="4" fillId="0" borderId="75" xfId="0" applyNumberFormat="1" applyFont="1" applyFill="1" applyBorder="1"/>
    <x:xf numFmtId="0" fontId="4" fillId="0" borderId="76" xfId="0" applyNumberFormat="1" applyFont="1" applyFill="1" applyBorder="1"/>
    <x:xf numFmtId="0" fontId="4" fillId="0" borderId="77" xfId="0" applyNumberFormat="1" applyFont="1" applyFill="1" applyBorder="1"/>
    <x:xf numFmtId="0" fontId="4" fillId="0" borderId="70" xfId="0" applyNumberFormat="1" applyFont="1" applyFill="1" applyBorder="1" applyAlignment="1">
      <x:alignment wrapText="1"/>
    </x:xf>
    <x:xf numFmtId="0" fontId="4" fillId="0" borderId="71" xfId="0" applyNumberFormat="1" applyFont="1" applyFill="1" applyBorder="1" applyAlignment="1">
      <x:alignment wrapText="1"/>
    </x:xf>
    <x:xf numFmtId="0" fontId="4" fillId="0" borderId="72" xfId="0" applyNumberFormat="1" applyFont="1" applyFill="1" applyBorder="1" applyAlignment="1">
      <x:alignment wrapText="1"/>
    </x:xf>
    <x:xf numFmtId="0" fontId="4" fillId="0" borderId="73" xfId="0" applyNumberFormat="1" applyFont="1" applyFill="1" applyBorder="1" applyAlignment="1">
      <x:alignment wrapText="1"/>
    </x:xf>
    <x:xf numFmtId="0" fontId="4" fillId="0" borderId="74" xfId="0" applyNumberFormat="1" applyFont="1" applyFill="1" applyBorder="1" applyAlignment="1">
      <x:alignment wrapText="1"/>
    </x:xf>
    <x:xf numFmtId="0" fontId="4" fillId="0" borderId="75" xfId="0" applyNumberFormat="1" applyFont="1" applyFill="1" applyBorder="1" applyAlignment="1">
      <x:alignment wrapText="1"/>
    </x:xf>
    <x:xf numFmtId="0" fontId="4" fillId="0" borderId="76" xfId="0" applyNumberFormat="1" applyFont="1" applyFill="1" applyBorder="1" applyAlignment="1">
      <x:alignment wrapText="1"/>
    </x:xf>
    <x:xf numFmtId="0" fontId="4" fillId="0" borderId="77" xfId="0" applyNumberFormat="1" applyFont="1" applyFill="1" applyBorder="1" applyAlignment="1">
      <x:alignment wrapText="1"/>
    </x:xf>
    <x:xf numFmtId="0" fontId="4" fillId="0" borderId="70" xfId="0" applyNumberFormat="1" applyFont="1" applyFill="1" applyBorder="1" applyAlignment="1">
      <x:alignment vertical="top" wrapText="1"/>
    </x:xf>
    <x:xf numFmtId="0" fontId="4" fillId="0" borderId="71" xfId="0" applyNumberFormat="1" applyFont="1" applyFill="1" applyBorder="1" applyAlignment="1">
      <x:alignment vertical="top" wrapText="1"/>
    </x:xf>
    <x:xf numFmtId="0" fontId="4" fillId="0" borderId="72" xfId="0" applyNumberFormat="1" applyFont="1" applyFill="1" applyBorder="1" applyAlignment="1">
      <x:alignment vertical="top" wrapText="1"/>
    </x:xf>
    <x:xf numFmtId="0" fontId="4" fillId="0" borderId="73" xfId="0" applyNumberFormat="1" applyFont="1" applyFill="1" applyBorder="1" applyAlignment="1">
      <x:alignment vertical="top" wrapText="1"/>
    </x:xf>
    <x:xf numFmtId="0" fontId="4" fillId="0" borderId="74" xfId="0" applyNumberFormat="1" applyFont="1" applyFill="1" applyBorder="1" applyAlignment="1">
      <x:alignment vertical="top" wrapText="1"/>
    </x:xf>
    <x:xf numFmtId="0" fontId="4" fillId="0" borderId="75" xfId="0" applyNumberFormat="1" applyFont="1" applyFill="1" applyBorder="1" applyAlignment="1">
      <x:alignment vertical="top" wrapText="1"/>
    </x:xf>
    <x:xf numFmtId="0" fontId="4" fillId="0" borderId="76" xfId="0" applyNumberFormat="1" applyFont="1" applyFill="1" applyBorder="1" applyAlignment="1">
      <x:alignment vertical="top" wrapText="1"/>
    </x:xf>
    <x:xf numFmtId="0" fontId="4" fillId="0" borderId="77" xfId="0" applyNumberFormat="1" applyFont="1" applyFill="1" applyBorder="1" applyAlignment="1">
      <x:alignment vertical="top" wrapText="1"/>
    </x:xf>
    <x:xf numFmtId="0" fontId="4" fillId="0" borderId="70" xfId="0" applyNumberFormat="1" applyFont="1" applyFill="1" applyBorder="1" applyAlignment="1">
      <x:alignment vertical="top"/>
    </x:xf>
    <x:xf numFmtId="0" fontId="4" fillId="0" borderId="71" xfId="0" applyNumberFormat="1" applyFont="1" applyFill="1" applyBorder="1" applyAlignment="1">
      <x:alignment vertical="top"/>
    </x:xf>
    <x:xf numFmtId="0" fontId="4" fillId="0" borderId="72" xfId="0" applyNumberFormat="1" applyFont="1" applyFill="1" applyBorder="1" applyAlignment="1">
      <x:alignment vertical="top"/>
    </x:xf>
    <x:xf numFmtId="0" fontId="4" fillId="0" borderId="73" xfId="0" applyNumberFormat="1" applyFont="1" applyFill="1" applyBorder="1" applyAlignment="1">
      <x:alignment vertical="top"/>
    </x:xf>
    <x:xf numFmtId="0" fontId="4" fillId="0" borderId="74" xfId="0" applyNumberFormat="1" applyFont="1" applyFill="1" applyBorder="1" applyAlignment="1">
      <x:alignment vertical="top"/>
    </x:xf>
    <x:xf numFmtId="0" fontId="4" fillId="0" borderId="75" xfId="0" applyNumberFormat="1" applyFont="1" applyFill="1" applyBorder="1" applyAlignment="1">
      <x:alignment vertical="top"/>
    </x:xf>
    <x:xf numFmtId="0" fontId="4" fillId="0" borderId="76" xfId="0" applyNumberFormat="1" applyFont="1" applyFill="1" applyBorder="1" applyAlignment="1">
      <x:alignment vertical="top"/>
    </x:xf>
    <x:xf numFmtId="0" fontId="4" fillId="0" borderId="77" xfId="0" applyNumberFormat="1" applyFont="1" applyFill="1" applyBorder="1" applyAlignment="1">
      <x:alignment vertical="top"/>
    </x:xf>
    <x:xf numFmtId="0" fontId="0" fillId="17" borderId="0" xfId="0" applyNumberFormat="1" applyFont="1" applyFill="1" applyBorder="1"/>
    <x:xf numFmtId="0" fontId="5" fillId="17" borderId="0" xfId="0" applyNumberFormat="1" applyFont="1" applyFill="1" applyBorder="1"/>
    <x:xf numFmtId="0" fontId="5" fillId="17" borderId="67" xfId="0" applyNumberFormat="1" applyFont="1" applyFill="1" applyBorder="1"/>
    <x:xf numFmtId="0" fontId="5" fillId="17" borderId="68" xfId="0" applyNumberFormat="1" applyFont="1" applyFill="1" applyBorder="1"/>
    <x:xf numFmtId="0" fontId="5" fillId="17" borderId="69" xfId="0" applyNumberFormat="1" applyFont="1" applyFill="1" applyBorder="1"/>
    <x:xf numFmtId="0" fontId="7" fillId="0" borderId="0" xfId="0" applyNumberFormat="1" applyFont="1" applyFill="1" applyBorder="1"/>
    <x:xf numFmtId="0" fontId="7" fillId="0" borderId="70" xfId="0" applyNumberFormat="1" applyFont="1" applyFill="1" applyBorder="1"/>
    <x:xf numFmtId="0" fontId="7" fillId="0" borderId="71" xfId="0" applyNumberFormat="1" applyFont="1" applyFill="1" applyBorder="1"/>
    <x:xf numFmtId="0" fontId="7" fillId="0" borderId="72" xfId="0" applyNumberFormat="1" applyFont="1" applyFill="1" applyBorder="1"/>
    <x:xf numFmtId="0" fontId="7" fillId="0" borderId="73" xfId="0" applyNumberFormat="1" applyFont="1" applyFill="1" applyBorder="1"/>
    <x:xf numFmtId="0" fontId="7" fillId="0" xfId="0" applyNumberFormat="1" applyFont="1" applyFill="1" applyBorder="0"/>
    <x:xf numFmtId="0" fontId="7" fillId="0" borderId="74" xfId="0" applyNumberFormat="1" applyFont="1" applyFill="1" applyBorder="1"/>
    <x:xf numFmtId="0" fontId="7" fillId="0" borderId="75" xfId="0" applyNumberFormat="1" applyFont="1" applyFill="1" applyBorder="1"/>
    <x:xf numFmtId="0" fontId="7" fillId="0" borderId="76" xfId="0" applyNumberFormat="1" applyFont="1" applyFill="1" applyBorder="1"/>
    <x:xf numFmtId="0" fontId="7" fillId="0" borderId="77" xfId="0" applyNumberFormat="1" applyFont="1" applyFill="1" applyBorder="1"/>
    <x:xf numFmtId="0" fontId="7" fillId="0" borderId="70" xfId="0" applyNumberFormat="1" applyFont="1" applyFill="1" applyBorder="1" applyAlignment="1">
      <x:alignment wrapText="1"/>
    </x:xf>
    <x:xf numFmtId="0" fontId="7" fillId="0" borderId="71" xfId="0" applyNumberFormat="1" applyFont="1" applyFill="1" applyBorder="1" applyAlignment="1">
      <x:alignment wrapText="1"/>
    </x:xf>
    <x:xf numFmtId="0" fontId="7" fillId="0" borderId="72" xfId="0" applyNumberFormat="1" applyFont="1" applyFill="1" applyBorder="1" applyAlignment="1">
      <x:alignment wrapText="1"/>
    </x:xf>
    <x:xf numFmtId="0" fontId="7" fillId="0" borderId="73" xfId="0" applyNumberFormat="1" applyFont="1" applyFill="1" applyBorder="1" applyAlignment="1">
      <x:alignment wrapText="1"/>
    </x:xf>
    <x:xf numFmtId="0" fontId="7" fillId="0" xfId="0" applyNumberFormat="1" applyFont="1" applyFill="1" applyBorder="0" applyAlignment="1">
      <x:alignment wrapText="1"/>
    </x:xf>
    <x:xf numFmtId="0" fontId="7" fillId="0" borderId="74" xfId="0" applyNumberFormat="1" applyFont="1" applyFill="1" applyBorder="1" applyAlignment="1">
      <x:alignment wrapText="1"/>
    </x:xf>
    <x:xf numFmtId="0" fontId="7" fillId="0" borderId="75" xfId="0" applyNumberFormat="1" applyFont="1" applyFill="1" applyBorder="1" applyAlignment="1">
      <x:alignment wrapText="1"/>
    </x:xf>
    <x:xf numFmtId="0" fontId="7" fillId="0" borderId="76" xfId="0" applyNumberFormat="1" applyFont="1" applyFill="1" applyBorder="1" applyAlignment="1">
      <x:alignment wrapText="1"/>
    </x:xf>
    <x:xf numFmtId="0" fontId="7" fillId="0" borderId="77" xfId="0" applyNumberFormat="1" applyFont="1" applyFill="1" applyBorder="1" applyAlignment="1">
      <x:alignment wrapText="1"/>
    </x:xf>
    <x:xf numFmtId="0" fontId="7" fillId="0" borderId="70" xfId="0" applyNumberFormat="1" applyFont="1" applyFill="1" applyBorder="1" applyAlignment="1">
      <x:alignment vertical="top" wrapText="1"/>
    </x:xf>
    <x:xf numFmtId="0" fontId="7" fillId="0" borderId="71" xfId="0" applyNumberFormat="1" applyFont="1" applyFill="1" applyBorder="1" applyAlignment="1">
      <x:alignment vertical="top" wrapText="1"/>
    </x:xf>
    <x:xf numFmtId="0" fontId="7" fillId="0" borderId="72" xfId="0" applyNumberFormat="1" applyFont="1" applyFill="1" applyBorder="1" applyAlignment="1">
      <x:alignment vertical="top" wrapText="1"/>
    </x:xf>
    <x:xf numFmtId="0" fontId="7" fillId="0" borderId="73" xfId="0" applyNumberFormat="1" applyFont="1" applyFill="1" applyBorder="1" applyAlignment="1">
      <x:alignment vertical="top" wrapText="1"/>
    </x:xf>
    <x:xf numFmtId="0" fontId="7" fillId="0" xfId="0" applyNumberFormat="1" applyFont="1" applyFill="1" applyBorder="0" applyAlignment="1">
      <x:alignment vertical="top" wrapText="1"/>
    </x:xf>
    <x:xf numFmtId="0" fontId="7" fillId="0" borderId="74" xfId="0" applyNumberFormat="1" applyFont="1" applyFill="1" applyBorder="1" applyAlignment="1">
      <x:alignment vertical="top" wrapText="1"/>
    </x:xf>
    <x:xf numFmtId="0" fontId="7" fillId="0" borderId="75" xfId="0" applyNumberFormat="1" applyFont="1" applyFill="1" applyBorder="1" applyAlignment="1">
      <x:alignment vertical="top" wrapText="1"/>
    </x:xf>
    <x:xf numFmtId="0" fontId="7" fillId="0" borderId="76" xfId="0" applyNumberFormat="1" applyFont="1" applyFill="1" applyBorder="1" applyAlignment="1">
      <x:alignment vertical="top" wrapText="1"/>
    </x:xf>
    <x:xf numFmtId="0" fontId="7" fillId="0" borderId="77" xfId="0" applyNumberFormat="1" applyFont="1" applyFill="1" applyBorder="1" applyAlignment="1">
      <x:alignment vertical="top" wrapText="1"/>
    </x:xf>
    <x:xf numFmtId="0" fontId="4" fillId="0" borderId="78" xfId="0" applyNumberFormat="1" applyFont="1" applyFill="1" applyBorder="1" applyAlignment="1">
      <x:alignment vertical="top" wrapText="1"/>
    </x:xf>
    <x:xf numFmtId="0" fontId="4" fillId="0" borderId="79" xfId="0" applyNumberFormat="1" applyFont="1" applyFill="1" applyBorder="1" applyAlignment="1">
      <x:alignment vertical="top" wrapText="1"/>
    </x:xf>
    <x:xf numFmtId="0" fontId="7" fillId="0" borderId="0" xfId="0" applyNumberFormat="1" applyFont="1" applyFill="1" applyBorder="1" applyAlignment="1">
      <x:alignment wrapText="1"/>
    </x:xf>
    <x:xf numFmtId="0" fontId="7" fillId="0" borderId="0" xfId="0" applyNumberFormat="1" applyFont="1" applyFill="1" applyBorder="1" applyAlignment="1">
      <x:alignment vertical="top" wrapText="1"/>
    </x:xf>
    <x:xf numFmtId="0" fontId="0" fillId="18" borderId="0" xfId="0" applyNumberFormat="1" applyFont="1" applyFill="1" applyBorder="1"/>
    <x:xf numFmtId="0" fontId="8" fillId="18" borderId="0" xfId="0" applyNumberFormat="1" applyFont="1" applyFill="1" applyBorder="1"/>
    <x:xf numFmtId="0" fontId="8" fillId="18" borderId="80" xfId="0" applyNumberFormat="1" applyFont="1" applyFill="1" applyBorder="1"/>
    <x:xf numFmtId="0" fontId="8" fillId="18" borderId="81" xfId="0" applyNumberFormat="1" applyFont="1" applyFill="1" applyBorder="1"/>
    <x:xf numFmtId="0" fontId="8" fillId="18" borderId="82" xfId="0" applyNumberFormat="1" applyFont="1" applyFill="1" applyBorder="1"/>
    <x:xf numFmtId="0" fontId="8" fillId="18" borderId="83" xfId="0" applyNumberFormat="1" applyFont="1" applyFill="1" applyBorder="1"/>
    <x:xf numFmtId="0" fontId="8" fillId="18" borderId="84" xfId="0" applyNumberFormat="1" applyFont="1" applyFill="1" applyBorder="1"/>
    <x:xf numFmtId="0" fontId="8" fillId="18" borderId="85" xfId="0" applyNumberFormat="1" applyFont="1" applyFill="1" applyBorder="1"/>
    <x:xf numFmtId="0" fontId="8" fillId="18" borderId="80" xfId="0" applyNumberFormat="1" applyFont="1" applyFill="1" applyBorder="1" applyAlignment="1">
      <x:alignment wrapText="1"/>
    </x:xf>
    <x:xf numFmtId="0" fontId="8" fillId="18" borderId="81" xfId="0" applyNumberFormat="1" applyFont="1" applyFill="1" applyBorder="1" applyAlignment="1">
      <x:alignment wrapText="1"/>
    </x:xf>
    <x:xf numFmtId="0" fontId="8" fillId="18" borderId="82" xfId="0" applyNumberFormat="1" applyFont="1" applyFill="1" applyBorder="1" applyAlignment="1">
      <x:alignment wrapText="1"/>
    </x:xf>
    <x:xf numFmtId="0" fontId="8" fillId="18" borderId="83" xfId="0" applyNumberFormat="1" applyFont="1" applyFill="1" applyBorder="1" applyAlignment="1">
      <x:alignment wrapText="1"/>
    </x:xf>
    <x:xf numFmtId="0" fontId="8" fillId="18" borderId="84" xfId="0" applyNumberFormat="1" applyFont="1" applyFill="1" applyBorder="1" applyAlignment="1">
      <x:alignment wrapText="1"/>
    </x:xf>
    <x:xf numFmtId="0" fontId="8" fillId="18" borderId="85" xfId="0" applyNumberFormat="1" applyFont="1" applyFill="1" applyBorder="1" applyAlignment="1">
      <x:alignment wrapText="1"/>
    </x:xf>
    <x:xf numFmtId="0" fontId="8" fillId="18" borderId="80" xfId="0" applyNumberFormat="1" applyFont="1" applyFill="1" applyBorder="1" applyAlignment="1">
      <x:alignment horizontal="left" wrapText="1"/>
    </x:xf>
    <x:xf numFmtId="0" fontId="8" fillId="18" borderId="81" xfId="0" applyNumberFormat="1" applyFont="1" applyFill="1" applyBorder="1" applyAlignment="1">
      <x:alignment horizontal="left" wrapText="1"/>
    </x:xf>
    <x:xf numFmtId="0" fontId="8" fillId="18" borderId="82" xfId="0" applyNumberFormat="1" applyFont="1" applyFill="1" applyBorder="1" applyAlignment="1">
      <x:alignment horizontal="left" wrapText="1"/>
    </x:xf>
    <x:xf numFmtId="0" fontId="8" fillId="18" borderId="83" xfId="0" applyNumberFormat="1" applyFont="1" applyFill="1" applyBorder="1" applyAlignment="1">
      <x:alignment horizontal="left" wrapText="1"/>
    </x:xf>
    <x:xf numFmtId="0" fontId="8" fillId="18" borderId="84" xfId="0" applyNumberFormat="1" applyFont="1" applyFill="1" applyBorder="1" applyAlignment="1">
      <x:alignment horizontal="left" wrapText="1"/>
    </x:xf>
    <x:xf numFmtId="0" fontId="8" fillId="18" borderId="85" xfId="0" applyNumberFormat="1" applyFont="1" applyFill="1" applyBorder="1" applyAlignment="1">
      <x:alignment horizontal="left" wrapText="1"/>
    </x:xf>
    <x:xf numFmtId="0" fontId="8" fillId="18" borderId="80" xfId="0" applyNumberFormat="1" applyFont="1" applyFill="1" applyBorder="1" applyAlignment="1">
      <x:alignment horizontal="left" vertical="center" wrapText="1"/>
    </x:xf>
    <x:xf numFmtId="0" fontId="8" fillId="18" borderId="81" xfId="0" applyNumberFormat="1" applyFont="1" applyFill="1" applyBorder="1" applyAlignment="1">
      <x:alignment horizontal="left" vertical="center" wrapText="1"/>
    </x:xf>
    <x:xf numFmtId="0" fontId="8" fillId="18" borderId="82" xfId="0" applyNumberFormat="1" applyFont="1" applyFill="1" applyBorder="1" applyAlignment="1">
      <x:alignment horizontal="left" vertical="center" wrapText="1"/>
    </x:xf>
    <x:xf numFmtId="0" fontId="8" fillId="18" borderId="83" xfId="0" applyNumberFormat="1" applyFont="1" applyFill="1" applyBorder="1" applyAlignment="1">
      <x:alignment horizontal="left" vertical="center" wrapText="1"/>
    </x:xf>
    <x:xf numFmtId="0" fontId="8" fillId="18" borderId="84" xfId="0" applyNumberFormat="1" applyFont="1" applyFill="1" applyBorder="1" applyAlignment="1">
      <x:alignment horizontal="left" vertical="center" wrapText="1"/>
    </x:xf>
    <x:xf numFmtId="0" fontId="8" fillId="18" borderId="85" xfId="0" applyNumberFormat="1" applyFont="1" applyFill="1" applyBorder="1" applyAlignment="1">
      <x:alignment horizontal="left" vertical="center" wrapText="1"/>
    </x:xf>
    <x:xf numFmtId="0" fontId="0" fillId="19" borderId="0" xfId="0" applyNumberFormat="1" applyFont="1" applyFill="1" applyBorder="1"/>
    <x:xf numFmtId="0" fontId="9" fillId="19" borderId="0" xfId="0" applyNumberFormat="1" applyFont="1" applyFill="1" applyBorder="1"/>
    <x:xf numFmtId="0" fontId="9" fillId="19" borderId="86" xfId="0" applyNumberFormat="1" applyFont="1" applyFill="1" applyBorder="1"/>
    <x:xf numFmtId="0" fontId="9" fillId="19" borderId="87" xfId="0" applyNumberFormat="1" applyFont="1" applyFill="1" applyBorder="1"/>
    <x:xf numFmtId="0" fontId="9" fillId="19" borderId="88" xfId="0" applyNumberFormat="1" applyFont="1" applyFill="1" applyBorder="1"/>
    <x:xf numFmtId="0" fontId="9" fillId="19" borderId="86" xfId="0" applyNumberFormat="1" applyFont="1" applyFill="1" applyBorder="1" applyAlignment="1">
      <x:alignment wrapText="1"/>
    </x:xf>
    <x:xf numFmtId="0" fontId="9" fillId="19" borderId="87" xfId="0" applyNumberFormat="1" applyFont="1" applyFill="1" applyBorder="1" applyAlignment="1">
      <x:alignment wrapText="1"/>
    </x:xf>
    <x:xf numFmtId="0" fontId="9" fillId="19" borderId="88" xfId="0" applyNumberFormat="1" applyFont="1" applyFill="1" applyBorder="1" applyAlignment="1">
      <x:alignment wrapText="1"/>
    </x:xf>
    <x:xf numFmtId="0" fontId="9" fillId="19" borderId="86" xfId="0" applyNumberFormat="1" applyFont="1" applyFill="1" applyBorder="1" applyAlignment="1">
      <x:alignment horizontal="left" wrapText="1"/>
    </x:xf>
    <x:xf numFmtId="0" fontId="9" fillId="19" borderId="87" xfId="0" applyNumberFormat="1" applyFont="1" applyFill="1" applyBorder="1" applyAlignment="1">
      <x:alignment horizontal="left" wrapText="1"/>
    </x:xf>
    <x:xf numFmtId="0" fontId="9" fillId="19" borderId="88" xfId="0" applyNumberFormat="1" applyFont="1" applyFill="1" applyBorder="1" applyAlignment="1">
      <x:alignment horizontal="left" wrapText="1"/>
    </x:xf>
    <x:xf numFmtId="0" fontId="9" fillId="19" borderId="86" xfId="0" applyNumberFormat="1" applyFont="1" applyFill="1" applyBorder="1" applyAlignment="1">
      <x:alignment horizontal="left" vertical="center" wrapText="1"/>
    </x:xf>
    <x:xf numFmtId="0" fontId="9" fillId="19" borderId="87" xfId="0" applyNumberFormat="1" applyFont="1" applyFill="1" applyBorder="1" applyAlignment="1">
      <x:alignment horizontal="left" vertical="center" wrapText="1"/>
    </x:xf>
    <x:xf numFmtId="0" fontId="9" fillId="19" borderId="88" xfId="0" applyNumberFormat="1" applyFont="1" applyFill="1" applyBorder="1" applyAlignment="1">
      <x:alignment horizontal="left" vertical="center" wrapText="1"/>
    </x:xf>
    <x:xf numFmtId="0" fontId="9" fillId="19" borderId="86" xfId="0" applyNumberFormat="1" applyFont="1" applyFill="1" applyBorder="1" applyAlignment="1">
      <x:alignment horizontal="center" wrapText="1"/>
    </x:xf>
    <x:xf numFmtId="0" fontId="9" fillId="19" borderId="87" xfId="0" applyNumberFormat="1" applyFont="1" applyFill="1" applyBorder="1" applyAlignment="1">
      <x:alignment horizontal="center" wrapText="1"/>
    </x:xf>
    <x:xf numFmtId="0" fontId="9" fillId="19" borderId="88" xfId="0" applyNumberFormat="1" applyFont="1" applyFill="1" applyBorder="1" applyAlignment="1">
      <x:alignment horizontal="center" wrapText="1"/>
    </x:xf>
    <x:xf numFmtId="0" fontId="9" fillId="19" borderId="86" xfId="0" applyNumberFormat="1" applyFont="1" applyFill="1" applyBorder="1" applyAlignment="1">
      <x:alignment horizontal="center" vertical="center" wrapText="1"/>
    </x:xf>
    <x:xf numFmtId="0" fontId="9" fillId="19" borderId="87" xfId="0" applyNumberFormat="1" applyFont="1" applyFill="1" applyBorder="1" applyAlignment="1">
      <x:alignment horizontal="center" vertical="center" wrapText="1"/>
    </x:xf>
    <x:xf numFmtId="0" fontId="9" fillId="19" borderId="88" xfId="0" applyNumberFormat="1" applyFont="1" applyFill="1" applyBorder="1" applyAlignment="1">
      <x:alignment horizontal="center" vertical="center" wrapText="1"/>
    </x:xf>
    <x:xf numFmtId="0" fontId="9" fillId="19" borderId="86" xfId="0" applyNumberFormat="1" applyFont="1" applyFill="1" applyBorder="1" applyAlignment="1">
      <x:alignment horizontal="right" wrapText="1"/>
    </x:xf>
    <x:xf numFmtId="0" fontId="9" fillId="19" borderId="87" xfId="0" applyNumberFormat="1" applyFont="1" applyFill="1" applyBorder="1" applyAlignment="1">
      <x:alignment horizontal="right" wrapText="1"/>
    </x:xf>
    <x:xf numFmtId="0" fontId="9" fillId="19" borderId="88" xfId="0" applyNumberFormat="1" applyFont="1" applyFill="1" applyBorder="1" applyAlignment="1">
      <x:alignment horizontal="right" wrapText="1"/>
    </x:xf>
    <x:xf numFmtId="0" fontId="9" fillId="19" borderId="86" xfId="0" applyNumberFormat="1" applyFont="1" applyFill="1" applyBorder="1" applyAlignment="1">
      <x:alignment horizontal="right" vertical="center" wrapText="1"/>
    </x:xf>
    <x:xf numFmtId="0" fontId="9" fillId="19" borderId="87" xfId="0" applyNumberFormat="1" applyFont="1" applyFill="1" applyBorder="1" applyAlignment="1">
      <x:alignment horizontal="right" vertical="center" wrapText="1"/>
    </x:xf>
    <x:xf numFmtId="0" fontId="9" fillId="19" borderId="88" xfId="0" applyNumberFormat="1" applyFont="1" applyFill="1" applyBorder="1" applyAlignment="1">
      <x:alignment horizontal="right" vertical="center" wrapText="1"/>
    </x:xf>
    <x:xf numFmtId="0" fontId="3" fillId="18" borderId="0" xfId="0" applyNumberFormat="1" applyFont="1" applyFill="1" applyBorder="1"/>
    <x:xf numFmtId="0" fontId="3" fillId="18" borderId="86" xfId="0" applyNumberFormat="1" applyFont="1" applyFill="1" applyBorder="1"/>
    <x:xf numFmtId="0" fontId="3" fillId="18" borderId="87" xfId="0" applyNumberFormat="1" applyFont="1" applyFill="1" applyBorder="1"/>
    <x:xf numFmtId="0" fontId="3" fillId="18" borderId="88" xfId="0" applyNumberFormat="1" applyFont="1" applyFill="1" applyBorder="1"/>
    <x:xf numFmtId="0" fontId="3" fillId="18" borderId="86" xfId="0" applyNumberFormat="1" applyFont="1" applyFill="1" applyBorder="1" applyAlignment="1">
      <x:alignment wrapText="1"/>
    </x:xf>
    <x:xf numFmtId="0" fontId="3" fillId="18" borderId="87" xfId="0" applyNumberFormat="1" applyFont="1" applyFill="1" applyBorder="1" applyAlignment="1">
      <x:alignment wrapText="1"/>
    </x:xf>
    <x:xf numFmtId="0" fontId="3" fillId="18" borderId="88" xfId="0" applyNumberFormat="1" applyFont="1" applyFill="1" applyBorder="1" applyAlignment="1">
      <x:alignment wrapText="1"/>
    </x:xf>
    <x:xf numFmtId="0" fontId="3" fillId="18" borderId="86" xfId="0" applyNumberFormat="1" applyFont="1" applyFill="1" applyBorder="1" applyAlignment="1">
      <x:alignment horizontal="center" wrapText="1"/>
    </x:xf>
    <x:xf numFmtId="0" fontId="3" fillId="18" borderId="87" xfId="0" applyNumberFormat="1" applyFont="1" applyFill="1" applyBorder="1" applyAlignment="1">
      <x:alignment horizontal="center" wrapText="1"/>
    </x:xf>
    <x:xf numFmtId="0" fontId="3" fillId="18" borderId="88" xfId="0" applyNumberFormat="1" applyFont="1" applyFill="1" applyBorder="1" applyAlignment="1">
      <x:alignment horizontal="center" wrapText="1"/>
    </x:xf>
    <x:xf numFmtId="0" fontId="3" fillId="18" borderId="86" xfId="0" applyNumberFormat="1" applyFont="1" applyFill="1" applyBorder="1" applyAlignment="1">
      <x:alignment horizontal="center" vertical="center" wrapText="1"/>
    </x:xf>
    <x:xf numFmtId="0" fontId="3" fillId="18" borderId="87" xfId="0" applyNumberFormat="1" applyFont="1" applyFill="1" applyBorder="1" applyAlignment="1">
      <x:alignment horizontal="center" vertical="center" wrapText="1"/>
    </x:xf>
    <x:xf numFmtId="0" fontId="3" fillId="18" borderId="88" xfId="0" applyNumberFormat="1" applyFont="1" applyFill="1" applyBorder="1" applyAlignment="1">
      <x:alignment horizontal="center" vertical="center" wrapText="1"/>
    </x:xf>
    <x:xf numFmtId="0" fontId="0" fillId="20" borderId="0" xfId="0" applyNumberFormat="1" applyFont="1" applyFill="1" applyBorder="1"/>
    <x:xf numFmtId="0" fontId="10" fillId="20" borderId="0" xfId="0" applyNumberFormat="1" applyFont="1" applyFill="1" applyBorder="1"/>
    <x:xf numFmtId="0" fontId="10" fillId="20" borderId="80" xfId="0" applyNumberFormat="1" applyFont="1" applyFill="1" applyBorder="1"/>
    <x:xf numFmtId="0" fontId="10" fillId="20" borderId="81" xfId="0" applyNumberFormat="1" applyFont="1" applyFill="1" applyBorder="1"/>
    <x:xf numFmtId="0" fontId="10" fillId="20" borderId="82" xfId="0" applyNumberFormat="1" applyFont="1" applyFill="1" applyBorder="1"/>
    <x:xf numFmtId="0" fontId="10" fillId="20" borderId="83" xfId="0" applyNumberFormat="1" applyFont="1" applyFill="1" applyBorder="1"/>
    <x:xf numFmtId="0" fontId="10" fillId="20" borderId="84" xfId="0" applyNumberFormat="1" applyFont="1" applyFill="1" applyBorder="1"/>
    <x:xf numFmtId="0" fontId="10" fillId="20" borderId="85" xfId="0" applyNumberFormat="1" applyFont="1" applyFill="1" applyBorder="1"/>
    <x:xf numFmtId="0" fontId="10" fillId="20" borderId="80" xfId="0" applyNumberFormat="1" applyFont="1" applyFill="1" applyBorder="1" applyAlignment="1">
      <x:alignment wrapText="1"/>
    </x:xf>
    <x:xf numFmtId="0" fontId="10" fillId="20" borderId="81" xfId="0" applyNumberFormat="1" applyFont="1" applyFill="1" applyBorder="1" applyAlignment="1">
      <x:alignment wrapText="1"/>
    </x:xf>
    <x:xf numFmtId="0" fontId="10" fillId="20" borderId="82" xfId="0" applyNumberFormat="1" applyFont="1" applyFill="1" applyBorder="1" applyAlignment="1">
      <x:alignment wrapText="1"/>
    </x:xf>
    <x:xf numFmtId="0" fontId="10" fillId="20" borderId="83" xfId="0" applyNumberFormat="1" applyFont="1" applyFill="1" applyBorder="1" applyAlignment="1">
      <x:alignment wrapText="1"/>
    </x:xf>
    <x:xf numFmtId="0" fontId="10" fillId="20" borderId="84" xfId="0" applyNumberFormat="1" applyFont="1" applyFill="1" applyBorder="1" applyAlignment="1">
      <x:alignment wrapText="1"/>
    </x:xf>
    <x:xf numFmtId="0" fontId="10" fillId="20" borderId="85" xfId="0" applyNumberFormat="1" applyFont="1" applyFill="1" applyBorder="1" applyAlignment="1">
      <x:alignment wrapText="1"/>
    </x:xf>
    <x:xf numFmtId="0" fontId="10" fillId="20" borderId="80" xfId="0" applyNumberFormat="1" applyFont="1" applyFill="1" applyBorder="1" applyAlignment="1">
      <x:alignment horizontal="center" wrapText="1"/>
    </x:xf>
    <x:xf numFmtId="0" fontId="10" fillId="20" borderId="81" xfId="0" applyNumberFormat="1" applyFont="1" applyFill="1" applyBorder="1" applyAlignment="1">
      <x:alignment horizontal="center" wrapText="1"/>
    </x:xf>
    <x:xf numFmtId="0" fontId="10" fillId="20" borderId="82" xfId="0" applyNumberFormat="1" applyFont="1" applyFill="1" applyBorder="1" applyAlignment="1">
      <x:alignment horizontal="center" wrapText="1"/>
    </x:xf>
    <x:xf numFmtId="0" fontId="10" fillId="20" borderId="83" xfId="0" applyNumberFormat="1" applyFont="1" applyFill="1" applyBorder="1" applyAlignment="1">
      <x:alignment horizontal="center" wrapText="1"/>
    </x:xf>
    <x:xf numFmtId="0" fontId="10" fillId="20" borderId="84" xfId="0" applyNumberFormat="1" applyFont="1" applyFill="1" applyBorder="1" applyAlignment="1">
      <x:alignment horizontal="center" wrapText="1"/>
    </x:xf>
    <x:xf numFmtId="0" fontId="10" fillId="20" borderId="85" xfId="0" applyNumberFormat="1" applyFont="1" applyFill="1" applyBorder="1" applyAlignment="1">
      <x:alignment horizontal="center" wrapText="1"/>
    </x:xf>
    <x:xf numFmtId="0" fontId="10" fillId="20" borderId="80" xfId="0" applyNumberFormat="1" applyFont="1" applyFill="1" applyBorder="1" applyAlignment="1">
      <x:alignment horizontal="center" vertical="center" wrapText="1"/>
    </x:xf>
    <x:xf numFmtId="0" fontId="10" fillId="20" borderId="81" xfId="0" applyNumberFormat="1" applyFont="1" applyFill="1" applyBorder="1" applyAlignment="1">
      <x:alignment horizontal="center" vertical="center" wrapText="1"/>
    </x:xf>
    <x:xf numFmtId="0" fontId="10" fillId="20" borderId="82" xfId="0" applyNumberFormat="1" applyFont="1" applyFill="1" applyBorder="1" applyAlignment="1">
      <x:alignment horizontal="center" vertical="center" wrapText="1"/>
    </x:xf>
    <x:xf numFmtId="0" fontId="10" fillId="20" borderId="83" xfId="0" applyNumberFormat="1" applyFont="1" applyFill="1" applyBorder="1" applyAlignment="1">
      <x:alignment horizontal="center" vertical="center" wrapText="1"/>
    </x:xf>
    <x:xf numFmtId="0" fontId="10" fillId="20" borderId="84" xfId="0" applyNumberFormat="1" applyFont="1" applyFill="1" applyBorder="1" applyAlignment="1">
      <x:alignment horizontal="center" vertical="center" wrapText="1"/>
    </x:xf>
    <x:xf numFmtId="0" fontId="10" fillId="20" borderId="85" xfId="0" applyNumberFormat="1" applyFont="1" applyFill="1" applyBorder="1" applyAlignment="1">
      <x:alignment horizontal="center" vertical="center" wrapText="1"/>
    </x:xf>
    <x:xf numFmtId="0" fontId="11" fillId="20" borderId="0" xfId="0" applyNumberFormat="1" applyFont="1" applyFill="1" applyBorder="1"/>
    <x:xf numFmtId="0" fontId="11" fillId="20" borderId="86" xfId="0" applyNumberFormat="1" applyFont="1" applyFill="1" applyBorder="1"/>
    <x:xf numFmtId="0" fontId="11" fillId="20" borderId="87" xfId="0" applyNumberFormat="1" applyFont="1" applyFill="1" applyBorder="1"/>
    <x:xf numFmtId="0" fontId="11" fillId="20" borderId="88" xfId="0" applyNumberFormat="1" applyFont="1" applyFill="1" applyBorder="1"/>
    <x:xf numFmtId="0" fontId="11" fillId="20" borderId="86" xfId="0" applyNumberFormat="1" applyFont="1" applyFill="1" applyBorder="1" applyAlignment="1">
      <x:alignment wrapText="1"/>
    </x:xf>
    <x:xf numFmtId="0" fontId="11" fillId="20" borderId="87" xfId="0" applyNumberFormat="1" applyFont="1" applyFill="1" applyBorder="1" applyAlignment="1">
      <x:alignment wrapText="1"/>
    </x:xf>
    <x:xf numFmtId="0" fontId="11" fillId="20" borderId="88" xfId="0" applyNumberFormat="1" applyFont="1" applyFill="1" applyBorder="1" applyAlignment="1">
      <x:alignment wrapText="1"/>
    </x:xf>
    <x:xf numFmtId="0" fontId="11" fillId="20" borderId="86" xfId="0" applyNumberFormat="1" applyFont="1" applyFill="1" applyBorder="1" applyAlignment="1">
      <x:alignment horizontal="center" wrapText="1"/>
    </x:xf>
    <x:xf numFmtId="0" fontId="11" fillId="20" borderId="87" xfId="0" applyNumberFormat="1" applyFont="1" applyFill="1" applyBorder="1" applyAlignment="1">
      <x:alignment horizontal="center" wrapText="1"/>
    </x:xf>
    <x:xf numFmtId="0" fontId="11" fillId="20" borderId="88" xfId="0" applyNumberFormat="1" applyFont="1" applyFill="1" applyBorder="1" applyAlignment="1">
      <x:alignment horizontal="center" wrapText="1"/>
    </x:xf>
    <x:xf numFmtId="0" fontId="11" fillId="20" borderId="86" xfId="0" applyNumberFormat="1" applyFont="1" applyFill="1" applyBorder="1" applyAlignment="1">
      <x:alignment horizontal="center" vertical="center" wrapText="1"/>
    </x:xf>
    <x:xf numFmtId="0" fontId="11" fillId="20" borderId="87" xfId="0" applyNumberFormat="1" applyFont="1" applyFill="1" applyBorder="1" applyAlignment="1">
      <x:alignment horizontal="center" vertical="center" wrapText="1"/>
    </x:xf>
    <x:xf numFmtId="0" fontId="11" fillId="20" borderId="88" xfId="0" applyNumberFormat="1" applyFont="1" applyFill="1" applyBorder="1" applyAlignment="1">
      <x:alignment horizontal="center" vertical="center" wrapText="1"/>
    </x:xf>
    <x:xf numFmtId="0" fontId="0" fillId="21" borderId="0" xfId="0" applyNumberFormat="1" applyFont="1" applyFill="1" applyBorder="1"/>
    <x:xf numFmtId="0" fontId="10" fillId="21" borderId="0" xfId="0" applyNumberFormat="1" applyFont="1" applyFill="1" applyBorder="1"/>
    <x:xf numFmtId="0" fontId="10" fillId="21" borderId="80" xfId="0" applyNumberFormat="1" applyFont="1" applyFill="1" applyBorder="1"/>
    <x:xf numFmtId="0" fontId="10" fillId="21" borderId="81" xfId="0" applyNumberFormat="1" applyFont="1" applyFill="1" applyBorder="1"/>
    <x:xf numFmtId="0" fontId="10" fillId="21" borderId="82" xfId="0" applyNumberFormat="1" applyFont="1" applyFill="1" applyBorder="1"/>
    <x:xf numFmtId="0" fontId="10" fillId="21" borderId="83" xfId="0" applyNumberFormat="1" applyFont="1" applyFill="1" applyBorder="1"/>
    <x:xf numFmtId="0" fontId="10" fillId="21" borderId="84" xfId="0" applyNumberFormat="1" applyFont="1" applyFill="1" applyBorder="1"/>
    <x:xf numFmtId="0" fontId="10" fillId="21" borderId="85" xfId="0" applyNumberFormat="1" applyFont="1" applyFill="1" applyBorder="1"/>
    <x:xf numFmtId="0" fontId="10" fillId="21" borderId="80" xfId="0" applyNumberFormat="1" applyFont="1" applyFill="1" applyBorder="1" applyAlignment="1">
      <x:alignment wrapText="1"/>
    </x:xf>
    <x:xf numFmtId="0" fontId="10" fillId="21" borderId="81" xfId="0" applyNumberFormat="1" applyFont="1" applyFill="1" applyBorder="1" applyAlignment="1">
      <x:alignment wrapText="1"/>
    </x:xf>
    <x:xf numFmtId="0" fontId="10" fillId="21" borderId="82" xfId="0" applyNumberFormat="1" applyFont="1" applyFill="1" applyBorder="1" applyAlignment="1">
      <x:alignment wrapText="1"/>
    </x:xf>
    <x:xf numFmtId="0" fontId="10" fillId="21" borderId="83" xfId="0" applyNumberFormat="1" applyFont="1" applyFill="1" applyBorder="1" applyAlignment="1">
      <x:alignment wrapText="1"/>
    </x:xf>
    <x:xf numFmtId="0" fontId="10" fillId="21" borderId="84" xfId="0" applyNumberFormat="1" applyFont="1" applyFill="1" applyBorder="1" applyAlignment="1">
      <x:alignment wrapText="1"/>
    </x:xf>
    <x:xf numFmtId="0" fontId="10" fillId="21" borderId="85" xfId="0" applyNumberFormat="1" applyFont="1" applyFill="1" applyBorder="1" applyAlignment="1">
      <x:alignment wrapText="1"/>
    </x:xf>
    <x:xf numFmtId="0" fontId="10" fillId="21" borderId="80" xfId="0" applyNumberFormat="1" applyFont="1" applyFill="1" applyBorder="1" applyAlignment="1">
      <x:alignment horizontal="center" wrapText="1"/>
    </x:xf>
    <x:xf numFmtId="0" fontId="10" fillId="21" borderId="81" xfId="0" applyNumberFormat="1" applyFont="1" applyFill="1" applyBorder="1" applyAlignment="1">
      <x:alignment horizontal="center" wrapText="1"/>
    </x:xf>
    <x:xf numFmtId="0" fontId="10" fillId="21" borderId="82" xfId="0" applyNumberFormat="1" applyFont="1" applyFill="1" applyBorder="1" applyAlignment="1">
      <x:alignment horizontal="center" wrapText="1"/>
    </x:xf>
    <x:xf numFmtId="0" fontId="10" fillId="21" borderId="83" xfId="0" applyNumberFormat="1" applyFont="1" applyFill="1" applyBorder="1" applyAlignment="1">
      <x:alignment horizontal="center" wrapText="1"/>
    </x:xf>
    <x:xf numFmtId="0" fontId="10" fillId="21" borderId="84" xfId="0" applyNumberFormat="1" applyFont="1" applyFill="1" applyBorder="1" applyAlignment="1">
      <x:alignment horizontal="center" wrapText="1"/>
    </x:xf>
    <x:xf numFmtId="0" fontId="10" fillId="21" borderId="85" xfId="0" applyNumberFormat="1" applyFont="1" applyFill="1" applyBorder="1" applyAlignment="1">
      <x:alignment horizontal="center" wrapText="1"/>
    </x:xf>
    <x:xf numFmtId="0" fontId="10" fillId="21" borderId="80" xfId="0" applyNumberFormat="1" applyFont="1" applyFill="1" applyBorder="1" applyAlignment="1">
      <x:alignment horizontal="center" vertical="center" wrapText="1"/>
    </x:xf>
    <x:xf numFmtId="0" fontId="10" fillId="21" borderId="81" xfId="0" applyNumberFormat="1" applyFont="1" applyFill="1" applyBorder="1" applyAlignment="1">
      <x:alignment horizontal="center" vertical="center" wrapText="1"/>
    </x:xf>
    <x:xf numFmtId="0" fontId="10" fillId="21" borderId="82" xfId="0" applyNumberFormat="1" applyFont="1" applyFill="1" applyBorder="1" applyAlignment="1">
      <x:alignment horizontal="center" vertical="center" wrapText="1"/>
    </x:xf>
    <x:xf numFmtId="0" fontId="10" fillId="21" borderId="83" xfId="0" applyNumberFormat="1" applyFont="1" applyFill="1" applyBorder="1" applyAlignment="1">
      <x:alignment horizontal="center" vertical="center" wrapText="1"/>
    </x:xf>
    <x:xf numFmtId="0" fontId="10" fillId="21" borderId="84" xfId="0" applyNumberFormat="1" applyFont="1" applyFill="1" applyBorder="1" applyAlignment="1">
      <x:alignment horizontal="center" vertical="center" wrapText="1"/>
    </x:xf>
    <x:xf numFmtId="0" fontId="10" fillId="21" borderId="85" xfId="0" applyNumberFormat="1" applyFont="1" applyFill="1" applyBorder="1" applyAlignment="1">
      <x:alignment horizontal="center" vertical="center" wrapText="1"/>
    </x:xf>
    <x:xf numFmtId="0" fontId="11" fillId="21" borderId="0" xfId="0" applyNumberFormat="1" applyFont="1" applyFill="1" applyBorder="1"/>
    <x:xf numFmtId="0" fontId="11" fillId="21" borderId="86" xfId="0" applyNumberFormat="1" applyFont="1" applyFill="1" applyBorder="1"/>
    <x:xf numFmtId="0" fontId="11" fillId="21" borderId="87" xfId="0" applyNumberFormat="1" applyFont="1" applyFill="1" applyBorder="1"/>
    <x:xf numFmtId="0" fontId="11" fillId="21" borderId="88" xfId="0" applyNumberFormat="1" applyFont="1" applyFill="1" applyBorder="1"/>
    <x:xf numFmtId="0" fontId="11" fillId="21" borderId="86" xfId="0" applyNumberFormat="1" applyFont="1" applyFill="1" applyBorder="1" applyAlignment="1">
      <x:alignment wrapText="1"/>
    </x:xf>
    <x:xf numFmtId="0" fontId="11" fillId="21" borderId="87" xfId="0" applyNumberFormat="1" applyFont="1" applyFill="1" applyBorder="1" applyAlignment="1">
      <x:alignment wrapText="1"/>
    </x:xf>
    <x:xf numFmtId="0" fontId="11" fillId="21" borderId="88" xfId="0" applyNumberFormat="1" applyFont="1" applyFill="1" applyBorder="1" applyAlignment="1">
      <x:alignment wrapText="1"/>
    </x:xf>
    <x:xf numFmtId="0" fontId="11" fillId="21" borderId="86" xfId="0" applyNumberFormat="1" applyFont="1" applyFill="1" applyBorder="1" applyAlignment="1">
      <x:alignment horizontal="center" wrapText="1"/>
    </x:xf>
    <x:xf numFmtId="0" fontId="11" fillId="21" borderId="87" xfId="0" applyNumberFormat="1" applyFont="1" applyFill="1" applyBorder="1" applyAlignment="1">
      <x:alignment horizontal="center" wrapText="1"/>
    </x:xf>
    <x:xf numFmtId="0" fontId="11" fillId="21" borderId="88" xfId="0" applyNumberFormat="1" applyFont="1" applyFill="1" applyBorder="1" applyAlignment="1">
      <x:alignment horizontal="center" wrapText="1"/>
    </x:xf>
    <x:xf numFmtId="0" fontId="11" fillId="21" borderId="86" xfId="0" applyNumberFormat="1" applyFont="1" applyFill="1" applyBorder="1" applyAlignment="1">
      <x:alignment horizontal="center" vertical="center" wrapText="1"/>
    </x:xf>
    <x:xf numFmtId="0" fontId="11" fillId="21" borderId="87" xfId="0" applyNumberFormat="1" applyFont="1" applyFill="1" applyBorder="1" applyAlignment="1">
      <x:alignment horizontal="center" vertical="center" wrapText="1"/>
    </x:xf>
    <x:xf numFmtId="0" fontId="11" fillId="21" borderId="88" xfId="0" applyNumberFormat="1" applyFont="1" applyFill="1" applyBorder="1" applyAlignment="1">
      <x:alignment horizontal="center" vertical="center" wrapText="1"/>
    </x:xf>
    <x:xf numFmtId="0" fontId="0" fillId="22" borderId="0" xfId="0" applyNumberFormat="1" applyFont="1" applyFill="1" applyBorder="1"/>
    <x:xf numFmtId="0" fontId="10" fillId="22" borderId="0" xfId="0" applyNumberFormat="1" applyFont="1" applyFill="1" applyBorder="1"/>
    <x:xf numFmtId="0" fontId="10" fillId="22" borderId="80" xfId="0" applyNumberFormat="1" applyFont="1" applyFill="1" applyBorder="1"/>
    <x:xf numFmtId="0" fontId="10" fillId="22" borderId="81" xfId="0" applyNumberFormat="1" applyFont="1" applyFill="1" applyBorder="1"/>
    <x:xf numFmtId="0" fontId="10" fillId="22" borderId="82" xfId="0" applyNumberFormat="1" applyFont="1" applyFill="1" applyBorder="1"/>
    <x:xf numFmtId="0" fontId="10" fillId="22" borderId="83" xfId="0" applyNumberFormat="1" applyFont="1" applyFill="1" applyBorder="1"/>
    <x:xf numFmtId="0" fontId="10" fillId="22" borderId="84" xfId="0" applyNumberFormat="1" applyFont="1" applyFill="1" applyBorder="1"/>
    <x:xf numFmtId="0" fontId="10" fillId="22" borderId="85" xfId="0" applyNumberFormat="1" applyFont="1" applyFill="1" applyBorder="1"/>
    <x:xf numFmtId="0" fontId="10" fillId="22" borderId="80" xfId="0" applyNumberFormat="1" applyFont="1" applyFill="1" applyBorder="1" applyAlignment="1">
      <x:alignment wrapText="1"/>
    </x:xf>
    <x:xf numFmtId="0" fontId="10" fillId="22" borderId="81" xfId="0" applyNumberFormat="1" applyFont="1" applyFill="1" applyBorder="1" applyAlignment="1">
      <x:alignment wrapText="1"/>
    </x:xf>
    <x:xf numFmtId="0" fontId="10" fillId="22" borderId="82" xfId="0" applyNumberFormat="1" applyFont="1" applyFill="1" applyBorder="1" applyAlignment="1">
      <x:alignment wrapText="1"/>
    </x:xf>
    <x:xf numFmtId="0" fontId="10" fillId="22" borderId="83" xfId="0" applyNumberFormat="1" applyFont="1" applyFill="1" applyBorder="1" applyAlignment="1">
      <x:alignment wrapText="1"/>
    </x:xf>
    <x:xf numFmtId="0" fontId="10" fillId="22" borderId="84" xfId="0" applyNumberFormat="1" applyFont="1" applyFill="1" applyBorder="1" applyAlignment="1">
      <x:alignment wrapText="1"/>
    </x:xf>
    <x:xf numFmtId="0" fontId="10" fillId="22" borderId="85" xfId="0" applyNumberFormat="1" applyFont="1" applyFill="1" applyBorder="1" applyAlignment="1">
      <x:alignment wrapText="1"/>
    </x:xf>
    <x:xf numFmtId="0" fontId="10" fillId="22" borderId="80" xfId="0" applyNumberFormat="1" applyFont="1" applyFill="1" applyBorder="1" applyAlignment="1">
      <x:alignment horizontal="center" wrapText="1"/>
    </x:xf>
    <x:xf numFmtId="0" fontId="10" fillId="22" borderId="81" xfId="0" applyNumberFormat="1" applyFont="1" applyFill="1" applyBorder="1" applyAlignment="1">
      <x:alignment horizontal="center" wrapText="1"/>
    </x:xf>
    <x:xf numFmtId="0" fontId="10" fillId="22" borderId="82" xfId="0" applyNumberFormat="1" applyFont="1" applyFill="1" applyBorder="1" applyAlignment="1">
      <x:alignment horizontal="center" wrapText="1"/>
    </x:xf>
    <x:xf numFmtId="0" fontId="10" fillId="22" borderId="83" xfId="0" applyNumberFormat="1" applyFont="1" applyFill="1" applyBorder="1" applyAlignment="1">
      <x:alignment horizontal="center" wrapText="1"/>
    </x:xf>
    <x:xf numFmtId="0" fontId="10" fillId="22" borderId="84" xfId="0" applyNumberFormat="1" applyFont="1" applyFill="1" applyBorder="1" applyAlignment="1">
      <x:alignment horizontal="center" wrapText="1"/>
    </x:xf>
    <x:xf numFmtId="0" fontId="10" fillId="22" borderId="85" xfId="0" applyNumberFormat="1" applyFont="1" applyFill="1" applyBorder="1" applyAlignment="1">
      <x:alignment horizontal="center" wrapText="1"/>
    </x:xf>
    <x:xf numFmtId="0" fontId="10" fillId="22" borderId="80" xfId="0" applyNumberFormat="1" applyFont="1" applyFill="1" applyBorder="1" applyAlignment="1">
      <x:alignment horizontal="center" vertical="center" wrapText="1"/>
    </x:xf>
    <x:xf numFmtId="0" fontId="10" fillId="22" borderId="81" xfId="0" applyNumberFormat="1" applyFont="1" applyFill="1" applyBorder="1" applyAlignment="1">
      <x:alignment horizontal="center" vertical="center" wrapText="1"/>
    </x:xf>
    <x:xf numFmtId="0" fontId="10" fillId="22" borderId="82" xfId="0" applyNumberFormat="1" applyFont="1" applyFill="1" applyBorder="1" applyAlignment="1">
      <x:alignment horizontal="center" vertical="center" wrapText="1"/>
    </x:xf>
    <x:xf numFmtId="0" fontId="10" fillId="22" borderId="83" xfId="0" applyNumberFormat="1" applyFont="1" applyFill="1" applyBorder="1" applyAlignment="1">
      <x:alignment horizontal="center" vertical="center" wrapText="1"/>
    </x:xf>
    <x:xf numFmtId="0" fontId="10" fillId="22" borderId="84" xfId="0" applyNumberFormat="1" applyFont="1" applyFill="1" applyBorder="1" applyAlignment="1">
      <x:alignment horizontal="center" vertical="center" wrapText="1"/>
    </x:xf>
    <x:xf numFmtId="0" fontId="10" fillId="22" borderId="85" xfId="0" applyNumberFormat="1" applyFont="1" applyFill="1" applyBorder="1" applyAlignment="1">
      <x:alignment horizontal="center" vertical="center" wrapText="1"/>
    </x:xf>
    <x:xf numFmtId="0" fontId="11" fillId="22" borderId="0" xfId="0" applyNumberFormat="1" applyFont="1" applyFill="1" applyBorder="1"/>
    <x:xf numFmtId="0" fontId="11" fillId="22" borderId="86" xfId="0" applyNumberFormat="1" applyFont="1" applyFill="1" applyBorder="1"/>
    <x:xf numFmtId="0" fontId="11" fillId="22" borderId="87" xfId="0" applyNumberFormat="1" applyFont="1" applyFill="1" applyBorder="1"/>
    <x:xf numFmtId="0" fontId="11" fillId="22" borderId="88" xfId="0" applyNumberFormat="1" applyFont="1" applyFill="1" applyBorder="1"/>
    <x:xf numFmtId="0" fontId="11" fillId="22" borderId="86" xfId="0" applyNumberFormat="1" applyFont="1" applyFill="1" applyBorder="1" applyAlignment="1">
      <x:alignment wrapText="1"/>
    </x:xf>
    <x:xf numFmtId="0" fontId="11" fillId="22" borderId="87" xfId="0" applyNumberFormat="1" applyFont="1" applyFill="1" applyBorder="1" applyAlignment="1">
      <x:alignment wrapText="1"/>
    </x:xf>
    <x:xf numFmtId="0" fontId="11" fillId="22" borderId="88" xfId="0" applyNumberFormat="1" applyFont="1" applyFill="1" applyBorder="1" applyAlignment="1">
      <x:alignment wrapText="1"/>
    </x:xf>
    <x:xf numFmtId="0" fontId="11" fillId="22" borderId="86" xfId="0" applyNumberFormat="1" applyFont="1" applyFill="1" applyBorder="1" applyAlignment="1">
      <x:alignment horizontal="center" wrapText="1"/>
    </x:xf>
    <x:xf numFmtId="0" fontId="11" fillId="22" borderId="87" xfId="0" applyNumberFormat="1" applyFont="1" applyFill="1" applyBorder="1" applyAlignment="1">
      <x:alignment horizontal="center" wrapText="1"/>
    </x:xf>
    <x:xf numFmtId="0" fontId="11" fillId="22" borderId="88" xfId="0" applyNumberFormat="1" applyFont="1" applyFill="1" applyBorder="1" applyAlignment="1">
      <x:alignment horizontal="center" wrapText="1"/>
    </x:xf>
    <x:xf numFmtId="0" fontId="11" fillId="22" borderId="86" xfId="0" applyNumberFormat="1" applyFont="1" applyFill="1" applyBorder="1" applyAlignment="1">
      <x:alignment horizontal="center" vertical="center" wrapText="1"/>
    </x:xf>
    <x:xf numFmtId="0" fontId="11" fillId="22" borderId="87" xfId="0" applyNumberFormat="1" applyFont="1" applyFill="1" applyBorder="1" applyAlignment="1">
      <x:alignment horizontal="center" vertical="center" wrapText="1"/>
    </x:xf>
    <x:xf numFmtId="0" fontId="11" fillId="22" borderId="88" xfId="0" applyNumberFormat="1" applyFont="1" applyFill="1" applyBorder="1" applyAlignment="1">
      <x:alignment horizontal="center" vertical="center" wrapText="1"/>
    </x:xf>
    <x:xf numFmtId="0" fontId="0" fillId="23" borderId="0" xfId="0" applyNumberFormat="1" applyFont="1" applyFill="1" applyBorder="1"/>
    <x:xf numFmtId="0" fontId="10" fillId="23" borderId="0" xfId="0" applyNumberFormat="1" applyFont="1" applyFill="1" applyBorder="1"/>
    <x:xf numFmtId="0" fontId="10" fillId="23" borderId="80" xfId="0" applyNumberFormat="1" applyFont="1" applyFill="1" applyBorder="1"/>
    <x:xf numFmtId="0" fontId="10" fillId="23" borderId="81" xfId="0" applyNumberFormat="1" applyFont="1" applyFill="1" applyBorder="1"/>
    <x:xf numFmtId="0" fontId="10" fillId="23" borderId="82" xfId="0" applyNumberFormat="1" applyFont="1" applyFill="1" applyBorder="1"/>
    <x:xf numFmtId="0" fontId="10" fillId="23" borderId="83" xfId="0" applyNumberFormat="1" applyFont="1" applyFill="1" applyBorder="1"/>
    <x:xf numFmtId="0" fontId="10" fillId="23" borderId="84" xfId="0" applyNumberFormat="1" applyFont="1" applyFill="1" applyBorder="1"/>
    <x:xf numFmtId="0" fontId="10" fillId="23" borderId="85" xfId="0" applyNumberFormat="1" applyFont="1" applyFill="1" applyBorder="1"/>
    <x:xf numFmtId="0" fontId="10" fillId="23" borderId="80" xfId="0" applyNumberFormat="1" applyFont="1" applyFill="1" applyBorder="1" applyAlignment="1">
      <x:alignment wrapText="1"/>
    </x:xf>
    <x:xf numFmtId="0" fontId="10" fillId="23" borderId="81" xfId="0" applyNumberFormat="1" applyFont="1" applyFill="1" applyBorder="1" applyAlignment="1">
      <x:alignment wrapText="1"/>
    </x:xf>
    <x:xf numFmtId="0" fontId="10" fillId="23" borderId="82" xfId="0" applyNumberFormat="1" applyFont="1" applyFill="1" applyBorder="1" applyAlignment="1">
      <x:alignment wrapText="1"/>
    </x:xf>
    <x:xf numFmtId="0" fontId="10" fillId="23" borderId="83" xfId="0" applyNumberFormat="1" applyFont="1" applyFill="1" applyBorder="1" applyAlignment="1">
      <x:alignment wrapText="1"/>
    </x:xf>
    <x:xf numFmtId="0" fontId="10" fillId="23" borderId="84" xfId="0" applyNumberFormat="1" applyFont="1" applyFill="1" applyBorder="1" applyAlignment="1">
      <x:alignment wrapText="1"/>
    </x:xf>
    <x:xf numFmtId="0" fontId="10" fillId="23" borderId="85" xfId="0" applyNumberFormat="1" applyFont="1" applyFill="1" applyBorder="1" applyAlignment="1">
      <x:alignment wrapText="1"/>
    </x:xf>
    <x:xf numFmtId="0" fontId="10" fillId="23" borderId="80" xfId="0" applyNumberFormat="1" applyFont="1" applyFill="1" applyBorder="1" applyAlignment="1">
      <x:alignment horizontal="center" wrapText="1"/>
    </x:xf>
    <x:xf numFmtId="0" fontId="10" fillId="23" borderId="81" xfId="0" applyNumberFormat="1" applyFont="1" applyFill="1" applyBorder="1" applyAlignment="1">
      <x:alignment horizontal="center" wrapText="1"/>
    </x:xf>
    <x:xf numFmtId="0" fontId="10" fillId="23" borderId="82" xfId="0" applyNumberFormat="1" applyFont="1" applyFill="1" applyBorder="1" applyAlignment="1">
      <x:alignment horizontal="center" wrapText="1"/>
    </x:xf>
    <x:xf numFmtId="0" fontId="10" fillId="23" borderId="83" xfId="0" applyNumberFormat="1" applyFont="1" applyFill="1" applyBorder="1" applyAlignment="1">
      <x:alignment horizontal="center" wrapText="1"/>
    </x:xf>
    <x:xf numFmtId="0" fontId="10" fillId="23" borderId="84" xfId="0" applyNumberFormat="1" applyFont="1" applyFill="1" applyBorder="1" applyAlignment="1">
      <x:alignment horizontal="center" wrapText="1"/>
    </x:xf>
    <x:xf numFmtId="0" fontId="10" fillId="23" borderId="85" xfId="0" applyNumberFormat="1" applyFont="1" applyFill="1" applyBorder="1" applyAlignment="1">
      <x:alignment horizontal="center" wrapText="1"/>
    </x:xf>
    <x:xf numFmtId="0" fontId="10" fillId="23" borderId="80" xfId="0" applyNumberFormat="1" applyFont="1" applyFill="1" applyBorder="1" applyAlignment="1">
      <x:alignment horizontal="center" vertical="center" wrapText="1"/>
    </x:xf>
    <x:xf numFmtId="0" fontId="10" fillId="23" borderId="81" xfId="0" applyNumberFormat="1" applyFont="1" applyFill="1" applyBorder="1" applyAlignment="1">
      <x:alignment horizontal="center" vertical="center" wrapText="1"/>
    </x:xf>
    <x:xf numFmtId="0" fontId="10" fillId="23" borderId="82" xfId="0" applyNumberFormat="1" applyFont="1" applyFill="1" applyBorder="1" applyAlignment="1">
      <x:alignment horizontal="center" vertical="center" wrapText="1"/>
    </x:xf>
    <x:xf numFmtId="0" fontId="10" fillId="23" borderId="83" xfId="0" applyNumberFormat="1" applyFont="1" applyFill="1" applyBorder="1" applyAlignment="1">
      <x:alignment horizontal="center" vertical="center" wrapText="1"/>
    </x:xf>
    <x:xf numFmtId="0" fontId="10" fillId="23" borderId="84" xfId="0" applyNumberFormat="1" applyFont="1" applyFill="1" applyBorder="1" applyAlignment="1">
      <x:alignment horizontal="center" vertical="center" wrapText="1"/>
    </x:xf>
    <x:xf numFmtId="0" fontId="10" fillId="23" borderId="85" xfId="0" applyNumberFormat="1" applyFont="1" applyFill="1" applyBorder="1" applyAlignment="1">
      <x:alignment horizontal="center" vertical="center" wrapText="1"/>
    </x:xf>
    <x:xf numFmtId="0" fontId="11" fillId="23" borderId="0" xfId="0" applyNumberFormat="1" applyFont="1" applyFill="1" applyBorder="1"/>
    <x:xf numFmtId="0" fontId="11" fillId="23" borderId="86" xfId="0" applyNumberFormat="1" applyFont="1" applyFill="1" applyBorder="1"/>
    <x:xf numFmtId="0" fontId="11" fillId="23" borderId="87" xfId="0" applyNumberFormat="1" applyFont="1" applyFill="1" applyBorder="1"/>
    <x:xf numFmtId="0" fontId="11" fillId="23" borderId="88" xfId="0" applyNumberFormat="1" applyFont="1" applyFill="1" applyBorder="1"/>
    <x:xf numFmtId="0" fontId="11" fillId="23" borderId="86" xfId="0" applyNumberFormat="1" applyFont="1" applyFill="1" applyBorder="1" applyAlignment="1">
      <x:alignment wrapText="1"/>
    </x:xf>
    <x:xf numFmtId="0" fontId="11" fillId="23" borderId="87" xfId="0" applyNumberFormat="1" applyFont="1" applyFill="1" applyBorder="1" applyAlignment="1">
      <x:alignment wrapText="1"/>
    </x:xf>
    <x:xf numFmtId="0" fontId="11" fillId="23" borderId="88" xfId="0" applyNumberFormat="1" applyFont="1" applyFill="1" applyBorder="1" applyAlignment="1">
      <x:alignment wrapText="1"/>
    </x:xf>
    <x:xf numFmtId="0" fontId="11" fillId="23" borderId="86" xfId="0" applyNumberFormat="1" applyFont="1" applyFill="1" applyBorder="1" applyAlignment="1">
      <x:alignment horizontal="center" wrapText="1"/>
    </x:xf>
    <x:xf numFmtId="0" fontId="11" fillId="23" borderId="87" xfId="0" applyNumberFormat="1" applyFont="1" applyFill="1" applyBorder="1" applyAlignment="1">
      <x:alignment horizontal="center" wrapText="1"/>
    </x:xf>
    <x:xf numFmtId="0" fontId="11" fillId="23" borderId="88" xfId="0" applyNumberFormat="1" applyFont="1" applyFill="1" applyBorder="1" applyAlignment="1">
      <x:alignment horizontal="center" wrapText="1"/>
    </x:xf>
    <x:xf numFmtId="0" fontId="11" fillId="23" borderId="86" xfId="0" applyNumberFormat="1" applyFont="1" applyFill="1" applyBorder="1" applyAlignment="1">
      <x:alignment horizontal="center" vertical="center" wrapText="1"/>
    </x:xf>
    <x:xf numFmtId="0" fontId="11" fillId="23" borderId="87" xfId="0" applyNumberFormat="1" applyFont="1" applyFill="1" applyBorder="1" applyAlignment="1">
      <x:alignment horizontal="center" vertical="center" wrapText="1"/>
    </x:xf>
    <x:xf numFmtId="0" fontId="11" fillId="23" borderId="88" xfId="0" applyNumberFormat="1" applyFont="1" applyFill="1" applyBorder="1" applyAlignment="1">
      <x:alignment horizontal="center" vertical="center" wrapText="1"/>
    </x:xf>
    <x:xf numFmtId="0" fontId="12" fillId="18" borderId="0" xfId="0" applyNumberFormat="1" applyFont="1" applyFill="1" applyBorder="1"/>
    <x:xf numFmtId="0" fontId="12" fillId="18" borderId="86" xfId="0" applyNumberFormat="1" applyFont="1" applyFill="1" applyBorder="1"/>
    <x:xf numFmtId="0" fontId="12" fillId="18" borderId="87" xfId="0" applyNumberFormat="1" applyFont="1" applyFill="1" applyBorder="1"/>
    <x:xf numFmtId="0" fontId="12" fillId="18" borderId="88" xfId="0" applyNumberFormat="1" applyFont="1" applyFill="1" applyBorder="1"/>
    <x:xf numFmtId="0" fontId="12" fillId="18" borderId="86" xfId="0" applyNumberFormat="1" applyFont="1" applyFill="1" applyBorder="1" applyAlignment="1">
      <x:alignment wrapText="1"/>
    </x:xf>
    <x:xf numFmtId="0" fontId="12" fillId="18" borderId="87" xfId="0" applyNumberFormat="1" applyFont="1" applyFill="1" applyBorder="1" applyAlignment="1">
      <x:alignment wrapText="1"/>
    </x:xf>
    <x:xf numFmtId="0" fontId="12" fillId="18" borderId="88" xfId="0" applyNumberFormat="1" applyFont="1" applyFill="1" applyBorder="1" applyAlignment="1">
      <x:alignment wrapText="1"/>
    </x:xf>
    <x:xf numFmtId="0" fontId="12" fillId="18" borderId="86" xfId="0" applyNumberFormat="1" applyFont="1" applyFill="1" applyBorder="1" applyAlignment="1">
      <x:alignment horizontal="left" wrapText="1"/>
    </x:xf>
    <x:xf numFmtId="0" fontId="12" fillId="18" borderId="87" xfId="0" applyNumberFormat="1" applyFont="1" applyFill="1" applyBorder="1" applyAlignment="1">
      <x:alignment horizontal="left" wrapText="1"/>
    </x:xf>
    <x:xf numFmtId="0" fontId="12" fillId="18" borderId="88" xfId="0" applyNumberFormat="1" applyFont="1" applyFill="1" applyBorder="1" applyAlignment="1">
      <x:alignment horizontal="left" wrapText="1"/>
    </x:xf>
    <x:xf numFmtId="0" fontId="12" fillId="18" borderId="86" xfId="0" applyNumberFormat="1" applyFont="1" applyFill="1" applyBorder="1" applyAlignment="1">
      <x:alignment horizontal="left" vertical="center" wrapText="1"/>
    </x:xf>
    <x:xf numFmtId="0" fontId="12" fillId="18" borderId="87" xfId="0" applyNumberFormat="1" applyFont="1" applyFill="1" applyBorder="1" applyAlignment="1">
      <x:alignment horizontal="left" vertical="center" wrapText="1"/>
    </x:xf>
    <x:xf numFmtId="0" fontId="12" fillId="18" borderId="88" xfId="0" applyNumberFormat="1" applyFont="1" applyFill="1" applyBorder="1" applyAlignment="1">
      <x:alignment horizontal="left" vertical="center" wrapText="1"/>
    </x:xf>
    <x:xf numFmtId="0" fontId="0" fillId="24" borderId="0" xfId="0" applyNumberFormat="1" applyFont="1" applyFill="1" applyBorder="1"/>
    <x:xf numFmtId="0" fontId="13" fillId="24" borderId="0" xfId="0" applyNumberFormat="1" applyFont="1" applyFill="1" applyBorder="1"/>
    <x:xf numFmtId="0" fontId="13" fillId="24" borderId="86" xfId="0" applyNumberFormat="1" applyFont="1" applyFill="1" applyBorder="1"/>
    <x:xf numFmtId="0" fontId="13" fillId="24" borderId="88" xfId="0" applyNumberFormat="1" applyFont="1" applyFill="1" applyBorder="1"/>
    <x:xf numFmtId="0" fontId="13" fillId="24" borderId="86" xfId="0" applyNumberFormat="1" applyFont="1" applyFill="1" applyBorder="1" applyAlignment="1">
      <x:alignment wrapText="1"/>
    </x:xf>
    <x:xf numFmtId="0" fontId="13" fillId="24" borderId="88" xfId="0" applyNumberFormat="1" applyFont="1" applyFill="1" applyBorder="1" applyAlignment="1">
      <x:alignment wrapText="1"/>
    </x:xf>
    <x:xf numFmtId="0" fontId="13" fillId="24" borderId="86" xfId="0" applyNumberFormat="1" applyFont="1" applyFill="1" applyBorder="1" applyAlignment="1">
      <x:alignment horizontal="center" wrapText="1"/>
    </x:xf>
    <x:xf numFmtId="0" fontId="13" fillId="24" borderId="88" xfId="0" applyNumberFormat="1" applyFont="1" applyFill="1" applyBorder="1" applyAlignment="1">
      <x:alignment horizontal="center" wrapText="1"/>
    </x:xf>
    <x:xf numFmtId="0" fontId="13" fillId="24" borderId="86" xfId="0" applyNumberFormat="1" applyFont="1" applyFill="1" applyBorder="1" applyAlignment="1">
      <x:alignment horizontal="center" vertical="center" wrapText="1"/>
    </x:xf>
    <x:xf numFmtId="0" fontId="13" fillId="24" borderId="88" xfId="0" applyNumberFormat="1" applyFont="1" applyFill="1" applyBorder="1" applyAlignment="1">
      <x:alignment horizontal="center" vertical="center" wrapText="1"/>
    </x:xf>
    <x:xf numFmtId="0" fontId="13" fillId="24" borderId="87" xfId="0" applyNumberFormat="1" applyFont="1" applyFill="1" applyBorder="1"/>
    <x:xf numFmtId="0" fontId="13" fillId="24" borderId="87" xfId="0" applyNumberFormat="1" applyFont="1" applyFill="1" applyBorder="1" applyAlignment="1">
      <x:alignment wrapText="1"/>
    </x:xf>
    <x:xf numFmtId="0" fontId="13" fillId="24" borderId="87" xfId="0" applyNumberFormat="1" applyFont="1" applyFill="1" applyBorder="1" applyAlignment="1">
      <x:alignment horizontal="center" wrapText="1"/>
    </x:xf>
    <x:xf numFmtId="0" fontId="13" fillId="24" borderId="87" xfId="0" applyNumberFormat="1" applyFont="1" applyFill="1" applyBorder="1" applyAlignment="1">
      <x:alignment horizontal="center" vertical="center" wrapText="1"/>
    </x:xf>
    <x:xf numFmtId="0" fontId="11" fillId="22" borderId="86" xfId="0" applyNumberFormat="1" applyFont="1" applyFill="1" applyBorder="1" applyAlignment="1">
      <x:alignment horizontal="center" vertical="top" wrapText="1"/>
    </x:xf>
    <x:xf numFmtId="0" fontId="11" fillId="22" borderId="88" xfId="0" applyNumberFormat="1" applyFont="1" applyFill="1" applyBorder="1" applyAlignment="1">
      <x:alignment horizontal="center" vertical="top" wrapText="1"/>
    </x:xf>
    <x:xf numFmtId="0" fontId="11" fillId="22" borderId="87" xfId="0" applyNumberFormat="1" applyFont="1" applyFill="1" applyBorder="1" applyAlignment="1">
      <x:alignment horizontal="center" vertical="top" wrapText="1"/>
    </x:xf>
    <x:xf numFmtId="0" fontId="14" fillId="22" borderId="0" xfId="0" applyNumberFormat="1" applyFont="1" applyFill="1" applyBorder="1"/>
    <x:xf numFmtId="0" fontId="14" fillId="22" borderId="86" xfId="0" applyNumberFormat="1" applyFont="1" applyFill="1" applyBorder="1"/>
    <x:xf numFmtId="0" fontId="14" fillId="22" borderId="87" xfId="0" applyNumberFormat="1" applyFont="1" applyFill="1" applyBorder="1"/>
    <x:xf numFmtId="0" fontId="14" fillId="22" borderId="88" xfId="0" applyNumberFormat="1" applyFont="1" applyFill="1" applyBorder="1"/>
    <x:xf numFmtId="0" fontId="14" fillId="22" borderId="86" xfId="0" applyNumberFormat="1" applyFont="1" applyFill="1" applyBorder="1" applyAlignment="1">
      <x:alignment wrapText="1"/>
    </x:xf>
    <x:xf numFmtId="0" fontId="14" fillId="22" borderId="87" xfId="0" applyNumberFormat="1" applyFont="1" applyFill="1" applyBorder="1" applyAlignment="1">
      <x:alignment wrapText="1"/>
    </x:xf>
    <x:xf numFmtId="0" fontId="14" fillId="22" borderId="88" xfId="0" applyNumberFormat="1" applyFont="1" applyFill="1" applyBorder="1" applyAlignment="1">
      <x:alignment wrapText="1"/>
    </x:xf>
    <x:xf numFmtId="0" fontId="14" fillId="22" borderId="86" xfId="0" applyNumberFormat="1" applyFont="1" applyFill="1" applyBorder="1" applyAlignment="1">
      <x:alignment horizontal="left" wrapText="1"/>
    </x:xf>
    <x:xf numFmtId="0" fontId="14" fillId="22" borderId="87" xfId="0" applyNumberFormat="1" applyFont="1" applyFill="1" applyBorder="1" applyAlignment="1">
      <x:alignment horizontal="left" wrapText="1"/>
    </x:xf>
    <x:xf numFmtId="0" fontId="14" fillId="22" borderId="88" xfId="0" applyNumberFormat="1" applyFont="1" applyFill="1" applyBorder="1" applyAlignment="1">
      <x:alignment horizontal="left" wrapText="1"/>
    </x:xf>
    <x:xf numFmtId="0" fontId="14" fillId="22" borderId="86" xfId="0" applyNumberFormat="1" applyFont="1" applyFill="1" applyBorder="1" applyAlignment="1">
      <x:alignment horizontal="left" vertical="top" wrapText="1"/>
    </x:xf>
    <x:xf numFmtId="0" fontId="14" fillId="22" borderId="87" xfId="0" applyNumberFormat="1" applyFont="1" applyFill="1" applyBorder="1" applyAlignment="1">
      <x:alignment horizontal="left" vertical="top" wrapText="1"/>
    </x:xf>
    <x:xf numFmtId="0" fontId="14" fillId="22" borderId="88" xfId="0" applyNumberFormat="1" applyFont="1" applyFill="1" applyBorder="1" applyAlignment="1">
      <x:alignment horizontal="left" vertical="top" wrapText="1"/>
    </x:xf>
    <x:xf numFmtId="0" fontId="11" fillId="20" borderId="86" xfId="0" applyNumberFormat="1" applyFont="1" applyFill="1" applyBorder="1" applyAlignment="1">
      <x:alignment horizontal="center" vertical="top" wrapText="1"/>
    </x:xf>
    <x:xf numFmtId="0" fontId="11" fillId="20" borderId="88" xfId="0" applyNumberFormat="1" applyFont="1" applyFill="1" applyBorder="1" applyAlignment="1">
      <x:alignment horizontal="center" vertical="top" wrapText="1"/>
    </x:xf>
    <x:xf numFmtId="0" fontId="11" fillId="20" borderId="87" xfId="0" applyNumberFormat="1" applyFont="1" applyFill="1" applyBorder="1" applyAlignment="1">
      <x:alignment horizontal="center" vertical="top" wrapText="1"/>
    </x:xf>
    <x:xf numFmtId="0" fontId="14" fillId="20" borderId="0" xfId="0" applyNumberFormat="1" applyFont="1" applyFill="1" applyBorder="1"/>
    <x:xf numFmtId="0" fontId="14" fillId="20" borderId="86" xfId="0" applyNumberFormat="1" applyFont="1" applyFill="1" applyBorder="1"/>
    <x:xf numFmtId="0" fontId="14" fillId="20" borderId="87" xfId="0" applyNumberFormat="1" applyFont="1" applyFill="1" applyBorder="1"/>
    <x:xf numFmtId="0" fontId="14" fillId="20" borderId="88" xfId="0" applyNumberFormat="1" applyFont="1" applyFill="1" applyBorder="1"/>
    <x:xf numFmtId="0" fontId="14" fillId="20" borderId="86" xfId="0" applyNumberFormat="1" applyFont="1" applyFill="1" applyBorder="1" applyAlignment="1">
      <x:alignment wrapText="1"/>
    </x:xf>
    <x:xf numFmtId="0" fontId="14" fillId="20" borderId="87" xfId="0" applyNumberFormat="1" applyFont="1" applyFill="1" applyBorder="1" applyAlignment="1">
      <x:alignment wrapText="1"/>
    </x:xf>
    <x:xf numFmtId="0" fontId="14" fillId="20" borderId="88" xfId="0" applyNumberFormat="1" applyFont="1" applyFill="1" applyBorder="1" applyAlignment="1">
      <x:alignment wrapText="1"/>
    </x:xf>
    <x:xf numFmtId="0" fontId="14" fillId="20" borderId="86" xfId="0" applyNumberFormat="1" applyFont="1" applyFill="1" applyBorder="1" applyAlignment="1">
      <x:alignment horizontal="left" wrapText="1"/>
    </x:xf>
    <x:xf numFmtId="0" fontId="14" fillId="20" borderId="87" xfId="0" applyNumberFormat="1" applyFont="1" applyFill="1" applyBorder="1" applyAlignment="1">
      <x:alignment horizontal="left" wrapText="1"/>
    </x:xf>
    <x:xf numFmtId="0" fontId="14" fillId="20" borderId="88" xfId="0" applyNumberFormat="1" applyFont="1" applyFill="1" applyBorder="1" applyAlignment="1">
      <x:alignment horizontal="left" wrapText="1"/>
    </x:xf>
    <x:xf numFmtId="0" fontId="14" fillId="20" borderId="86" xfId="0" applyNumberFormat="1" applyFont="1" applyFill="1" applyBorder="1" applyAlignment="1">
      <x:alignment horizontal="left" vertical="top" wrapText="1"/>
    </x:xf>
    <x:xf numFmtId="0" fontId="14" fillId="20" borderId="87" xfId="0" applyNumberFormat="1" applyFont="1" applyFill="1" applyBorder="1" applyAlignment="1">
      <x:alignment horizontal="left" vertical="top" wrapText="1"/>
    </x:xf>
    <x:xf numFmtId="0" fontId="14" fillId="20" borderId="88" xfId="0" applyNumberFormat="1" applyFont="1" applyFill="1" applyBorder="1" applyAlignment="1">
      <x:alignment horizontal="left" vertical="top" wrapText="1"/>
    </x:xf>
    <x:xf numFmtId="0" fontId="11" fillId="21" borderId="86" xfId="0" applyNumberFormat="1" applyFont="1" applyFill="1" applyBorder="1" applyAlignment="1">
      <x:alignment horizontal="center" vertical="top" wrapText="1"/>
    </x:xf>
    <x:xf numFmtId="0" fontId="11" fillId="21" borderId="88" xfId="0" applyNumberFormat="1" applyFont="1" applyFill="1" applyBorder="1" applyAlignment="1">
      <x:alignment horizontal="center" vertical="top" wrapText="1"/>
    </x:xf>
    <x:xf numFmtId="0" fontId="11" fillId="21" borderId="87" xfId="0" applyNumberFormat="1" applyFont="1" applyFill="1" applyBorder="1" applyAlignment="1">
      <x:alignment horizontal="center" vertical="top" wrapText="1"/>
    </x:xf>
    <x:xf numFmtId="0" fontId="14" fillId="21" borderId="0" xfId="0" applyNumberFormat="1" applyFont="1" applyFill="1" applyBorder="1"/>
    <x:xf numFmtId="0" fontId="14" fillId="21" borderId="86" xfId="0" applyNumberFormat="1" applyFont="1" applyFill="1" applyBorder="1"/>
    <x:xf numFmtId="0" fontId="14" fillId="21" borderId="87" xfId="0" applyNumberFormat="1" applyFont="1" applyFill="1" applyBorder="1"/>
    <x:xf numFmtId="0" fontId="14" fillId="21" borderId="88" xfId="0" applyNumberFormat="1" applyFont="1" applyFill="1" applyBorder="1"/>
    <x:xf numFmtId="0" fontId="14" fillId="21" borderId="86" xfId="0" applyNumberFormat="1" applyFont="1" applyFill="1" applyBorder="1" applyAlignment="1">
      <x:alignment wrapText="1"/>
    </x:xf>
    <x:xf numFmtId="0" fontId="14" fillId="21" borderId="87" xfId="0" applyNumberFormat="1" applyFont="1" applyFill="1" applyBorder="1" applyAlignment="1">
      <x:alignment wrapText="1"/>
    </x:xf>
    <x:xf numFmtId="0" fontId="14" fillId="21" borderId="88" xfId="0" applyNumberFormat="1" applyFont="1" applyFill="1" applyBorder="1" applyAlignment="1">
      <x:alignment wrapText="1"/>
    </x:xf>
    <x:xf numFmtId="0" fontId="14" fillId="21" borderId="86" xfId="0" applyNumberFormat="1" applyFont="1" applyFill="1" applyBorder="1" applyAlignment="1">
      <x:alignment horizontal="left" wrapText="1"/>
    </x:xf>
    <x:xf numFmtId="0" fontId="14" fillId="21" borderId="87" xfId="0" applyNumberFormat="1" applyFont="1" applyFill="1" applyBorder="1" applyAlignment="1">
      <x:alignment horizontal="left" wrapText="1"/>
    </x:xf>
    <x:xf numFmtId="0" fontId="14" fillId="21" borderId="88" xfId="0" applyNumberFormat="1" applyFont="1" applyFill="1" applyBorder="1" applyAlignment="1">
      <x:alignment horizontal="left" wrapText="1"/>
    </x:xf>
    <x:xf numFmtId="0" fontId="14" fillId="21" borderId="86" xfId="0" applyNumberFormat="1" applyFont="1" applyFill="1" applyBorder="1" applyAlignment="1">
      <x:alignment horizontal="left" vertical="top" wrapText="1"/>
    </x:xf>
    <x:xf numFmtId="0" fontId="14" fillId="21" borderId="87" xfId="0" applyNumberFormat="1" applyFont="1" applyFill="1" applyBorder="1" applyAlignment="1">
      <x:alignment horizontal="left" vertical="top" wrapText="1"/>
    </x:xf>
    <x:xf numFmtId="0" fontId="14" fillId="21" borderId="88" xfId="0" applyNumberFormat="1" applyFont="1" applyFill="1" applyBorder="1" applyAlignment="1">
      <x:alignment horizontal="left" vertical="top" wrapText="1"/>
    </x:xf>
    <x:xf numFmtId="0" fontId="15" fillId="19" borderId="0" xfId="0" applyNumberFormat="1" applyFont="1" applyFill="1" applyBorder="1"/>
    <x:xf numFmtId="0" fontId="15" fillId="19" borderId="80" xfId="0" applyNumberFormat="1" applyFont="1" applyFill="1" applyBorder="1"/>
    <x:xf numFmtId="0" fontId="15" fillId="19" borderId="81" xfId="0" applyNumberFormat="1" applyFont="1" applyFill="1" applyBorder="1"/>
    <x:xf numFmtId="0" fontId="15" fillId="19" borderId="82" xfId="0" applyNumberFormat="1" applyFont="1" applyFill="1" applyBorder="1"/>
    <x:xf numFmtId="0" fontId="15" fillId="19" borderId="83" xfId="0" applyNumberFormat="1" applyFont="1" applyFill="1" applyBorder="1"/>
    <x:xf numFmtId="0" fontId="15" fillId="19" borderId="84" xfId="0" applyNumberFormat="1" applyFont="1" applyFill="1" applyBorder="1"/>
    <x:xf numFmtId="0" fontId="15" fillId="19" borderId="85" xfId="0" applyNumberFormat="1" applyFont="1" applyFill="1" applyBorder="1"/>
    <x:xf numFmtId="0" fontId="15" fillId="19" borderId="80" xfId="0" applyNumberFormat="1" applyFont="1" applyFill="1" applyBorder="1" applyAlignment="1">
      <x:alignment wrapText="1"/>
    </x:xf>
    <x:xf numFmtId="0" fontId="15" fillId="19" borderId="81" xfId="0" applyNumberFormat="1" applyFont="1" applyFill="1" applyBorder="1" applyAlignment="1">
      <x:alignment wrapText="1"/>
    </x:xf>
    <x:xf numFmtId="0" fontId="15" fillId="19" borderId="82" xfId="0" applyNumberFormat="1" applyFont="1" applyFill="1" applyBorder="1" applyAlignment="1">
      <x:alignment wrapText="1"/>
    </x:xf>
    <x:xf numFmtId="0" fontId="15" fillId="19" borderId="83" xfId="0" applyNumberFormat="1" applyFont="1" applyFill="1" applyBorder="1" applyAlignment="1">
      <x:alignment wrapText="1"/>
    </x:xf>
    <x:xf numFmtId="0" fontId="15" fillId="19" borderId="84" xfId="0" applyNumberFormat="1" applyFont="1" applyFill="1" applyBorder="1" applyAlignment="1">
      <x:alignment wrapText="1"/>
    </x:xf>
    <x:xf numFmtId="0" fontId="15" fillId="19" borderId="85" xfId="0" applyNumberFormat="1" applyFont="1" applyFill="1" applyBorder="1" applyAlignment="1">
      <x:alignment wrapText="1"/>
    </x:xf>
    <x:xf numFmtId="0" fontId="15" fillId="19" borderId="80" xfId="0" applyNumberFormat="1" applyFont="1" applyFill="1" applyBorder="1" applyAlignment="1">
      <x:alignment horizontal="left" wrapText="1"/>
    </x:xf>
    <x:xf numFmtId="0" fontId="15" fillId="19" borderId="81" xfId="0" applyNumberFormat="1" applyFont="1" applyFill="1" applyBorder="1" applyAlignment="1">
      <x:alignment horizontal="left" wrapText="1"/>
    </x:xf>
    <x:xf numFmtId="0" fontId="15" fillId="19" borderId="82" xfId="0" applyNumberFormat="1" applyFont="1" applyFill="1" applyBorder="1" applyAlignment="1">
      <x:alignment horizontal="left" wrapText="1"/>
    </x:xf>
    <x:xf numFmtId="0" fontId="15" fillId="19" borderId="83" xfId="0" applyNumberFormat="1" applyFont="1" applyFill="1" applyBorder="1" applyAlignment="1">
      <x:alignment horizontal="left" wrapText="1"/>
    </x:xf>
    <x:xf numFmtId="0" fontId="15" fillId="19" borderId="84" xfId="0" applyNumberFormat="1" applyFont="1" applyFill="1" applyBorder="1" applyAlignment="1">
      <x:alignment horizontal="left" wrapText="1"/>
    </x:xf>
    <x:xf numFmtId="0" fontId="15" fillId="19" borderId="85" xfId="0" applyNumberFormat="1" applyFont="1" applyFill="1" applyBorder="1" applyAlignment="1">
      <x:alignment horizontal="left" wrapText="1"/>
    </x:xf>
    <x:xf numFmtId="0" fontId="15" fillId="19" borderId="80" xfId="0" applyNumberFormat="1" applyFont="1" applyFill="1" applyBorder="1" applyAlignment="1">
      <x:alignment horizontal="left" vertical="top" wrapText="1"/>
    </x:xf>
    <x:xf numFmtId="0" fontId="15" fillId="19" borderId="81" xfId="0" applyNumberFormat="1" applyFont="1" applyFill="1" applyBorder="1" applyAlignment="1">
      <x:alignment horizontal="left" vertical="top" wrapText="1"/>
    </x:xf>
    <x:xf numFmtId="0" fontId="15" fillId="19" borderId="82" xfId="0" applyNumberFormat="1" applyFont="1" applyFill="1" applyBorder="1" applyAlignment="1">
      <x:alignment horizontal="left" vertical="top" wrapText="1"/>
    </x:xf>
    <x:xf numFmtId="0" fontId="15" fillId="19" borderId="83" xfId="0" applyNumberFormat="1" applyFont="1" applyFill="1" applyBorder="1" applyAlignment="1">
      <x:alignment horizontal="left" vertical="top" wrapText="1"/>
    </x:xf>
    <x:xf numFmtId="0" fontId="15" fillId="19" borderId="84" xfId="0" applyNumberFormat="1" applyFont="1" applyFill="1" applyBorder="1" applyAlignment="1">
      <x:alignment horizontal="left" vertical="top" wrapText="1"/>
    </x:xf>
    <x:xf numFmtId="0" fontId="15" fillId="19" borderId="85" xfId="0" applyNumberFormat="1" applyFont="1" applyFill="1" applyBorder="1" applyAlignment="1">
      <x:alignment horizontal="left" vertical="top" wrapText="1"/>
    </x:xf>
    <x:xf numFmtId="0" fontId="16" fillId="20" borderId="0" xfId="0" applyNumberFormat="1" applyFont="1" applyFill="1" applyBorder="1"/>
    <x:xf numFmtId="0" fontId="16" fillId="20" borderId="86" xfId="0" applyNumberFormat="1" applyFont="1" applyFill="1" applyBorder="1"/>
    <x:xf numFmtId="0" fontId="16" fillId="20" borderId="87" xfId="0" applyNumberFormat="1" applyFont="1" applyFill="1" applyBorder="1"/>
    <x:xf numFmtId="0" fontId="16" fillId="20" borderId="88" xfId="0" applyNumberFormat="1" applyFont="1" applyFill="1" applyBorder="1"/>
    <x:xf numFmtId="0" fontId="16" fillId="20" borderId="86" xfId="0" applyNumberFormat="1" applyFont="1" applyFill="1" applyBorder="1" applyAlignment="1">
      <x:alignment wrapText="1"/>
    </x:xf>
    <x:xf numFmtId="0" fontId="16" fillId="20" borderId="87" xfId="0" applyNumberFormat="1" applyFont="1" applyFill="1" applyBorder="1" applyAlignment="1">
      <x:alignment wrapText="1"/>
    </x:xf>
    <x:xf numFmtId="0" fontId="16" fillId="20" borderId="88" xfId="0" applyNumberFormat="1" applyFont="1" applyFill="1" applyBorder="1" applyAlignment="1">
      <x:alignment wrapText="1"/>
    </x:xf>
    <x:xf numFmtId="0" fontId="16" fillId="20" borderId="86" xfId="0" applyNumberFormat="1" applyFont="1" applyFill="1" applyBorder="1" applyAlignment="1">
      <x:alignment horizontal="center" wrapText="1"/>
    </x:xf>
    <x:xf numFmtId="0" fontId="16" fillId="20" borderId="87" xfId="0" applyNumberFormat="1" applyFont="1" applyFill="1" applyBorder="1" applyAlignment="1">
      <x:alignment horizontal="center" wrapText="1"/>
    </x:xf>
    <x:xf numFmtId="0" fontId="16" fillId="20" borderId="88" xfId="0" applyNumberFormat="1" applyFont="1" applyFill="1" applyBorder="1" applyAlignment="1">
      <x:alignment horizontal="center" wrapText="1"/>
    </x:xf>
    <x:xf numFmtId="0" fontId="16" fillId="20" borderId="86" xfId="0" applyNumberFormat="1" applyFont="1" applyFill="1" applyBorder="1" applyAlignment="1">
      <x:alignment horizontal="center" vertical="center" wrapText="1"/>
    </x:xf>
    <x:xf numFmtId="0" fontId="16" fillId="20" borderId="87" xfId="0" applyNumberFormat="1" applyFont="1" applyFill="1" applyBorder="1" applyAlignment="1">
      <x:alignment horizontal="center" vertical="center" wrapText="1"/>
    </x:xf>
    <x:xf numFmtId="0" fontId="16" fillId="20" borderId="88" xfId="0" applyNumberFormat="1" applyFont="1" applyFill="1" applyBorder="1" applyAlignment="1">
      <x:alignment horizontal="center" vertical="center" wrapText="1"/>
    </x:xf>
    <x:xf numFmtId="0" fontId="17" fillId="20" borderId="0" xfId="0" applyNumberFormat="1" applyFont="1" applyFill="1" applyBorder="1"/>
    <x:xf numFmtId="0" fontId="17" fillId="20" borderId="86" xfId="0" applyNumberFormat="1" applyFont="1" applyFill="1" applyBorder="1"/>
    <x:xf numFmtId="0" fontId="17" fillId="20" borderId="87" xfId="0" applyNumberFormat="1" applyFont="1" applyFill="1" applyBorder="1"/>
    <x:xf numFmtId="0" fontId="17" fillId="20" borderId="88" xfId="0" applyNumberFormat="1" applyFont="1" applyFill="1" applyBorder="1"/>
    <x:xf numFmtId="0" fontId="17" fillId="20" borderId="86" xfId="0" applyNumberFormat="1" applyFont="1" applyFill="1" applyBorder="1" applyAlignment="1">
      <x:alignment wrapText="1"/>
    </x:xf>
    <x:xf numFmtId="0" fontId="17" fillId="20" borderId="87" xfId="0" applyNumberFormat="1" applyFont="1" applyFill="1" applyBorder="1" applyAlignment="1">
      <x:alignment wrapText="1"/>
    </x:xf>
    <x:xf numFmtId="0" fontId="17" fillId="20" borderId="88" xfId="0" applyNumberFormat="1" applyFont="1" applyFill="1" applyBorder="1" applyAlignment="1">
      <x:alignment wrapText="1"/>
    </x:xf>
    <x:xf numFmtId="0" fontId="17" fillId="20" borderId="86" xfId="0" applyNumberFormat="1" applyFont="1" applyFill="1" applyBorder="1" applyAlignment="1">
      <x:alignment horizontal="center" wrapText="1"/>
    </x:xf>
    <x:xf numFmtId="0" fontId="17" fillId="20" borderId="87" xfId="0" applyNumberFormat="1" applyFont="1" applyFill="1" applyBorder="1" applyAlignment="1">
      <x:alignment horizontal="center" wrapText="1"/>
    </x:xf>
    <x:xf numFmtId="0" fontId="17" fillId="20" borderId="88" xfId="0" applyNumberFormat="1" applyFont="1" applyFill="1" applyBorder="1" applyAlignment="1">
      <x:alignment horizontal="center" wrapText="1"/>
    </x:xf>
    <x:xf numFmtId="0" fontId="17" fillId="20" borderId="86" xfId="0" applyNumberFormat="1" applyFont="1" applyFill="1" applyBorder="1" applyAlignment="1">
      <x:alignment horizontal="center" vertical="center" wrapText="1"/>
    </x:xf>
    <x:xf numFmtId="0" fontId="17" fillId="20" borderId="87" xfId="0" applyNumberFormat="1" applyFont="1" applyFill="1" applyBorder="1" applyAlignment="1">
      <x:alignment horizontal="center" vertical="center" wrapText="1"/>
    </x:xf>
    <x:xf numFmtId="0" fontId="17" fillId="20" borderId="88" xfId="0" applyNumberFormat="1" applyFont="1" applyFill="1" applyBorder="1" applyAlignment="1">
      <x:alignment horizontal="center" vertical="center" wrapText="1"/>
    </x:xf>
    <x:xf numFmtId="0" fontId="16" fillId="21" borderId="0" xfId="0" applyNumberFormat="1" applyFont="1" applyFill="1" applyBorder="1"/>
    <x:xf numFmtId="0" fontId="16" fillId="21" borderId="86" xfId="0" applyNumberFormat="1" applyFont="1" applyFill="1" applyBorder="1"/>
    <x:xf numFmtId="0" fontId="16" fillId="21" borderId="87" xfId="0" applyNumberFormat="1" applyFont="1" applyFill="1" applyBorder="1"/>
    <x:xf numFmtId="0" fontId="16" fillId="21" borderId="88" xfId="0" applyNumberFormat="1" applyFont="1" applyFill="1" applyBorder="1"/>
    <x:xf numFmtId="0" fontId="16" fillId="21" borderId="86" xfId="0" applyNumberFormat="1" applyFont="1" applyFill="1" applyBorder="1" applyAlignment="1">
      <x:alignment wrapText="1"/>
    </x:xf>
    <x:xf numFmtId="0" fontId="16" fillId="21" borderId="87" xfId="0" applyNumberFormat="1" applyFont="1" applyFill="1" applyBorder="1" applyAlignment="1">
      <x:alignment wrapText="1"/>
    </x:xf>
    <x:xf numFmtId="0" fontId="16" fillId="21" borderId="88" xfId="0" applyNumberFormat="1" applyFont="1" applyFill="1" applyBorder="1" applyAlignment="1">
      <x:alignment wrapText="1"/>
    </x:xf>
    <x:xf numFmtId="0" fontId="16" fillId="21" borderId="86" xfId="0" applyNumberFormat="1" applyFont="1" applyFill="1" applyBorder="1" applyAlignment="1">
      <x:alignment horizontal="center" wrapText="1"/>
    </x:xf>
    <x:xf numFmtId="0" fontId="16" fillId="21" borderId="87" xfId="0" applyNumberFormat="1" applyFont="1" applyFill="1" applyBorder="1" applyAlignment="1">
      <x:alignment horizontal="center" wrapText="1"/>
    </x:xf>
    <x:xf numFmtId="0" fontId="16" fillId="21" borderId="88" xfId="0" applyNumberFormat="1" applyFont="1" applyFill="1" applyBorder="1" applyAlignment="1">
      <x:alignment horizontal="center" wrapText="1"/>
    </x:xf>
    <x:xf numFmtId="0" fontId="16" fillId="21" borderId="86" xfId="0" applyNumberFormat="1" applyFont="1" applyFill="1" applyBorder="1" applyAlignment="1">
      <x:alignment horizontal="center" vertical="center" wrapText="1"/>
    </x:xf>
    <x:xf numFmtId="0" fontId="16" fillId="21" borderId="87" xfId="0" applyNumberFormat="1" applyFont="1" applyFill="1" applyBorder="1" applyAlignment="1">
      <x:alignment horizontal="center" vertical="center" wrapText="1"/>
    </x:xf>
    <x:xf numFmtId="0" fontId="16" fillId="21" borderId="88" xfId="0" applyNumberFormat="1" applyFont="1" applyFill="1" applyBorder="1" applyAlignment="1">
      <x:alignment horizontal="center" vertical="center" wrapText="1"/>
    </x:xf>
    <x:xf numFmtId="0" fontId="17" fillId="21" borderId="0" xfId="0" applyNumberFormat="1" applyFont="1" applyFill="1" applyBorder="1"/>
    <x:xf numFmtId="0" fontId="17" fillId="21" borderId="86" xfId="0" applyNumberFormat="1" applyFont="1" applyFill="1" applyBorder="1"/>
    <x:xf numFmtId="0" fontId="17" fillId="21" borderId="87" xfId="0" applyNumberFormat="1" applyFont="1" applyFill="1" applyBorder="1"/>
    <x:xf numFmtId="0" fontId="17" fillId="21" borderId="88" xfId="0" applyNumberFormat="1" applyFont="1" applyFill="1" applyBorder="1"/>
    <x:xf numFmtId="0" fontId="17" fillId="21" borderId="86" xfId="0" applyNumberFormat="1" applyFont="1" applyFill="1" applyBorder="1" applyAlignment="1">
      <x:alignment wrapText="1"/>
    </x:xf>
    <x:xf numFmtId="0" fontId="17" fillId="21" borderId="87" xfId="0" applyNumberFormat="1" applyFont="1" applyFill="1" applyBorder="1" applyAlignment="1">
      <x:alignment wrapText="1"/>
    </x:xf>
    <x:xf numFmtId="0" fontId="17" fillId="21" borderId="88" xfId="0" applyNumberFormat="1" applyFont="1" applyFill="1" applyBorder="1" applyAlignment="1">
      <x:alignment wrapText="1"/>
    </x:xf>
    <x:xf numFmtId="0" fontId="17" fillId="21" borderId="86" xfId="0" applyNumberFormat="1" applyFont="1" applyFill="1" applyBorder="1" applyAlignment="1">
      <x:alignment horizontal="center" wrapText="1"/>
    </x:xf>
    <x:xf numFmtId="0" fontId="17" fillId="21" borderId="87" xfId="0" applyNumberFormat="1" applyFont="1" applyFill="1" applyBorder="1" applyAlignment="1">
      <x:alignment horizontal="center" wrapText="1"/>
    </x:xf>
    <x:xf numFmtId="0" fontId="17" fillId="21" borderId="88" xfId="0" applyNumberFormat="1" applyFont="1" applyFill="1" applyBorder="1" applyAlignment="1">
      <x:alignment horizontal="center" wrapText="1"/>
    </x:xf>
    <x:xf numFmtId="0" fontId="17" fillId="21" borderId="86" xfId="0" applyNumberFormat="1" applyFont="1" applyFill="1" applyBorder="1" applyAlignment="1">
      <x:alignment horizontal="center" vertical="center" wrapText="1"/>
    </x:xf>
    <x:xf numFmtId="0" fontId="17" fillId="21" borderId="87" xfId="0" applyNumberFormat="1" applyFont="1" applyFill="1" applyBorder="1" applyAlignment="1">
      <x:alignment horizontal="center" vertical="center" wrapText="1"/>
    </x:xf>
    <x:xf numFmtId="0" fontId="17" fillId="21" borderId="88" xfId="0" applyNumberFormat="1" applyFont="1" applyFill="1" applyBorder="1" applyAlignment="1">
      <x:alignment horizontal="center" vertical="center" wrapText="1"/>
    </x:xf>
    <x:xf numFmtId="0" fontId="0" fillId="25" borderId="0" xfId="0" applyNumberFormat="1" applyFont="1" applyFill="1" applyBorder="1"/>
    <x:xf numFmtId="0" fontId="16" fillId="25" borderId="0" xfId="0" applyNumberFormat="1" applyFont="1" applyFill="1" applyBorder="1"/>
    <x:xf numFmtId="0" fontId="16" fillId="25" borderId="86" xfId="0" applyNumberFormat="1" applyFont="1" applyFill="1" applyBorder="1"/>
    <x:xf numFmtId="0" fontId="16" fillId="25" borderId="87" xfId="0" applyNumberFormat="1" applyFont="1" applyFill="1" applyBorder="1"/>
    <x:xf numFmtId="0" fontId="16" fillId="25" borderId="88" xfId="0" applyNumberFormat="1" applyFont="1" applyFill="1" applyBorder="1"/>
    <x:xf numFmtId="0" fontId="16" fillId="25" borderId="86" xfId="0" applyNumberFormat="1" applyFont="1" applyFill="1" applyBorder="1" applyAlignment="1">
      <x:alignment wrapText="1"/>
    </x:xf>
    <x:xf numFmtId="0" fontId="16" fillId="25" borderId="87" xfId="0" applyNumberFormat="1" applyFont="1" applyFill="1" applyBorder="1" applyAlignment="1">
      <x:alignment wrapText="1"/>
    </x:xf>
    <x:xf numFmtId="0" fontId="16" fillId="25" borderId="88" xfId="0" applyNumberFormat="1" applyFont="1" applyFill="1" applyBorder="1" applyAlignment="1">
      <x:alignment wrapText="1"/>
    </x:xf>
    <x:xf numFmtId="0" fontId="16" fillId="25" borderId="86" xfId="0" applyNumberFormat="1" applyFont="1" applyFill="1" applyBorder="1" applyAlignment="1">
      <x:alignment horizontal="center" wrapText="1"/>
    </x:xf>
    <x:xf numFmtId="0" fontId="16" fillId="25" borderId="87" xfId="0" applyNumberFormat="1" applyFont="1" applyFill="1" applyBorder="1" applyAlignment="1">
      <x:alignment horizontal="center" wrapText="1"/>
    </x:xf>
    <x:xf numFmtId="0" fontId="16" fillId="25" borderId="88" xfId="0" applyNumberFormat="1" applyFont="1" applyFill="1" applyBorder="1" applyAlignment="1">
      <x:alignment horizontal="center" wrapText="1"/>
    </x:xf>
    <x:xf numFmtId="0" fontId="16" fillId="25" borderId="86" xfId="0" applyNumberFormat="1" applyFont="1" applyFill="1" applyBorder="1" applyAlignment="1">
      <x:alignment horizontal="center" vertical="center" wrapText="1"/>
    </x:xf>
    <x:xf numFmtId="0" fontId="16" fillId="25" borderId="87" xfId="0" applyNumberFormat="1" applyFont="1" applyFill="1" applyBorder="1" applyAlignment="1">
      <x:alignment horizontal="center" vertical="center" wrapText="1"/>
    </x:xf>
    <x:xf numFmtId="0" fontId="16" fillId="25" borderId="88" xfId="0" applyNumberFormat="1" applyFont="1" applyFill="1" applyBorder="1" applyAlignment="1">
      <x:alignment horizontal="center" vertical="center" wrapText="1"/>
    </x:xf>
    <x:xf numFmtId="0" fontId="17" fillId="25" borderId="0" xfId="0" applyNumberFormat="1" applyFont="1" applyFill="1" applyBorder="1"/>
    <x:xf numFmtId="0" fontId="17" fillId="25" borderId="86" xfId="0" applyNumberFormat="1" applyFont="1" applyFill="1" applyBorder="1"/>
    <x:xf numFmtId="0" fontId="17" fillId="25" borderId="87" xfId="0" applyNumberFormat="1" applyFont="1" applyFill="1" applyBorder="1"/>
    <x:xf numFmtId="0" fontId="17" fillId="25" borderId="88" xfId="0" applyNumberFormat="1" applyFont="1" applyFill="1" applyBorder="1"/>
    <x:xf numFmtId="0" fontId="17" fillId="25" borderId="86" xfId="0" applyNumberFormat="1" applyFont="1" applyFill="1" applyBorder="1" applyAlignment="1">
      <x:alignment wrapText="1"/>
    </x:xf>
    <x:xf numFmtId="0" fontId="17" fillId="25" borderId="87" xfId="0" applyNumberFormat="1" applyFont="1" applyFill="1" applyBorder="1" applyAlignment="1">
      <x:alignment wrapText="1"/>
    </x:xf>
    <x:xf numFmtId="0" fontId="17" fillId="25" borderId="88" xfId="0" applyNumberFormat="1" applyFont="1" applyFill="1" applyBorder="1" applyAlignment="1">
      <x:alignment wrapText="1"/>
    </x:xf>
    <x:xf numFmtId="0" fontId="17" fillId="25" borderId="86" xfId="0" applyNumberFormat="1" applyFont="1" applyFill="1" applyBorder="1" applyAlignment="1">
      <x:alignment horizontal="center" wrapText="1"/>
    </x:xf>
    <x:xf numFmtId="0" fontId="17" fillId="25" borderId="87" xfId="0" applyNumberFormat="1" applyFont="1" applyFill="1" applyBorder="1" applyAlignment="1">
      <x:alignment horizontal="center" wrapText="1"/>
    </x:xf>
    <x:xf numFmtId="0" fontId="17" fillId="25" borderId="88" xfId="0" applyNumberFormat="1" applyFont="1" applyFill="1" applyBorder="1" applyAlignment="1">
      <x:alignment horizontal="center" wrapText="1"/>
    </x:xf>
    <x:xf numFmtId="0" fontId="17" fillId="25" borderId="86" xfId="0" applyNumberFormat="1" applyFont="1" applyFill="1" applyBorder="1" applyAlignment="1">
      <x:alignment horizontal="center" vertical="center" wrapText="1"/>
    </x:xf>
    <x:xf numFmtId="0" fontId="17" fillId="25" borderId="87" xfId="0" applyNumberFormat="1" applyFont="1" applyFill="1" applyBorder="1" applyAlignment="1">
      <x:alignment horizontal="center" vertical="center" wrapText="1"/>
    </x:xf>
    <x:xf numFmtId="0" fontId="17" fillId="25" borderId="88" xfId="0" applyNumberFormat="1" applyFont="1" applyFill="1" applyBorder="1" applyAlignment="1">
      <x:alignment horizontal="center" vertical="center" wrapText="1"/>
    </x:xf>
    <x:xf numFmtId="0" fontId="11" fillId="22" borderId="86" xfId="0" applyNumberFormat="1" applyFont="1" applyFill="1" applyBorder="1" applyAlignment="1">
      <x:alignment horizontal="left" wrapText="1"/>
    </x:xf>
    <x:xf numFmtId="0" fontId="11" fillId="22" borderId="87" xfId="0" applyNumberFormat="1" applyFont="1" applyFill="1" applyBorder="1" applyAlignment="1">
      <x:alignment horizontal="left" wrapText="1"/>
    </x:xf>
    <x:xf numFmtId="0" fontId="11" fillId="22" borderId="88" xfId="0" applyNumberFormat="1" applyFont="1" applyFill="1" applyBorder="1" applyAlignment="1">
      <x:alignment horizontal="left" wrapText="1"/>
    </x:xf>
    <x:xf numFmtId="0" fontId="11" fillId="22" borderId="86" xfId="0" applyNumberFormat="1" applyFont="1" applyFill="1" applyBorder="1" applyAlignment="1">
      <x:alignment horizontal="left" vertical="top" wrapText="1"/>
    </x:xf>
    <x:xf numFmtId="0" fontId="11" fillId="22" borderId="87" xfId="0" applyNumberFormat="1" applyFont="1" applyFill="1" applyBorder="1" applyAlignment="1">
      <x:alignment horizontal="left" vertical="top" wrapText="1"/>
    </x:xf>
    <x:xf numFmtId="0" fontId="11" fillId="22" borderId="88" xfId="0" applyNumberFormat="1" applyFont="1" applyFill="1" applyBorder="1" applyAlignment="1">
      <x:alignment horizontal="left" vertical="top" wrapText="1"/>
    </x:xf>
    <x:xf numFmtId="0" fontId="17" fillId="22" borderId="0" xfId="0" applyNumberFormat="1" applyFont="1" applyFill="1" applyBorder="1"/>
    <x:xf numFmtId="0" fontId="17" fillId="22" borderId="86" xfId="0" applyNumberFormat="1" applyFont="1" applyFill="1" applyBorder="1"/>
    <x:xf numFmtId="0" fontId="17" fillId="22" borderId="87" xfId="0" applyNumberFormat="1" applyFont="1" applyFill="1" applyBorder="1"/>
    <x:xf numFmtId="0" fontId="17" fillId="22" borderId="88" xfId="0" applyNumberFormat="1" applyFont="1" applyFill="1" applyBorder="1"/>
    <x:xf numFmtId="0" fontId="17" fillId="22" borderId="86" xfId="0" applyNumberFormat="1" applyFont="1" applyFill="1" applyBorder="1" applyAlignment="1">
      <x:alignment wrapText="1"/>
    </x:xf>
    <x:xf numFmtId="0" fontId="17" fillId="22" borderId="87" xfId="0" applyNumberFormat="1" applyFont="1" applyFill="1" applyBorder="1" applyAlignment="1">
      <x:alignment wrapText="1"/>
    </x:xf>
    <x:xf numFmtId="0" fontId="17" fillId="22" borderId="88" xfId="0" applyNumberFormat="1" applyFont="1" applyFill="1" applyBorder="1" applyAlignment="1">
      <x:alignment wrapText="1"/>
    </x:xf>
    <x:xf numFmtId="0" fontId="17" fillId="22" borderId="86" xfId="0" applyNumberFormat="1" applyFont="1" applyFill="1" applyBorder="1" applyAlignment="1">
      <x:alignment horizontal="left" wrapText="1"/>
    </x:xf>
    <x:xf numFmtId="0" fontId="17" fillId="22" borderId="87" xfId="0" applyNumberFormat="1" applyFont="1" applyFill="1" applyBorder="1" applyAlignment="1">
      <x:alignment horizontal="left" wrapText="1"/>
    </x:xf>
    <x:xf numFmtId="0" fontId="17" fillId="22" borderId="88" xfId="0" applyNumberFormat="1" applyFont="1" applyFill="1" applyBorder="1" applyAlignment="1">
      <x:alignment horizontal="left" wrapText="1"/>
    </x:xf>
    <x:xf numFmtId="0" fontId="17" fillId="22" borderId="86" xfId="0" applyNumberFormat="1" applyFont="1" applyFill="1" applyBorder="1" applyAlignment="1">
      <x:alignment horizontal="left" vertical="top" wrapText="1"/>
    </x:xf>
    <x:xf numFmtId="0" fontId="17" fillId="22" borderId="87" xfId="0" applyNumberFormat="1" applyFont="1" applyFill="1" applyBorder="1" applyAlignment="1">
      <x:alignment horizontal="left" vertical="top" wrapText="1"/>
    </x:xf>
    <x:xf numFmtId="0" fontId="17" fillId="22" borderId="88" xfId="0" applyNumberFormat="1" applyFont="1" applyFill="1" applyBorder="1" applyAlignment="1">
      <x:alignment horizontal="left" vertical="top" wrapText="1"/>
    </x:xf>
    <x:xf numFmtId="0" fontId="11" fillId="20" borderId="86" xfId="0" applyNumberFormat="1" applyFont="1" applyFill="1" applyBorder="1" applyAlignment="1">
      <x:alignment horizontal="left" wrapText="1"/>
    </x:xf>
    <x:xf numFmtId="0" fontId="11" fillId="20" borderId="87" xfId="0" applyNumberFormat="1" applyFont="1" applyFill="1" applyBorder="1" applyAlignment="1">
      <x:alignment horizontal="left" wrapText="1"/>
    </x:xf>
    <x:xf numFmtId="0" fontId="11" fillId="20" borderId="88" xfId="0" applyNumberFormat="1" applyFont="1" applyFill="1" applyBorder="1" applyAlignment="1">
      <x:alignment horizontal="left" wrapText="1"/>
    </x:xf>
    <x:xf numFmtId="0" fontId="11" fillId="20" borderId="86" xfId="0" applyNumberFormat="1" applyFont="1" applyFill="1" applyBorder="1" applyAlignment="1">
      <x:alignment horizontal="left" vertical="top" wrapText="1"/>
    </x:xf>
    <x:xf numFmtId="0" fontId="11" fillId="20" borderId="87" xfId="0" applyNumberFormat="1" applyFont="1" applyFill="1" applyBorder="1" applyAlignment="1">
      <x:alignment horizontal="left" vertical="top" wrapText="1"/>
    </x:xf>
    <x:xf numFmtId="0" fontId="11" fillId="20" borderId="88" xfId="0" applyNumberFormat="1" applyFont="1" applyFill="1" applyBorder="1" applyAlignment="1">
      <x:alignment horizontal="left" vertical="top" wrapText="1"/>
    </x:xf>
    <x:xf numFmtId="0" fontId="17" fillId="20" borderId="86" xfId="0" applyNumberFormat="1" applyFont="1" applyFill="1" applyBorder="1" applyAlignment="1">
      <x:alignment horizontal="left" wrapText="1"/>
    </x:xf>
    <x:xf numFmtId="0" fontId="17" fillId="20" borderId="87" xfId="0" applyNumberFormat="1" applyFont="1" applyFill="1" applyBorder="1" applyAlignment="1">
      <x:alignment horizontal="left" wrapText="1"/>
    </x:xf>
    <x:xf numFmtId="0" fontId="17" fillId="20" borderId="88" xfId="0" applyNumberFormat="1" applyFont="1" applyFill="1" applyBorder="1" applyAlignment="1">
      <x:alignment horizontal="left" wrapText="1"/>
    </x:xf>
    <x:xf numFmtId="0" fontId="17" fillId="20" borderId="86" xfId="0" applyNumberFormat="1" applyFont="1" applyFill="1" applyBorder="1" applyAlignment="1">
      <x:alignment horizontal="left" vertical="top" wrapText="1"/>
    </x:xf>
    <x:xf numFmtId="0" fontId="17" fillId="20" borderId="87" xfId="0" applyNumberFormat="1" applyFont="1" applyFill="1" applyBorder="1" applyAlignment="1">
      <x:alignment horizontal="left" vertical="top" wrapText="1"/>
    </x:xf>
    <x:xf numFmtId="0" fontId="17" fillId="20" borderId="88" xfId="0" applyNumberFormat="1" applyFont="1" applyFill="1" applyBorder="1" applyAlignment="1">
      <x:alignment horizontal="left" vertical="top" wrapText="1"/>
    </x:xf>
    <x:xf numFmtId="0" fontId="11" fillId="21" borderId="86" xfId="0" applyNumberFormat="1" applyFont="1" applyFill="1" applyBorder="1" applyAlignment="1">
      <x:alignment horizontal="left" wrapText="1"/>
    </x:xf>
    <x:xf numFmtId="0" fontId="11" fillId="21" borderId="87" xfId="0" applyNumberFormat="1" applyFont="1" applyFill="1" applyBorder="1" applyAlignment="1">
      <x:alignment horizontal="left" wrapText="1"/>
    </x:xf>
    <x:xf numFmtId="0" fontId="11" fillId="21" borderId="88" xfId="0" applyNumberFormat="1" applyFont="1" applyFill="1" applyBorder="1" applyAlignment="1">
      <x:alignment horizontal="left" wrapText="1"/>
    </x:xf>
    <x:xf numFmtId="0" fontId="11" fillId="21" borderId="86" xfId="0" applyNumberFormat="1" applyFont="1" applyFill="1" applyBorder="1" applyAlignment="1">
      <x:alignment horizontal="left" vertical="top" wrapText="1"/>
    </x:xf>
    <x:xf numFmtId="0" fontId="11" fillId="21" borderId="87" xfId="0" applyNumberFormat="1" applyFont="1" applyFill="1" applyBorder="1" applyAlignment="1">
      <x:alignment horizontal="left" vertical="top" wrapText="1"/>
    </x:xf>
    <x:xf numFmtId="0" fontId="11" fillId="21" borderId="88" xfId="0" applyNumberFormat="1" applyFont="1" applyFill="1" applyBorder="1" applyAlignment="1">
      <x:alignment horizontal="left" vertical="top" wrapText="1"/>
    </x:xf>
    <x:xf numFmtId="0" fontId="17" fillId="21" borderId="86" xfId="0" applyNumberFormat="1" applyFont="1" applyFill="1" applyBorder="1" applyAlignment="1">
      <x:alignment horizontal="left" wrapText="1"/>
    </x:xf>
    <x:xf numFmtId="0" fontId="17" fillId="21" borderId="87" xfId="0" applyNumberFormat="1" applyFont="1" applyFill="1" applyBorder="1" applyAlignment="1">
      <x:alignment horizontal="left" wrapText="1"/>
    </x:xf>
    <x:xf numFmtId="0" fontId="17" fillId="21" borderId="88" xfId="0" applyNumberFormat="1" applyFont="1" applyFill="1" applyBorder="1" applyAlignment="1">
      <x:alignment horizontal="left" wrapText="1"/>
    </x:xf>
    <x:xf numFmtId="0" fontId="17" fillId="21" borderId="86" xfId="0" applyNumberFormat="1" applyFont="1" applyFill="1" applyBorder="1" applyAlignment="1">
      <x:alignment horizontal="left" vertical="top" wrapText="1"/>
    </x:xf>
    <x:xf numFmtId="0" fontId="17" fillId="21" borderId="87" xfId="0" applyNumberFormat="1" applyFont="1" applyFill="1" applyBorder="1" applyAlignment="1">
      <x:alignment horizontal="left" vertical="top" wrapText="1"/>
    </x:xf>
    <x:xf numFmtId="0" fontId="17" fillId="21" borderId="88" xfId="0" applyNumberFormat="1" applyFont="1" applyFill="1" applyBorder="1" applyAlignment="1">
      <x:alignment horizontal="left" vertical="top" wrapText="1"/>
    </x:xf>
    <x:xf numFmtId="0" fontId="14" fillId="22" borderId="80" xfId="0" applyNumberFormat="1" applyFont="1" applyFill="1" applyBorder="1"/>
    <x:xf numFmtId="0" fontId="14" fillId="22" borderId="81" xfId="0" applyNumberFormat="1" applyFont="1" applyFill="1" applyBorder="1"/>
    <x:xf numFmtId="0" fontId="14" fillId="22" borderId="82" xfId="0" applyNumberFormat="1" applyFont="1" applyFill="1" applyBorder="1"/>
    <x:xf numFmtId="0" fontId="14" fillId="22" borderId="89" xfId="0" applyNumberFormat="1" applyFont="1" applyFill="1" applyBorder="1"/>
    <x:xf numFmtId="0" fontId="14" fillId="22" xfId="0" applyNumberFormat="1" applyFont="1" applyFill="1" applyBorder="0"/>
    <x:xf numFmtId="0" fontId="14" fillId="22" borderId="90" xfId="0" applyNumberFormat="1" applyFont="1" applyFill="1" applyBorder="1"/>
    <x:xf numFmtId="0" fontId="14" fillId="22" borderId="83" xfId="0" applyNumberFormat="1" applyFont="1" applyFill="1" applyBorder="1"/>
    <x:xf numFmtId="0" fontId="14" fillId="22" borderId="84" xfId="0" applyNumberFormat="1" applyFont="1" applyFill="1" applyBorder="1"/>
    <x:xf numFmtId="0" fontId="14" fillId="22" borderId="85" xfId="0" applyNumberFormat="1" applyFont="1" applyFill="1" applyBorder="1"/>
    <x:xf numFmtId="0" fontId="14" fillId="22" borderId="80" xfId="0" applyNumberFormat="1" applyFont="1" applyFill="1" applyBorder="1" applyAlignment="1">
      <x:alignment wrapText="1"/>
    </x:xf>
    <x:xf numFmtId="0" fontId="14" fillId="22" borderId="81" xfId="0" applyNumberFormat="1" applyFont="1" applyFill="1" applyBorder="1" applyAlignment="1">
      <x:alignment wrapText="1"/>
    </x:xf>
    <x:xf numFmtId="0" fontId="14" fillId="22" borderId="82" xfId="0" applyNumberFormat="1" applyFont="1" applyFill="1" applyBorder="1" applyAlignment="1">
      <x:alignment wrapText="1"/>
    </x:xf>
    <x:xf numFmtId="0" fontId="14" fillId="22" borderId="89" xfId="0" applyNumberFormat="1" applyFont="1" applyFill="1" applyBorder="1" applyAlignment="1">
      <x:alignment wrapText="1"/>
    </x:xf>
    <x:xf numFmtId="0" fontId="14" fillId="22" xfId="0" applyNumberFormat="1" applyFont="1" applyFill="1" applyBorder="0" applyAlignment="1">
      <x:alignment wrapText="1"/>
    </x:xf>
    <x:xf numFmtId="0" fontId="14" fillId="22" borderId="90" xfId="0" applyNumberFormat="1" applyFont="1" applyFill="1" applyBorder="1" applyAlignment="1">
      <x:alignment wrapText="1"/>
    </x:xf>
    <x:xf numFmtId="0" fontId="14" fillId="22" borderId="83" xfId="0" applyNumberFormat="1" applyFont="1" applyFill="1" applyBorder="1" applyAlignment="1">
      <x:alignment wrapText="1"/>
    </x:xf>
    <x:xf numFmtId="0" fontId="14" fillId="22" borderId="84" xfId="0" applyNumberFormat="1" applyFont="1" applyFill="1" applyBorder="1" applyAlignment="1">
      <x:alignment wrapText="1"/>
    </x:xf>
    <x:xf numFmtId="0" fontId="14" fillId="22" borderId="85" xfId="0" applyNumberFormat="1" applyFont="1" applyFill="1" applyBorder="1" applyAlignment="1">
      <x:alignment wrapText="1"/>
    </x:xf>
    <x:xf numFmtId="0" fontId="14" fillId="22" borderId="80" xfId="0" applyNumberFormat="1" applyFont="1" applyFill="1" applyBorder="1" applyAlignment="1">
      <x:alignment horizontal="left" wrapText="1"/>
    </x:xf>
    <x:xf numFmtId="0" fontId="14" fillId="22" borderId="81" xfId="0" applyNumberFormat="1" applyFont="1" applyFill="1" applyBorder="1" applyAlignment="1">
      <x:alignment horizontal="left" wrapText="1"/>
    </x:xf>
    <x:xf numFmtId="0" fontId="14" fillId="22" borderId="82" xfId="0" applyNumberFormat="1" applyFont="1" applyFill="1" applyBorder="1" applyAlignment="1">
      <x:alignment horizontal="left" wrapText="1"/>
    </x:xf>
    <x:xf numFmtId="0" fontId="14" fillId="22" borderId="89" xfId="0" applyNumberFormat="1" applyFont="1" applyFill="1" applyBorder="1" applyAlignment="1">
      <x:alignment horizontal="left" wrapText="1"/>
    </x:xf>
    <x:xf numFmtId="0" fontId="14" fillId="22" xfId="0" applyNumberFormat="1" applyFont="1" applyFill="1" applyBorder="0" applyAlignment="1">
      <x:alignment horizontal="left" wrapText="1"/>
    </x:xf>
    <x:xf numFmtId="0" fontId="14" fillId="22" borderId="90" xfId="0" applyNumberFormat="1" applyFont="1" applyFill="1" applyBorder="1" applyAlignment="1">
      <x:alignment horizontal="left" wrapText="1"/>
    </x:xf>
    <x:xf numFmtId="0" fontId="14" fillId="22" borderId="83" xfId="0" applyNumberFormat="1" applyFont="1" applyFill="1" applyBorder="1" applyAlignment="1">
      <x:alignment horizontal="left" wrapText="1"/>
    </x:xf>
    <x:xf numFmtId="0" fontId="14" fillId="22" borderId="84" xfId="0" applyNumberFormat="1" applyFont="1" applyFill="1" applyBorder="1" applyAlignment="1">
      <x:alignment horizontal="left" wrapText="1"/>
    </x:xf>
    <x:xf numFmtId="0" fontId="14" fillId="22" borderId="85" xfId="0" applyNumberFormat="1" applyFont="1" applyFill="1" applyBorder="1" applyAlignment="1">
      <x:alignment horizontal="left" wrapText="1"/>
    </x:xf>
    <x:xf numFmtId="0" fontId="14" fillId="22" borderId="80" xfId="0" applyNumberFormat="1" applyFont="1" applyFill="1" applyBorder="1" applyAlignment="1">
      <x:alignment horizontal="left" vertical="top" wrapText="1"/>
    </x:xf>
    <x:xf numFmtId="0" fontId="14" fillId="22" borderId="81" xfId="0" applyNumberFormat="1" applyFont="1" applyFill="1" applyBorder="1" applyAlignment="1">
      <x:alignment horizontal="left" vertical="top" wrapText="1"/>
    </x:xf>
    <x:xf numFmtId="0" fontId="14" fillId="22" borderId="82" xfId="0" applyNumberFormat="1" applyFont="1" applyFill="1" applyBorder="1" applyAlignment="1">
      <x:alignment horizontal="left" vertical="top" wrapText="1"/>
    </x:xf>
    <x:xf numFmtId="0" fontId="14" fillId="22" borderId="89" xfId="0" applyNumberFormat="1" applyFont="1" applyFill="1" applyBorder="1" applyAlignment="1">
      <x:alignment horizontal="left" vertical="top" wrapText="1"/>
    </x:xf>
    <x:xf numFmtId="0" fontId="14" fillId="22" xfId="0" applyNumberFormat="1" applyFont="1" applyFill="1" applyBorder="0" applyAlignment="1">
      <x:alignment horizontal="left" vertical="top" wrapText="1"/>
    </x:xf>
    <x:xf numFmtId="0" fontId="14" fillId="22" borderId="90" xfId="0" applyNumberFormat="1" applyFont="1" applyFill="1" applyBorder="1" applyAlignment="1">
      <x:alignment horizontal="left" vertical="top" wrapText="1"/>
    </x:xf>
    <x:xf numFmtId="0" fontId="14" fillId="22" borderId="83" xfId="0" applyNumberFormat="1" applyFont="1" applyFill="1" applyBorder="1" applyAlignment="1">
      <x:alignment horizontal="left" vertical="top" wrapText="1"/>
    </x:xf>
    <x:xf numFmtId="0" fontId="14" fillId="22" borderId="84" xfId="0" applyNumberFormat="1" applyFont="1" applyFill="1" applyBorder="1" applyAlignment="1">
      <x:alignment horizontal="left" vertical="top" wrapText="1"/>
    </x:xf>
    <x:xf numFmtId="0" fontId="14" fillId="22" borderId="85" xfId="0" applyNumberFormat="1" applyFont="1" applyFill="1" applyBorder="1" applyAlignment="1">
      <x:alignment horizontal="left" vertical="top" wrapText="1"/>
    </x:xf>
    <x:xf numFmtId="0" fontId="14" fillId="20" borderId="80" xfId="0" applyNumberFormat="1" applyFont="1" applyFill="1" applyBorder="1"/>
    <x:xf numFmtId="0" fontId="14" fillId="20" borderId="81" xfId="0" applyNumberFormat="1" applyFont="1" applyFill="1" applyBorder="1"/>
    <x:xf numFmtId="0" fontId="14" fillId="20" borderId="82" xfId="0" applyNumberFormat="1" applyFont="1" applyFill="1" applyBorder="1"/>
    <x:xf numFmtId="0" fontId="14" fillId="20" borderId="89" xfId="0" applyNumberFormat="1" applyFont="1" applyFill="1" applyBorder="1"/>
    <x:xf numFmtId="0" fontId="14" fillId="20" xfId="0" applyNumberFormat="1" applyFont="1" applyFill="1" applyBorder="0"/>
    <x:xf numFmtId="0" fontId="14" fillId="20" borderId="90" xfId="0" applyNumberFormat="1" applyFont="1" applyFill="1" applyBorder="1"/>
    <x:xf numFmtId="0" fontId="14" fillId="20" borderId="83" xfId="0" applyNumberFormat="1" applyFont="1" applyFill="1" applyBorder="1"/>
    <x:xf numFmtId="0" fontId="14" fillId="20" borderId="84" xfId="0" applyNumberFormat="1" applyFont="1" applyFill="1" applyBorder="1"/>
    <x:xf numFmtId="0" fontId="14" fillId="20" borderId="85" xfId="0" applyNumberFormat="1" applyFont="1" applyFill="1" applyBorder="1"/>
    <x:xf numFmtId="0" fontId="14" fillId="20" borderId="80" xfId="0" applyNumberFormat="1" applyFont="1" applyFill="1" applyBorder="1" applyAlignment="1">
      <x:alignment wrapText="1"/>
    </x:xf>
    <x:xf numFmtId="0" fontId="14" fillId="20" borderId="81" xfId="0" applyNumberFormat="1" applyFont="1" applyFill="1" applyBorder="1" applyAlignment="1">
      <x:alignment wrapText="1"/>
    </x:xf>
    <x:xf numFmtId="0" fontId="14" fillId="20" borderId="82" xfId="0" applyNumberFormat="1" applyFont="1" applyFill="1" applyBorder="1" applyAlignment="1">
      <x:alignment wrapText="1"/>
    </x:xf>
    <x:xf numFmtId="0" fontId="14" fillId="20" borderId="89" xfId="0" applyNumberFormat="1" applyFont="1" applyFill="1" applyBorder="1" applyAlignment="1">
      <x:alignment wrapText="1"/>
    </x:xf>
    <x:xf numFmtId="0" fontId="14" fillId="20" xfId="0" applyNumberFormat="1" applyFont="1" applyFill="1" applyBorder="0" applyAlignment="1">
      <x:alignment wrapText="1"/>
    </x:xf>
    <x:xf numFmtId="0" fontId="14" fillId="20" borderId="90" xfId="0" applyNumberFormat="1" applyFont="1" applyFill="1" applyBorder="1" applyAlignment="1">
      <x:alignment wrapText="1"/>
    </x:xf>
    <x:xf numFmtId="0" fontId="14" fillId="20" borderId="83" xfId="0" applyNumberFormat="1" applyFont="1" applyFill="1" applyBorder="1" applyAlignment="1">
      <x:alignment wrapText="1"/>
    </x:xf>
    <x:xf numFmtId="0" fontId="14" fillId="20" borderId="84" xfId="0" applyNumberFormat="1" applyFont="1" applyFill="1" applyBorder="1" applyAlignment="1">
      <x:alignment wrapText="1"/>
    </x:xf>
    <x:xf numFmtId="0" fontId="14" fillId="20" borderId="85" xfId="0" applyNumberFormat="1" applyFont="1" applyFill="1" applyBorder="1" applyAlignment="1">
      <x:alignment wrapText="1"/>
    </x:xf>
    <x:xf numFmtId="0" fontId="14" fillId="20" borderId="80" xfId="0" applyNumberFormat="1" applyFont="1" applyFill="1" applyBorder="1" applyAlignment="1">
      <x:alignment horizontal="left" wrapText="1"/>
    </x:xf>
    <x:xf numFmtId="0" fontId="14" fillId="20" borderId="81" xfId="0" applyNumberFormat="1" applyFont="1" applyFill="1" applyBorder="1" applyAlignment="1">
      <x:alignment horizontal="left" wrapText="1"/>
    </x:xf>
    <x:xf numFmtId="0" fontId="14" fillId="20" borderId="82" xfId="0" applyNumberFormat="1" applyFont="1" applyFill="1" applyBorder="1" applyAlignment="1">
      <x:alignment horizontal="left" wrapText="1"/>
    </x:xf>
    <x:xf numFmtId="0" fontId="14" fillId="20" borderId="89" xfId="0" applyNumberFormat="1" applyFont="1" applyFill="1" applyBorder="1" applyAlignment="1">
      <x:alignment horizontal="left" wrapText="1"/>
    </x:xf>
    <x:xf numFmtId="0" fontId="14" fillId="20" xfId="0" applyNumberFormat="1" applyFont="1" applyFill="1" applyBorder="0" applyAlignment="1">
      <x:alignment horizontal="left" wrapText="1"/>
    </x:xf>
    <x:xf numFmtId="0" fontId="14" fillId="20" borderId="90" xfId="0" applyNumberFormat="1" applyFont="1" applyFill="1" applyBorder="1" applyAlignment="1">
      <x:alignment horizontal="left" wrapText="1"/>
    </x:xf>
    <x:xf numFmtId="0" fontId="14" fillId="20" borderId="83" xfId="0" applyNumberFormat="1" applyFont="1" applyFill="1" applyBorder="1" applyAlignment="1">
      <x:alignment horizontal="left" wrapText="1"/>
    </x:xf>
    <x:xf numFmtId="0" fontId="14" fillId="20" borderId="84" xfId="0" applyNumberFormat="1" applyFont="1" applyFill="1" applyBorder="1" applyAlignment="1">
      <x:alignment horizontal="left" wrapText="1"/>
    </x:xf>
    <x:xf numFmtId="0" fontId="14" fillId="20" borderId="85" xfId="0" applyNumberFormat="1" applyFont="1" applyFill="1" applyBorder="1" applyAlignment="1">
      <x:alignment horizontal="left" wrapText="1"/>
    </x:xf>
    <x:xf numFmtId="0" fontId="14" fillId="20" borderId="80" xfId="0" applyNumberFormat="1" applyFont="1" applyFill="1" applyBorder="1" applyAlignment="1">
      <x:alignment horizontal="left" vertical="top" wrapText="1"/>
    </x:xf>
    <x:xf numFmtId="0" fontId="14" fillId="20" borderId="81" xfId="0" applyNumberFormat="1" applyFont="1" applyFill="1" applyBorder="1" applyAlignment="1">
      <x:alignment horizontal="left" vertical="top" wrapText="1"/>
    </x:xf>
    <x:xf numFmtId="0" fontId="14" fillId="20" borderId="82" xfId="0" applyNumberFormat="1" applyFont="1" applyFill="1" applyBorder="1" applyAlignment="1">
      <x:alignment horizontal="left" vertical="top" wrapText="1"/>
    </x:xf>
    <x:xf numFmtId="0" fontId="14" fillId="20" borderId="89" xfId="0" applyNumberFormat="1" applyFont="1" applyFill="1" applyBorder="1" applyAlignment="1">
      <x:alignment horizontal="left" vertical="top" wrapText="1"/>
    </x:xf>
    <x:xf numFmtId="0" fontId="14" fillId="20" xfId="0" applyNumberFormat="1" applyFont="1" applyFill="1" applyBorder="0" applyAlignment="1">
      <x:alignment horizontal="left" vertical="top" wrapText="1"/>
    </x:xf>
    <x:xf numFmtId="0" fontId="14" fillId="20" borderId="90" xfId="0" applyNumberFormat="1" applyFont="1" applyFill="1" applyBorder="1" applyAlignment="1">
      <x:alignment horizontal="left" vertical="top" wrapText="1"/>
    </x:xf>
    <x:xf numFmtId="0" fontId="14" fillId="20" borderId="83" xfId="0" applyNumberFormat="1" applyFont="1" applyFill="1" applyBorder="1" applyAlignment="1">
      <x:alignment horizontal="left" vertical="top" wrapText="1"/>
    </x:xf>
    <x:xf numFmtId="0" fontId="14" fillId="20" borderId="84" xfId="0" applyNumberFormat="1" applyFont="1" applyFill="1" applyBorder="1" applyAlignment="1">
      <x:alignment horizontal="left" vertical="top" wrapText="1"/>
    </x:xf>
    <x:xf numFmtId="0" fontId="14" fillId="20" borderId="85" xfId="0" applyNumberFormat="1" applyFont="1" applyFill="1" applyBorder="1" applyAlignment="1">
      <x:alignment horizontal="left" vertical="top" wrapText="1"/>
    </x:xf>
    <x:xf numFmtId="0" fontId="14" fillId="21" borderId="80" xfId="0" applyNumberFormat="1" applyFont="1" applyFill="1" applyBorder="1"/>
    <x:xf numFmtId="0" fontId="14" fillId="21" borderId="81" xfId="0" applyNumberFormat="1" applyFont="1" applyFill="1" applyBorder="1"/>
    <x:xf numFmtId="0" fontId="14" fillId="21" borderId="82" xfId="0" applyNumberFormat="1" applyFont="1" applyFill="1" applyBorder="1"/>
    <x:xf numFmtId="0" fontId="14" fillId="21" borderId="89" xfId="0" applyNumberFormat="1" applyFont="1" applyFill="1" applyBorder="1"/>
    <x:xf numFmtId="0" fontId="14" fillId="21" xfId="0" applyNumberFormat="1" applyFont="1" applyFill="1" applyBorder="0"/>
    <x:xf numFmtId="0" fontId="14" fillId="21" borderId="90" xfId="0" applyNumberFormat="1" applyFont="1" applyFill="1" applyBorder="1"/>
    <x:xf numFmtId="0" fontId="14" fillId="21" borderId="83" xfId="0" applyNumberFormat="1" applyFont="1" applyFill="1" applyBorder="1"/>
    <x:xf numFmtId="0" fontId="14" fillId="21" borderId="84" xfId="0" applyNumberFormat="1" applyFont="1" applyFill="1" applyBorder="1"/>
    <x:xf numFmtId="0" fontId="14" fillId="21" borderId="85" xfId="0" applyNumberFormat="1" applyFont="1" applyFill="1" applyBorder="1"/>
    <x:xf numFmtId="0" fontId="14" fillId="21" borderId="80" xfId="0" applyNumberFormat="1" applyFont="1" applyFill="1" applyBorder="1" applyAlignment="1">
      <x:alignment wrapText="1"/>
    </x:xf>
    <x:xf numFmtId="0" fontId="14" fillId="21" borderId="81" xfId="0" applyNumberFormat="1" applyFont="1" applyFill="1" applyBorder="1" applyAlignment="1">
      <x:alignment wrapText="1"/>
    </x:xf>
    <x:xf numFmtId="0" fontId="14" fillId="21" borderId="82" xfId="0" applyNumberFormat="1" applyFont="1" applyFill="1" applyBorder="1" applyAlignment="1">
      <x:alignment wrapText="1"/>
    </x:xf>
    <x:xf numFmtId="0" fontId="14" fillId="21" borderId="89" xfId="0" applyNumberFormat="1" applyFont="1" applyFill="1" applyBorder="1" applyAlignment="1">
      <x:alignment wrapText="1"/>
    </x:xf>
    <x:xf numFmtId="0" fontId="14" fillId="21" xfId="0" applyNumberFormat="1" applyFont="1" applyFill="1" applyBorder="0" applyAlignment="1">
      <x:alignment wrapText="1"/>
    </x:xf>
    <x:xf numFmtId="0" fontId="14" fillId="21" borderId="90" xfId="0" applyNumberFormat="1" applyFont="1" applyFill="1" applyBorder="1" applyAlignment="1">
      <x:alignment wrapText="1"/>
    </x:xf>
    <x:xf numFmtId="0" fontId="14" fillId="21" borderId="83" xfId="0" applyNumberFormat="1" applyFont="1" applyFill="1" applyBorder="1" applyAlignment="1">
      <x:alignment wrapText="1"/>
    </x:xf>
    <x:xf numFmtId="0" fontId="14" fillId="21" borderId="84" xfId="0" applyNumberFormat="1" applyFont="1" applyFill="1" applyBorder="1" applyAlignment="1">
      <x:alignment wrapText="1"/>
    </x:xf>
    <x:xf numFmtId="0" fontId="14" fillId="21" borderId="85" xfId="0" applyNumberFormat="1" applyFont="1" applyFill="1" applyBorder="1" applyAlignment="1">
      <x:alignment wrapText="1"/>
    </x:xf>
    <x:xf numFmtId="0" fontId="14" fillId="21" borderId="80" xfId="0" applyNumberFormat="1" applyFont="1" applyFill="1" applyBorder="1" applyAlignment="1">
      <x:alignment horizontal="left" wrapText="1"/>
    </x:xf>
    <x:xf numFmtId="0" fontId="14" fillId="21" borderId="81" xfId="0" applyNumberFormat="1" applyFont="1" applyFill="1" applyBorder="1" applyAlignment="1">
      <x:alignment horizontal="left" wrapText="1"/>
    </x:xf>
    <x:xf numFmtId="0" fontId="14" fillId="21" borderId="82" xfId="0" applyNumberFormat="1" applyFont="1" applyFill="1" applyBorder="1" applyAlignment="1">
      <x:alignment horizontal="left" wrapText="1"/>
    </x:xf>
    <x:xf numFmtId="0" fontId="14" fillId="21" borderId="89" xfId="0" applyNumberFormat="1" applyFont="1" applyFill="1" applyBorder="1" applyAlignment="1">
      <x:alignment horizontal="left" wrapText="1"/>
    </x:xf>
    <x:xf numFmtId="0" fontId="14" fillId="21" xfId="0" applyNumberFormat="1" applyFont="1" applyFill="1" applyBorder="0" applyAlignment="1">
      <x:alignment horizontal="left" wrapText="1"/>
    </x:xf>
    <x:xf numFmtId="0" fontId="14" fillId="21" borderId="90" xfId="0" applyNumberFormat="1" applyFont="1" applyFill="1" applyBorder="1" applyAlignment="1">
      <x:alignment horizontal="left" wrapText="1"/>
    </x:xf>
    <x:xf numFmtId="0" fontId="14" fillId="21" borderId="83" xfId="0" applyNumberFormat="1" applyFont="1" applyFill="1" applyBorder="1" applyAlignment="1">
      <x:alignment horizontal="left" wrapText="1"/>
    </x:xf>
    <x:xf numFmtId="0" fontId="14" fillId="21" borderId="84" xfId="0" applyNumberFormat="1" applyFont="1" applyFill="1" applyBorder="1" applyAlignment="1">
      <x:alignment horizontal="left" wrapText="1"/>
    </x:xf>
    <x:xf numFmtId="0" fontId="14" fillId="21" borderId="85" xfId="0" applyNumberFormat="1" applyFont="1" applyFill="1" applyBorder="1" applyAlignment="1">
      <x:alignment horizontal="left" wrapText="1"/>
    </x:xf>
    <x:xf numFmtId="0" fontId="14" fillId="21" borderId="80" xfId="0" applyNumberFormat="1" applyFont="1" applyFill="1" applyBorder="1" applyAlignment="1">
      <x:alignment horizontal="left" vertical="top" wrapText="1"/>
    </x:xf>
    <x:xf numFmtId="0" fontId="14" fillId="21" borderId="81" xfId="0" applyNumberFormat="1" applyFont="1" applyFill="1" applyBorder="1" applyAlignment="1">
      <x:alignment horizontal="left" vertical="top" wrapText="1"/>
    </x:xf>
    <x:xf numFmtId="0" fontId="14" fillId="21" borderId="82" xfId="0" applyNumberFormat="1" applyFont="1" applyFill="1" applyBorder="1" applyAlignment="1">
      <x:alignment horizontal="left" vertical="top" wrapText="1"/>
    </x:xf>
    <x:xf numFmtId="0" fontId="14" fillId="21" borderId="89" xfId="0" applyNumberFormat="1" applyFont="1" applyFill="1" applyBorder="1" applyAlignment="1">
      <x:alignment horizontal="left" vertical="top" wrapText="1"/>
    </x:xf>
    <x:xf numFmtId="0" fontId="14" fillId="21" xfId="0" applyNumberFormat="1" applyFont="1" applyFill="1" applyBorder="0" applyAlignment="1">
      <x:alignment horizontal="left" vertical="top" wrapText="1"/>
    </x:xf>
    <x:xf numFmtId="0" fontId="14" fillId="21" borderId="90" xfId="0" applyNumberFormat="1" applyFont="1" applyFill="1" applyBorder="1" applyAlignment="1">
      <x:alignment horizontal="left" vertical="top" wrapText="1"/>
    </x:xf>
    <x:xf numFmtId="0" fontId="14" fillId="21" borderId="83" xfId="0" applyNumberFormat="1" applyFont="1" applyFill="1" applyBorder="1" applyAlignment="1">
      <x:alignment horizontal="left" vertical="top" wrapText="1"/>
    </x:xf>
    <x:xf numFmtId="0" fontId="14" fillId="21" borderId="84" xfId="0" applyNumberFormat="1" applyFont="1" applyFill="1" applyBorder="1" applyAlignment="1">
      <x:alignment horizontal="left" vertical="top" wrapText="1"/>
    </x:xf>
    <x:xf numFmtId="0" fontId="14" fillId="21" borderId="85" xfId="0" applyNumberFormat="1" applyFont="1" applyFill="1" applyBorder="1" applyAlignment="1">
      <x:alignment horizontal="left" vertical="top" wrapText="1"/>
    </x:xf>
    <x:xf numFmtId="0" fontId="14" fillId="25" borderId="0" xfId="0" applyNumberFormat="1" applyFont="1" applyFill="1" applyBorder="1"/>
    <x:xf numFmtId="0" fontId="14" fillId="25" borderId="80" xfId="0" applyNumberFormat="1" applyFont="1" applyFill="1" applyBorder="1"/>
    <x:xf numFmtId="0" fontId="14" fillId="25" borderId="81" xfId="0" applyNumberFormat="1" applyFont="1" applyFill="1" applyBorder="1"/>
    <x:xf numFmtId="0" fontId="14" fillId="25" borderId="82" xfId="0" applyNumberFormat="1" applyFont="1" applyFill="1" applyBorder="1"/>
    <x:xf numFmtId="0" fontId="14" fillId="25" borderId="89" xfId="0" applyNumberFormat="1" applyFont="1" applyFill="1" applyBorder="1"/>
    <x:xf numFmtId="0" fontId="14" fillId="25" xfId="0" applyNumberFormat="1" applyFont="1" applyFill="1" applyBorder="0"/>
    <x:xf numFmtId="0" fontId="14" fillId="25" borderId="90" xfId="0" applyNumberFormat="1" applyFont="1" applyFill="1" applyBorder="1"/>
    <x:xf numFmtId="0" fontId="14" fillId="25" borderId="83" xfId="0" applyNumberFormat="1" applyFont="1" applyFill="1" applyBorder="1"/>
    <x:xf numFmtId="0" fontId="14" fillId="25" borderId="84" xfId="0" applyNumberFormat="1" applyFont="1" applyFill="1" applyBorder="1"/>
    <x:xf numFmtId="0" fontId="14" fillId="25" borderId="85" xfId="0" applyNumberFormat="1" applyFont="1" applyFill="1" applyBorder="1"/>
    <x:xf numFmtId="0" fontId="14" fillId="25" borderId="80" xfId="0" applyNumberFormat="1" applyFont="1" applyFill="1" applyBorder="1" applyAlignment="1">
      <x:alignment wrapText="1"/>
    </x:xf>
    <x:xf numFmtId="0" fontId="14" fillId="25" borderId="81" xfId="0" applyNumberFormat="1" applyFont="1" applyFill="1" applyBorder="1" applyAlignment="1">
      <x:alignment wrapText="1"/>
    </x:xf>
    <x:xf numFmtId="0" fontId="14" fillId="25" borderId="82" xfId="0" applyNumberFormat="1" applyFont="1" applyFill="1" applyBorder="1" applyAlignment="1">
      <x:alignment wrapText="1"/>
    </x:xf>
    <x:xf numFmtId="0" fontId="14" fillId="25" borderId="89" xfId="0" applyNumberFormat="1" applyFont="1" applyFill="1" applyBorder="1" applyAlignment="1">
      <x:alignment wrapText="1"/>
    </x:xf>
    <x:xf numFmtId="0" fontId="14" fillId="25" xfId="0" applyNumberFormat="1" applyFont="1" applyFill="1" applyBorder="0" applyAlignment="1">
      <x:alignment wrapText="1"/>
    </x:xf>
    <x:xf numFmtId="0" fontId="14" fillId="25" borderId="90" xfId="0" applyNumberFormat="1" applyFont="1" applyFill="1" applyBorder="1" applyAlignment="1">
      <x:alignment wrapText="1"/>
    </x:xf>
    <x:xf numFmtId="0" fontId="14" fillId="25" borderId="83" xfId="0" applyNumberFormat="1" applyFont="1" applyFill="1" applyBorder="1" applyAlignment="1">
      <x:alignment wrapText="1"/>
    </x:xf>
    <x:xf numFmtId="0" fontId="14" fillId="25" borderId="84" xfId="0" applyNumberFormat="1" applyFont="1" applyFill="1" applyBorder="1" applyAlignment="1">
      <x:alignment wrapText="1"/>
    </x:xf>
    <x:xf numFmtId="0" fontId="14" fillId="25" borderId="85" xfId="0" applyNumberFormat="1" applyFont="1" applyFill="1" applyBorder="1" applyAlignment="1">
      <x:alignment wrapText="1"/>
    </x:xf>
    <x:xf numFmtId="0" fontId="14" fillId="25" borderId="80" xfId="0" applyNumberFormat="1" applyFont="1" applyFill="1" applyBorder="1" applyAlignment="1">
      <x:alignment horizontal="left" wrapText="1"/>
    </x:xf>
    <x:xf numFmtId="0" fontId="14" fillId="25" borderId="81" xfId="0" applyNumberFormat="1" applyFont="1" applyFill="1" applyBorder="1" applyAlignment="1">
      <x:alignment horizontal="left" wrapText="1"/>
    </x:xf>
    <x:xf numFmtId="0" fontId="14" fillId="25" borderId="82" xfId="0" applyNumberFormat="1" applyFont="1" applyFill="1" applyBorder="1" applyAlignment="1">
      <x:alignment horizontal="left" wrapText="1"/>
    </x:xf>
    <x:xf numFmtId="0" fontId="14" fillId="25" borderId="89" xfId="0" applyNumberFormat="1" applyFont="1" applyFill="1" applyBorder="1" applyAlignment="1">
      <x:alignment horizontal="left" wrapText="1"/>
    </x:xf>
    <x:xf numFmtId="0" fontId="14" fillId="25" xfId="0" applyNumberFormat="1" applyFont="1" applyFill="1" applyBorder="0" applyAlignment="1">
      <x:alignment horizontal="left" wrapText="1"/>
    </x:xf>
    <x:xf numFmtId="0" fontId="14" fillId="25" borderId="90" xfId="0" applyNumberFormat="1" applyFont="1" applyFill="1" applyBorder="1" applyAlignment="1">
      <x:alignment horizontal="left" wrapText="1"/>
    </x:xf>
    <x:xf numFmtId="0" fontId="14" fillId="25" borderId="83" xfId="0" applyNumberFormat="1" applyFont="1" applyFill="1" applyBorder="1" applyAlignment="1">
      <x:alignment horizontal="left" wrapText="1"/>
    </x:xf>
    <x:xf numFmtId="0" fontId="14" fillId="25" borderId="84" xfId="0" applyNumberFormat="1" applyFont="1" applyFill="1" applyBorder="1" applyAlignment="1">
      <x:alignment horizontal="left" wrapText="1"/>
    </x:xf>
    <x:xf numFmtId="0" fontId="14" fillId="25" borderId="85" xfId="0" applyNumberFormat="1" applyFont="1" applyFill="1" applyBorder="1" applyAlignment="1">
      <x:alignment horizontal="left" wrapText="1"/>
    </x:xf>
    <x:xf numFmtId="0" fontId="14" fillId="25" borderId="80" xfId="0" applyNumberFormat="1" applyFont="1" applyFill="1" applyBorder="1" applyAlignment="1">
      <x:alignment horizontal="left" vertical="top" wrapText="1"/>
    </x:xf>
    <x:xf numFmtId="0" fontId="14" fillId="25" borderId="81" xfId="0" applyNumberFormat="1" applyFont="1" applyFill="1" applyBorder="1" applyAlignment="1">
      <x:alignment horizontal="left" vertical="top" wrapText="1"/>
    </x:xf>
    <x:xf numFmtId="0" fontId="14" fillId="25" borderId="82" xfId="0" applyNumberFormat="1" applyFont="1" applyFill="1" applyBorder="1" applyAlignment="1">
      <x:alignment horizontal="left" vertical="top" wrapText="1"/>
    </x:xf>
    <x:xf numFmtId="0" fontId="14" fillId="25" borderId="89" xfId="0" applyNumberFormat="1" applyFont="1" applyFill="1" applyBorder="1" applyAlignment="1">
      <x:alignment horizontal="left" vertical="top" wrapText="1"/>
    </x:xf>
    <x:xf numFmtId="0" fontId="14" fillId="25" xfId="0" applyNumberFormat="1" applyFont="1" applyFill="1" applyBorder="0" applyAlignment="1">
      <x:alignment horizontal="left" vertical="top" wrapText="1"/>
    </x:xf>
    <x:xf numFmtId="0" fontId="14" fillId="25" borderId="90" xfId="0" applyNumberFormat="1" applyFont="1" applyFill="1" applyBorder="1" applyAlignment="1">
      <x:alignment horizontal="left" vertical="top" wrapText="1"/>
    </x:xf>
    <x:xf numFmtId="0" fontId="14" fillId="25" borderId="83" xfId="0" applyNumberFormat="1" applyFont="1" applyFill="1" applyBorder="1" applyAlignment="1">
      <x:alignment horizontal="left" vertical="top" wrapText="1"/>
    </x:xf>
    <x:xf numFmtId="0" fontId="14" fillId="25" borderId="84" xfId="0" applyNumberFormat="1" applyFont="1" applyFill="1" applyBorder="1" applyAlignment="1">
      <x:alignment horizontal="left" vertical="top" wrapText="1"/>
    </x:xf>
    <x:xf numFmtId="0" fontId="14" fillId="25" borderId="85" xfId="0" applyNumberFormat="1" applyFont="1" applyFill="1" applyBorder="1" applyAlignment="1">
      <x:alignment horizontal="left" vertical="top" wrapText="1"/>
    </x:xf>
    <x:xf numFmtId="0" fontId="14" fillId="19" borderId="0" xfId="0" applyNumberFormat="1" applyFont="1" applyFill="1" applyBorder="1"/>
    <x:xf numFmtId="0" fontId="14" fillId="19" borderId="80" xfId="0" applyNumberFormat="1" applyFont="1" applyFill="1" applyBorder="1"/>
    <x:xf numFmtId="0" fontId="14" fillId="19" borderId="81" xfId="0" applyNumberFormat="1" applyFont="1" applyFill="1" applyBorder="1"/>
    <x:xf numFmtId="0" fontId="14" fillId="19" borderId="82" xfId="0" applyNumberFormat="1" applyFont="1" applyFill="1" applyBorder="1"/>
    <x:xf numFmtId="0" fontId="14" fillId="19" borderId="89" xfId="0" applyNumberFormat="1" applyFont="1" applyFill="1" applyBorder="1"/>
    <x:xf numFmtId="0" fontId="14" fillId="19" xfId="0" applyNumberFormat="1" applyFont="1" applyFill="1" applyBorder="0"/>
    <x:xf numFmtId="0" fontId="14" fillId="19" borderId="90" xfId="0" applyNumberFormat="1" applyFont="1" applyFill="1" applyBorder="1"/>
    <x:xf numFmtId="0" fontId="14" fillId="19" borderId="83" xfId="0" applyNumberFormat="1" applyFont="1" applyFill="1" applyBorder="1"/>
    <x:xf numFmtId="0" fontId="14" fillId="19" borderId="84" xfId="0" applyNumberFormat="1" applyFont="1" applyFill="1" applyBorder="1"/>
    <x:xf numFmtId="0" fontId="14" fillId="19" borderId="85" xfId="0" applyNumberFormat="1" applyFont="1" applyFill="1" applyBorder="1"/>
    <x:xf numFmtId="0" fontId="14" fillId="19" borderId="80" xfId="0" applyNumberFormat="1" applyFont="1" applyFill="1" applyBorder="1" applyAlignment="1">
      <x:alignment wrapText="1"/>
    </x:xf>
    <x:xf numFmtId="0" fontId="14" fillId="19" borderId="81" xfId="0" applyNumberFormat="1" applyFont="1" applyFill="1" applyBorder="1" applyAlignment="1">
      <x:alignment wrapText="1"/>
    </x:xf>
    <x:xf numFmtId="0" fontId="14" fillId="19" borderId="82" xfId="0" applyNumberFormat="1" applyFont="1" applyFill="1" applyBorder="1" applyAlignment="1">
      <x:alignment wrapText="1"/>
    </x:xf>
    <x:xf numFmtId="0" fontId="14" fillId="19" borderId="89" xfId="0" applyNumberFormat="1" applyFont="1" applyFill="1" applyBorder="1" applyAlignment="1">
      <x:alignment wrapText="1"/>
    </x:xf>
    <x:xf numFmtId="0" fontId="14" fillId="19" xfId="0" applyNumberFormat="1" applyFont="1" applyFill="1" applyBorder="0" applyAlignment="1">
      <x:alignment wrapText="1"/>
    </x:xf>
    <x:xf numFmtId="0" fontId="14" fillId="19" borderId="90" xfId="0" applyNumberFormat="1" applyFont="1" applyFill="1" applyBorder="1" applyAlignment="1">
      <x:alignment wrapText="1"/>
    </x:xf>
    <x:xf numFmtId="0" fontId="14" fillId="19" borderId="83" xfId="0" applyNumberFormat="1" applyFont="1" applyFill="1" applyBorder="1" applyAlignment="1">
      <x:alignment wrapText="1"/>
    </x:xf>
    <x:xf numFmtId="0" fontId="14" fillId="19" borderId="84" xfId="0" applyNumberFormat="1" applyFont="1" applyFill="1" applyBorder="1" applyAlignment="1">
      <x:alignment wrapText="1"/>
    </x:xf>
    <x:xf numFmtId="0" fontId="14" fillId="19" borderId="85" xfId="0" applyNumberFormat="1" applyFont="1" applyFill="1" applyBorder="1" applyAlignment="1">
      <x:alignment wrapText="1"/>
    </x:xf>
    <x:xf numFmtId="0" fontId="14" fillId="19" borderId="80" xfId="0" applyNumberFormat="1" applyFont="1" applyFill="1" applyBorder="1" applyAlignment="1">
      <x:alignment horizontal="left" wrapText="1"/>
    </x:xf>
    <x:xf numFmtId="0" fontId="14" fillId="19" borderId="81" xfId="0" applyNumberFormat="1" applyFont="1" applyFill="1" applyBorder="1" applyAlignment="1">
      <x:alignment horizontal="left" wrapText="1"/>
    </x:xf>
    <x:xf numFmtId="0" fontId="14" fillId="19" borderId="82" xfId="0" applyNumberFormat="1" applyFont="1" applyFill="1" applyBorder="1" applyAlignment="1">
      <x:alignment horizontal="left" wrapText="1"/>
    </x:xf>
    <x:xf numFmtId="0" fontId="14" fillId="19" borderId="89" xfId="0" applyNumberFormat="1" applyFont="1" applyFill="1" applyBorder="1" applyAlignment="1">
      <x:alignment horizontal="left" wrapText="1"/>
    </x:xf>
    <x:xf numFmtId="0" fontId="14" fillId="19" xfId="0" applyNumberFormat="1" applyFont="1" applyFill="1" applyBorder="0" applyAlignment="1">
      <x:alignment horizontal="left" wrapText="1"/>
    </x:xf>
    <x:xf numFmtId="0" fontId="14" fillId="19" borderId="90" xfId="0" applyNumberFormat="1" applyFont="1" applyFill="1" applyBorder="1" applyAlignment="1">
      <x:alignment horizontal="left" wrapText="1"/>
    </x:xf>
    <x:xf numFmtId="0" fontId="14" fillId="19" borderId="83" xfId="0" applyNumberFormat="1" applyFont="1" applyFill="1" applyBorder="1" applyAlignment="1">
      <x:alignment horizontal="left" wrapText="1"/>
    </x:xf>
    <x:xf numFmtId="0" fontId="14" fillId="19" borderId="84" xfId="0" applyNumberFormat="1" applyFont="1" applyFill="1" applyBorder="1" applyAlignment="1">
      <x:alignment horizontal="left" wrapText="1"/>
    </x:xf>
    <x:xf numFmtId="0" fontId="14" fillId="19" borderId="85" xfId="0" applyNumberFormat="1" applyFont="1" applyFill="1" applyBorder="1" applyAlignment="1">
      <x:alignment horizontal="left" wrapText="1"/>
    </x:xf>
    <x:xf numFmtId="0" fontId="14" fillId="19" borderId="80" xfId="0" applyNumberFormat="1" applyFont="1" applyFill="1" applyBorder="1" applyAlignment="1">
      <x:alignment horizontal="left" vertical="top" wrapText="1"/>
    </x:xf>
    <x:xf numFmtId="0" fontId="14" fillId="19" borderId="81" xfId="0" applyNumberFormat="1" applyFont="1" applyFill="1" applyBorder="1" applyAlignment="1">
      <x:alignment horizontal="left" vertical="top" wrapText="1"/>
    </x:xf>
    <x:xf numFmtId="0" fontId="14" fillId="19" borderId="82" xfId="0" applyNumberFormat="1" applyFont="1" applyFill="1" applyBorder="1" applyAlignment="1">
      <x:alignment horizontal="left" vertical="top" wrapText="1"/>
    </x:xf>
    <x:xf numFmtId="0" fontId="14" fillId="19" borderId="89" xfId="0" applyNumberFormat="1" applyFont="1" applyFill="1" applyBorder="1" applyAlignment="1">
      <x:alignment horizontal="left" vertical="top" wrapText="1"/>
    </x:xf>
    <x:xf numFmtId="0" fontId="14" fillId="19" xfId="0" applyNumberFormat="1" applyFont="1" applyFill="1" applyBorder="0" applyAlignment="1">
      <x:alignment horizontal="left" vertical="top" wrapText="1"/>
    </x:xf>
    <x:xf numFmtId="0" fontId="14" fillId="19" borderId="90" xfId="0" applyNumberFormat="1" applyFont="1" applyFill="1" applyBorder="1" applyAlignment="1">
      <x:alignment horizontal="left" vertical="top" wrapText="1"/>
    </x:xf>
    <x:xf numFmtId="0" fontId="14" fillId="19" borderId="83" xfId="0" applyNumberFormat="1" applyFont="1" applyFill="1" applyBorder="1" applyAlignment="1">
      <x:alignment horizontal="left" vertical="top" wrapText="1"/>
    </x:xf>
    <x:xf numFmtId="0" fontId="14" fillId="19" borderId="84" xfId="0" applyNumberFormat="1" applyFont="1" applyFill="1" applyBorder="1" applyAlignment="1">
      <x:alignment horizontal="left" vertical="top" wrapText="1"/>
    </x:xf>
    <x:xf numFmtId="0" fontId="14" fillId="19" borderId="85" xfId="0" applyNumberFormat="1" applyFont="1" applyFill="1" applyBorder="1" applyAlignment="1">
      <x:alignment horizontal="left" vertical="top" wrapText="1"/>
    </x:xf>
    <x:xf numFmtId="0" fontId="11" fillId="23" borderId="86" xfId="0" applyNumberFormat="1" applyFont="1" applyFill="1" applyBorder="1" applyAlignment="1">
      <x:alignment horizontal="center" vertical="top" wrapText="1"/>
    </x:xf>
    <x:xf numFmtId="0" fontId="11" fillId="23" borderId="88" xfId="0" applyNumberFormat="1" applyFont="1" applyFill="1" applyBorder="1" applyAlignment="1">
      <x:alignment horizontal="center" vertical="top" wrapText="1"/>
    </x:xf>
    <x:xf numFmtId="0" fontId="14" fillId="23" borderId="0" xfId="0" applyNumberFormat="1" applyFont="1" applyFill="1" applyBorder="1"/>
    <x:xf numFmtId="0" fontId="14" fillId="23" borderId="86" xfId="0" applyNumberFormat="1" applyFont="1" applyFill="1" applyBorder="1"/>
    <x:xf numFmtId="0" fontId="14" fillId="23" borderId="87" xfId="0" applyNumberFormat="1" applyFont="1" applyFill="1" applyBorder="1"/>
    <x:xf numFmtId="0" fontId="14" fillId="23" borderId="88" xfId="0" applyNumberFormat="1" applyFont="1" applyFill="1" applyBorder="1"/>
    <x:xf numFmtId="0" fontId="14" fillId="23" borderId="86" xfId="0" applyNumberFormat="1" applyFont="1" applyFill="1" applyBorder="1" applyAlignment="1">
      <x:alignment wrapText="1"/>
    </x:xf>
    <x:xf numFmtId="0" fontId="14" fillId="23" borderId="87" xfId="0" applyNumberFormat="1" applyFont="1" applyFill="1" applyBorder="1" applyAlignment="1">
      <x:alignment wrapText="1"/>
    </x:xf>
    <x:xf numFmtId="0" fontId="14" fillId="23" borderId="88" xfId="0" applyNumberFormat="1" applyFont="1" applyFill="1" applyBorder="1" applyAlignment="1">
      <x:alignment wrapText="1"/>
    </x:xf>
    <x:xf numFmtId="0" fontId="14" fillId="23" borderId="86" xfId="0" applyNumberFormat="1" applyFont="1" applyFill="1" applyBorder="1" applyAlignment="1">
      <x:alignment horizontal="left" wrapText="1"/>
    </x:xf>
    <x:xf numFmtId="0" fontId="14" fillId="23" borderId="87" xfId="0" applyNumberFormat="1" applyFont="1" applyFill="1" applyBorder="1" applyAlignment="1">
      <x:alignment horizontal="left" wrapText="1"/>
    </x:xf>
    <x:xf numFmtId="0" fontId="14" fillId="23" borderId="88" xfId="0" applyNumberFormat="1" applyFont="1" applyFill="1" applyBorder="1" applyAlignment="1">
      <x:alignment horizontal="left" wrapText="1"/>
    </x:xf>
    <x:xf numFmtId="0" fontId="14" fillId="23" borderId="86" xfId="0" applyNumberFormat="1" applyFont="1" applyFill="1" applyBorder="1" applyAlignment="1">
      <x:alignment horizontal="left" vertical="top" wrapText="1"/>
    </x:xf>
    <x:xf numFmtId="0" fontId="14" fillId="23" borderId="87" xfId="0" applyNumberFormat="1" applyFont="1" applyFill="1" applyBorder="1" applyAlignment="1">
      <x:alignment horizontal="left" vertical="top" wrapText="1"/>
    </x:xf>
    <x:xf numFmtId="0" fontId="14" fillId="23" borderId="88" xfId="0" applyNumberFormat="1" applyFont="1" applyFill="1" applyBorder="1" applyAlignment="1">
      <x:alignment horizontal="left" vertical="top" wrapText="1"/>
    </x:xf>
    <x:xf numFmtId="0" fontId="11" fillId="23" borderId="87" xfId="0" applyNumberFormat="1" applyFont="1" applyFill="1" applyBorder="1" applyAlignment="1">
      <x:alignment horizontal="center" vertical="top" wrapText="1"/>
    </x:xf>
    <x:xf numFmtId="0" fontId="6" fillId="18" borderId="0" xfId="0" applyNumberFormat="1" applyFont="1" applyFill="1" applyBorder="1"/>
    <x:xf numFmtId="0" fontId="6" fillId="18" borderId="80" xfId="0" applyNumberFormat="1" applyFont="1" applyFill="1" applyBorder="1"/>
    <x:xf numFmtId="0" fontId="6" fillId="18" borderId="81" xfId="0" applyNumberFormat="1" applyFont="1" applyFill="1" applyBorder="1"/>
    <x:xf numFmtId="0" fontId="6" fillId="18" borderId="82" xfId="0" applyNumberFormat="1" applyFont="1" applyFill="1" applyBorder="1"/>
    <x:xf numFmtId="0" fontId="6" fillId="18" borderId="89" xfId="0" applyNumberFormat="1" applyFont="1" applyFill="1" applyBorder="1"/>
    <x:xf numFmtId="0" fontId="6" fillId="18" xfId="0" applyNumberFormat="1" applyFont="1" applyFill="1" applyBorder="0"/>
    <x:xf numFmtId="0" fontId="6" fillId="18" borderId="90" xfId="0" applyNumberFormat="1" applyFont="1" applyFill="1" applyBorder="1"/>
    <x:xf numFmtId="0" fontId="6" fillId="18" borderId="83" xfId="0" applyNumberFormat="1" applyFont="1" applyFill="1" applyBorder="1"/>
    <x:xf numFmtId="0" fontId="6" fillId="18" borderId="84" xfId="0" applyNumberFormat="1" applyFont="1" applyFill="1" applyBorder="1"/>
    <x:xf numFmtId="0" fontId="6" fillId="18" borderId="85" xfId="0" applyNumberFormat="1" applyFont="1" applyFill="1" applyBorder="1"/>
    <x:xf numFmtId="0" fontId="6" fillId="18" borderId="80" xfId="0" applyNumberFormat="1" applyFont="1" applyFill="1" applyBorder="1" applyAlignment="1">
      <x:alignment wrapText="1"/>
    </x:xf>
    <x:xf numFmtId="0" fontId="6" fillId="18" borderId="81" xfId="0" applyNumberFormat="1" applyFont="1" applyFill="1" applyBorder="1" applyAlignment="1">
      <x:alignment wrapText="1"/>
    </x:xf>
    <x:xf numFmtId="0" fontId="6" fillId="18" borderId="82" xfId="0" applyNumberFormat="1" applyFont="1" applyFill="1" applyBorder="1" applyAlignment="1">
      <x:alignment wrapText="1"/>
    </x:xf>
    <x:xf numFmtId="0" fontId="6" fillId="18" borderId="89" xfId="0" applyNumberFormat="1" applyFont="1" applyFill="1" applyBorder="1" applyAlignment="1">
      <x:alignment wrapText="1"/>
    </x:xf>
    <x:xf numFmtId="0" fontId="6" fillId="18" xfId="0" applyNumberFormat="1" applyFont="1" applyFill="1" applyBorder="0" applyAlignment="1">
      <x:alignment wrapText="1"/>
    </x:xf>
    <x:xf numFmtId="0" fontId="6" fillId="18" borderId="90" xfId="0" applyNumberFormat="1" applyFont="1" applyFill="1" applyBorder="1" applyAlignment="1">
      <x:alignment wrapText="1"/>
    </x:xf>
    <x:xf numFmtId="0" fontId="6" fillId="18" borderId="83" xfId="0" applyNumberFormat="1" applyFont="1" applyFill="1" applyBorder="1" applyAlignment="1">
      <x:alignment wrapText="1"/>
    </x:xf>
    <x:xf numFmtId="0" fontId="6" fillId="18" borderId="84" xfId="0" applyNumberFormat="1" applyFont="1" applyFill="1" applyBorder="1" applyAlignment="1">
      <x:alignment wrapText="1"/>
    </x:xf>
    <x:xf numFmtId="0" fontId="6" fillId="18" borderId="85" xfId="0" applyNumberFormat="1" applyFont="1" applyFill="1" applyBorder="1" applyAlignment="1">
      <x:alignment wrapText="1"/>
    </x:xf>
    <x:xf numFmtId="0" fontId="6" fillId="18" borderId="80" xfId="0" applyNumberFormat="1" applyFont="1" applyFill="1" applyBorder="1" applyAlignment="1">
      <x:alignment horizontal="left" wrapText="1"/>
    </x:xf>
    <x:xf numFmtId="0" fontId="6" fillId="18" borderId="81" xfId="0" applyNumberFormat="1" applyFont="1" applyFill="1" applyBorder="1" applyAlignment="1">
      <x:alignment horizontal="left" wrapText="1"/>
    </x:xf>
    <x:xf numFmtId="0" fontId="6" fillId="18" borderId="82" xfId="0" applyNumberFormat="1" applyFont="1" applyFill="1" applyBorder="1" applyAlignment="1">
      <x:alignment horizontal="left" wrapText="1"/>
    </x:xf>
    <x:xf numFmtId="0" fontId="6" fillId="18" borderId="89" xfId="0" applyNumberFormat="1" applyFont="1" applyFill="1" applyBorder="1" applyAlignment="1">
      <x:alignment horizontal="left" wrapText="1"/>
    </x:xf>
    <x:xf numFmtId="0" fontId="6" fillId="18" xfId="0" applyNumberFormat="1" applyFont="1" applyFill="1" applyBorder="0" applyAlignment="1">
      <x:alignment horizontal="left" wrapText="1"/>
    </x:xf>
    <x:xf numFmtId="0" fontId="6" fillId="18" borderId="90" xfId="0" applyNumberFormat="1" applyFont="1" applyFill="1" applyBorder="1" applyAlignment="1">
      <x:alignment horizontal="left" wrapText="1"/>
    </x:xf>
    <x:xf numFmtId="0" fontId="6" fillId="18" borderId="83" xfId="0" applyNumberFormat="1" applyFont="1" applyFill="1" applyBorder="1" applyAlignment="1">
      <x:alignment horizontal="left" wrapText="1"/>
    </x:xf>
    <x:xf numFmtId="0" fontId="6" fillId="18" borderId="84" xfId="0" applyNumberFormat="1" applyFont="1" applyFill="1" applyBorder="1" applyAlignment="1">
      <x:alignment horizontal="left" wrapText="1"/>
    </x:xf>
    <x:xf numFmtId="0" fontId="6" fillId="18" borderId="85" xfId="0" applyNumberFormat="1" applyFont="1" applyFill="1" applyBorder="1" applyAlignment="1">
      <x:alignment horizontal="left" wrapText="1"/>
    </x:xf>
    <x:xf numFmtId="0" fontId="6" fillId="18" borderId="80" xfId="0" applyNumberFormat="1" applyFont="1" applyFill="1" applyBorder="1" applyAlignment="1">
      <x:alignment horizontal="left" vertical="center" wrapText="1"/>
    </x:xf>
    <x:xf numFmtId="0" fontId="6" fillId="18" borderId="81" xfId="0" applyNumberFormat="1" applyFont="1" applyFill="1" applyBorder="1" applyAlignment="1">
      <x:alignment horizontal="left" vertical="center" wrapText="1"/>
    </x:xf>
    <x:xf numFmtId="0" fontId="6" fillId="18" borderId="82" xfId="0" applyNumberFormat="1" applyFont="1" applyFill="1" applyBorder="1" applyAlignment="1">
      <x:alignment horizontal="left" vertical="center" wrapText="1"/>
    </x:xf>
    <x:xf numFmtId="0" fontId="6" fillId="18" borderId="89" xfId="0" applyNumberFormat="1" applyFont="1" applyFill="1" applyBorder="1" applyAlignment="1">
      <x:alignment horizontal="left" vertical="center" wrapText="1"/>
    </x:xf>
    <x:xf numFmtId="0" fontId="6" fillId="18" xfId="0" applyNumberFormat="1" applyFont="1" applyFill="1" applyBorder="0" applyAlignment="1">
      <x:alignment horizontal="left" vertical="center" wrapText="1"/>
    </x:xf>
    <x:xf numFmtId="0" fontId="6" fillId="18" borderId="90" xfId="0" applyNumberFormat="1" applyFont="1" applyFill="1" applyBorder="1" applyAlignment="1">
      <x:alignment horizontal="left" vertical="center" wrapText="1"/>
    </x:xf>
    <x:xf numFmtId="0" fontId="6" fillId="18" borderId="83" xfId="0" applyNumberFormat="1" applyFont="1" applyFill="1" applyBorder="1" applyAlignment="1">
      <x:alignment horizontal="left" vertical="center" wrapText="1"/>
    </x:xf>
    <x:xf numFmtId="0" fontId="6" fillId="18" borderId="84" xfId="0" applyNumberFormat="1" applyFont="1" applyFill="1" applyBorder="1" applyAlignment="1">
      <x:alignment horizontal="left" vertical="center" wrapText="1"/>
    </x:xf>
    <x:xf numFmtId="0" fontId="6" fillId="18" borderId="85" xfId="0" applyNumberFormat="1" applyFont="1" applyFill="1" applyBorder="1" applyAlignment="1">
      <x:alignment horizontal="left" vertical="center" wrapText="1"/>
    </x:xf>
    <x:xf numFmtId="0" fontId="0" fillId="26" borderId="0" xfId="0" applyNumberFormat="1" applyFont="1" applyFill="1" applyBorder="1"/>
    <x:xf numFmtId="0" fontId="18" fillId="26" borderId="0" xfId="0" applyNumberFormat="1" applyFont="1" applyFill="1" applyBorder="1"/>
    <x:xf numFmtId="0" fontId="18" fillId="26" borderId="80" xfId="0" applyNumberFormat="1" applyFont="1" applyFill="1" applyBorder="1"/>
    <x:xf numFmtId="0" fontId="18" fillId="26" borderId="81" xfId="0" applyNumberFormat="1" applyFont="1" applyFill="1" applyBorder="1"/>
    <x:xf numFmtId="0" fontId="18" fillId="26" borderId="82" xfId="0" applyNumberFormat="1" applyFont="1" applyFill="1" applyBorder="1"/>
    <x:xf numFmtId="0" fontId="18" fillId="26" borderId="83" xfId="0" applyNumberFormat="1" applyFont="1" applyFill="1" applyBorder="1"/>
    <x:xf numFmtId="0" fontId="18" fillId="26" borderId="84" xfId="0" applyNumberFormat="1" applyFont="1" applyFill="1" applyBorder="1"/>
    <x:xf numFmtId="0" fontId="18" fillId="26" borderId="85" xfId="0" applyNumberFormat="1" applyFont="1" applyFill="1" applyBorder="1"/>
    <x:xf numFmtId="0" fontId="18" fillId="26" borderId="80" xfId="0" applyNumberFormat="1" applyFont="1" applyFill="1" applyBorder="1" applyAlignment="1">
      <x:alignment wrapText="1"/>
    </x:xf>
    <x:xf numFmtId="0" fontId="18" fillId="26" borderId="81" xfId="0" applyNumberFormat="1" applyFont="1" applyFill="1" applyBorder="1" applyAlignment="1">
      <x:alignment wrapText="1"/>
    </x:xf>
    <x:xf numFmtId="0" fontId="18" fillId="26" borderId="82" xfId="0" applyNumberFormat="1" applyFont="1" applyFill="1" applyBorder="1" applyAlignment="1">
      <x:alignment wrapText="1"/>
    </x:xf>
    <x:xf numFmtId="0" fontId="18" fillId="26" borderId="83" xfId="0" applyNumberFormat="1" applyFont="1" applyFill="1" applyBorder="1" applyAlignment="1">
      <x:alignment wrapText="1"/>
    </x:xf>
    <x:xf numFmtId="0" fontId="18" fillId="26" borderId="84" xfId="0" applyNumberFormat="1" applyFont="1" applyFill="1" applyBorder="1" applyAlignment="1">
      <x:alignment wrapText="1"/>
    </x:xf>
    <x:xf numFmtId="0" fontId="18" fillId="26" borderId="85" xfId="0" applyNumberFormat="1" applyFont="1" applyFill="1" applyBorder="1" applyAlignment="1">
      <x:alignment wrapText="1"/>
    </x:xf>
    <x:xf numFmtId="0" fontId="18" fillId="26" borderId="80" xfId="0" applyNumberFormat="1" applyFont="1" applyFill="1" applyBorder="1" applyAlignment="1">
      <x:alignment horizontal="left" wrapText="1"/>
    </x:xf>
    <x:xf numFmtId="0" fontId="18" fillId="26" borderId="81" xfId="0" applyNumberFormat="1" applyFont="1" applyFill="1" applyBorder="1" applyAlignment="1">
      <x:alignment horizontal="left" wrapText="1"/>
    </x:xf>
    <x:xf numFmtId="0" fontId="18" fillId="26" borderId="82" xfId="0" applyNumberFormat="1" applyFont="1" applyFill="1" applyBorder="1" applyAlignment="1">
      <x:alignment horizontal="left" wrapText="1"/>
    </x:xf>
    <x:xf numFmtId="0" fontId="18" fillId="26" borderId="83" xfId="0" applyNumberFormat="1" applyFont="1" applyFill="1" applyBorder="1" applyAlignment="1">
      <x:alignment horizontal="left" wrapText="1"/>
    </x:xf>
    <x:xf numFmtId="0" fontId="18" fillId="26" borderId="84" xfId="0" applyNumberFormat="1" applyFont="1" applyFill="1" applyBorder="1" applyAlignment="1">
      <x:alignment horizontal="left" wrapText="1"/>
    </x:xf>
    <x:xf numFmtId="0" fontId="18" fillId="26" borderId="85" xfId="0" applyNumberFormat="1" applyFont="1" applyFill="1" applyBorder="1" applyAlignment="1">
      <x:alignment horizontal="left" wrapText="1"/>
    </x:xf>
    <x:xf numFmtId="0" fontId="18" fillId="26" borderId="80" xfId="0" applyNumberFormat="1" applyFont="1" applyFill="1" applyBorder="1" applyAlignment="1">
      <x:alignment horizontal="left" vertical="center" wrapText="1"/>
    </x:xf>
    <x:xf numFmtId="0" fontId="18" fillId="26" borderId="81" xfId="0" applyNumberFormat="1" applyFont="1" applyFill="1" applyBorder="1" applyAlignment="1">
      <x:alignment horizontal="left" vertical="center" wrapText="1"/>
    </x:xf>
    <x:xf numFmtId="0" fontId="18" fillId="26" borderId="82" xfId="0" applyNumberFormat="1" applyFont="1" applyFill="1" applyBorder="1" applyAlignment="1">
      <x:alignment horizontal="left" vertical="center" wrapText="1"/>
    </x:xf>
    <x:xf numFmtId="0" fontId="18" fillId="26" borderId="83" xfId="0" applyNumberFormat="1" applyFont="1" applyFill="1" applyBorder="1" applyAlignment="1">
      <x:alignment horizontal="left" vertical="center" wrapText="1"/>
    </x:xf>
    <x:xf numFmtId="0" fontId="18" fillId="26" borderId="84" xfId="0" applyNumberFormat="1" applyFont="1" applyFill="1" applyBorder="1" applyAlignment="1">
      <x:alignment horizontal="left" vertical="center" wrapText="1"/>
    </x:xf>
    <x:xf numFmtId="0" fontId="18" fillId="26" borderId="85" xfId="0" applyNumberFormat="1" applyFont="1" applyFill="1" applyBorder="1" applyAlignment="1">
      <x:alignment horizontal="left" vertical="center" wrapText="1"/>
    </x:xf>
    <x:xf numFmtId="0" fontId="9" fillId="20" borderId="0" xfId="0" applyNumberFormat="1" applyFont="1" applyFill="1" applyBorder="1"/>
    <x:xf numFmtId="0" fontId="9" fillId="20" borderId="86" xfId="0" applyNumberFormat="1" applyFont="1" applyFill="1" applyBorder="1"/>
    <x:xf numFmtId="0" fontId="9" fillId="20" borderId="87" xfId="0" applyNumberFormat="1" applyFont="1" applyFill="1" applyBorder="1"/>
    <x:xf numFmtId="0" fontId="9" fillId="20" borderId="88" xfId="0" applyNumberFormat="1" applyFont="1" applyFill="1" applyBorder="1"/>
    <x:xf numFmtId="0" fontId="9" fillId="20" borderId="86" xfId="0" applyNumberFormat="1" applyFont="1" applyFill="1" applyBorder="1" applyAlignment="1">
      <x:alignment wrapText="1"/>
    </x:xf>
    <x:xf numFmtId="0" fontId="9" fillId="20" borderId="87" xfId="0" applyNumberFormat="1" applyFont="1" applyFill="1" applyBorder="1" applyAlignment="1">
      <x:alignment wrapText="1"/>
    </x:xf>
    <x:xf numFmtId="0" fontId="9" fillId="20" borderId="88" xfId="0" applyNumberFormat="1" applyFont="1" applyFill="1" applyBorder="1" applyAlignment="1">
      <x:alignment wrapText="1"/>
    </x:xf>
    <x:xf numFmtId="0" fontId="9" fillId="20" borderId="86" xfId="0" applyNumberFormat="1" applyFont="1" applyFill="1" applyBorder="1" applyAlignment="1">
      <x:alignment horizontal="center" wrapText="1"/>
    </x:xf>
    <x:xf numFmtId="0" fontId="9" fillId="20" borderId="87" xfId="0" applyNumberFormat="1" applyFont="1" applyFill="1" applyBorder="1" applyAlignment="1">
      <x:alignment horizontal="center" wrapText="1"/>
    </x:xf>
    <x:xf numFmtId="0" fontId="9" fillId="20" borderId="88" xfId="0" applyNumberFormat="1" applyFont="1" applyFill="1" applyBorder="1" applyAlignment="1">
      <x:alignment horizontal="center" wrapText="1"/>
    </x:xf>
    <x:xf numFmtId="0" fontId="9" fillId="20" borderId="86" xfId="0" applyNumberFormat="1" applyFont="1" applyFill="1" applyBorder="1" applyAlignment="1">
      <x:alignment horizontal="center" vertical="center" wrapText="1"/>
    </x:xf>
    <x:xf numFmtId="0" fontId="9" fillId="20" borderId="87" xfId="0" applyNumberFormat="1" applyFont="1" applyFill="1" applyBorder="1" applyAlignment="1">
      <x:alignment horizontal="center" vertical="center" wrapText="1"/>
    </x:xf>
    <x:xf numFmtId="0" fontId="9" fillId="20" borderId="88" xfId="0" applyNumberFormat="1" applyFont="1" applyFill="1" applyBorder="1" applyAlignment="1">
      <x:alignment horizontal="center" vertical="center" wrapText="1"/>
    </x:xf>
    <x:xf numFmtId="0" fontId="9" fillId="21" borderId="0" xfId="0" applyNumberFormat="1" applyFont="1" applyFill="1" applyBorder="1"/>
    <x:xf numFmtId="0" fontId="9" fillId="21" borderId="86" xfId="0" applyNumberFormat="1" applyFont="1" applyFill="1" applyBorder="1"/>
    <x:xf numFmtId="0" fontId="9" fillId="21" borderId="87" xfId="0" applyNumberFormat="1" applyFont="1" applyFill="1" applyBorder="1"/>
    <x:xf numFmtId="0" fontId="9" fillId="21" borderId="88" xfId="0" applyNumberFormat="1" applyFont="1" applyFill="1" applyBorder="1"/>
    <x:xf numFmtId="0" fontId="9" fillId="21" borderId="86" xfId="0" applyNumberFormat="1" applyFont="1" applyFill="1" applyBorder="1" applyAlignment="1">
      <x:alignment wrapText="1"/>
    </x:xf>
    <x:xf numFmtId="0" fontId="9" fillId="21" borderId="87" xfId="0" applyNumberFormat="1" applyFont="1" applyFill="1" applyBorder="1" applyAlignment="1">
      <x:alignment wrapText="1"/>
    </x:xf>
    <x:xf numFmtId="0" fontId="9" fillId="21" borderId="88" xfId="0" applyNumberFormat="1" applyFont="1" applyFill="1" applyBorder="1" applyAlignment="1">
      <x:alignment wrapText="1"/>
    </x:xf>
    <x:xf numFmtId="0" fontId="9" fillId="21" borderId="86" xfId="0" applyNumberFormat="1" applyFont="1" applyFill="1" applyBorder="1" applyAlignment="1">
      <x:alignment horizontal="center" wrapText="1"/>
    </x:xf>
    <x:xf numFmtId="0" fontId="9" fillId="21" borderId="87" xfId="0" applyNumberFormat="1" applyFont="1" applyFill="1" applyBorder="1" applyAlignment="1">
      <x:alignment horizontal="center" wrapText="1"/>
    </x:xf>
    <x:xf numFmtId="0" fontId="9" fillId="21" borderId="88" xfId="0" applyNumberFormat="1" applyFont="1" applyFill="1" applyBorder="1" applyAlignment="1">
      <x:alignment horizontal="center" wrapText="1"/>
    </x:xf>
    <x:xf numFmtId="0" fontId="9" fillId="21" borderId="86" xfId="0" applyNumberFormat="1" applyFont="1" applyFill="1" applyBorder="1" applyAlignment="1">
      <x:alignment horizontal="center" vertical="center" wrapText="1"/>
    </x:xf>
    <x:xf numFmtId="0" fontId="9" fillId="21" borderId="87" xfId="0" applyNumberFormat="1" applyFont="1" applyFill="1" applyBorder="1" applyAlignment="1">
      <x:alignment horizontal="center" vertical="center" wrapText="1"/>
    </x:xf>
    <x:xf numFmtId="0" fontId="9" fillId="21" borderId="88" xfId="0" applyNumberFormat="1" applyFont="1" applyFill="1" applyBorder="1" applyAlignment="1">
      <x:alignment horizontal="center" vertical="center" wrapText="1"/>
    </x:xf>
    <x:xf numFmtId="0" fontId="9" fillId="22" borderId="0" xfId="0" applyNumberFormat="1" applyFont="1" applyFill="1" applyBorder="1"/>
    <x:xf numFmtId="0" fontId="9" fillId="22" borderId="86" xfId="0" applyNumberFormat="1" applyFont="1" applyFill="1" applyBorder="1"/>
    <x:xf numFmtId="0" fontId="9" fillId="22" borderId="87" xfId="0" applyNumberFormat="1" applyFont="1" applyFill="1" applyBorder="1"/>
    <x:xf numFmtId="0" fontId="9" fillId="22" borderId="88" xfId="0" applyNumberFormat="1" applyFont="1" applyFill="1" applyBorder="1"/>
    <x:xf numFmtId="0" fontId="9" fillId="22" borderId="86" xfId="0" applyNumberFormat="1" applyFont="1" applyFill="1" applyBorder="1" applyAlignment="1">
      <x:alignment wrapText="1"/>
    </x:xf>
    <x:xf numFmtId="0" fontId="9" fillId="22" borderId="87" xfId="0" applyNumberFormat="1" applyFont="1" applyFill="1" applyBorder="1" applyAlignment="1">
      <x:alignment wrapText="1"/>
    </x:xf>
    <x:xf numFmtId="0" fontId="9" fillId="22" borderId="88" xfId="0" applyNumberFormat="1" applyFont="1" applyFill="1" applyBorder="1" applyAlignment="1">
      <x:alignment wrapText="1"/>
    </x:xf>
    <x:xf numFmtId="0" fontId="9" fillId="22" borderId="86" xfId="0" applyNumberFormat="1" applyFont="1" applyFill="1" applyBorder="1" applyAlignment="1">
      <x:alignment horizontal="center" wrapText="1"/>
    </x:xf>
    <x:xf numFmtId="0" fontId="9" fillId="22" borderId="87" xfId="0" applyNumberFormat="1" applyFont="1" applyFill="1" applyBorder="1" applyAlignment="1">
      <x:alignment horizontal="center" wrapText="1"/>
    </x:xf>
    <x:xf numFmtId="0" fontId="9" fillId="22" borderId="88" xfId="0" applyNumberFormat="1" applyFont="1" applyFill="1" applyBorder="1" applyAlignment="1">
      <x:alignment horizontal="center" wrapText="1"/>
    </x:xf>
    <x:xf numFmtId="0" fontId="9" fillId="22" borderId="86" xfId="0" applyNumberFormat="1" applyFont="1" applyFill="1" applyBorder="1" applyAlignment="1">
      <x:alignment horizontal="center" vertical="center" wrapText="1"/>
    </x:xf>
    <x:xf numFmtId="0" fontId="9" fillId="22" borderId="87" xfId="0" applyNumberFormat="1" applyFont="1" applyFill="1" applyBorder="1" applyAlignment="1">
      <x:alignment horizontal="center" vertical="center" wrapText="1"/>
    </x:xf>
    <x:xf numFmtId="0" fontId="9" fillId="22" borderId="88" xfId="0" applyNumberFormat="1" applyFont="1" applyFill="1" applyBorder="1" applyAlignment="1">
      <x:alignment horizontal="center" vertical="center" wrapText="1"/>
    </x:xf>
    <x:xf numFmtId="0" fontId="9" fillId="23" borderId="0" xfId="0" applyNumberFormat="1" applyFont="1" applyFill="1" applyBorder="1"/>
    <x:xf numFmtId="0" fontId="9" fillId="23" borderId="86" xfId="0" applyNumberFormat="1" applyFont="1" applyFill="1" applyBorder="1"/>
    <x:xf numFmtId="0" fontId="9" fillId="23" borderId="87" xfId="0" applyNumberFormat="1" applyFont="1" applyFill="1" applyBorder="1"/>
    <x:xf numFmtId="0" fontId="9" fillId="23" borderId="88" xfId="0" applyNumberFormat="1" applyFont="1" applyFill="1" applyBorder="1"/>
    <x:xf numFmtId="0" fontId="9" fillId="23" borderId="86" xfId="0" applyNumberFormat="1" applyFont="1" applyFill="1" applyBorder="1" applyAlignment="1">
      <x:alignment wrapText="1"/>
    </x:xf>
    <x:xf numFmtId="0" fontId="9" fillId="23" borderId="87" xfId="0" applyNumberFormat="1" applyFont="1" applyFill="1" applyBorder="1" applyAlignment="1">
      <x:alignment wrapText="1"/>
    </x:xf>
    <x:xf numFmtId="0" fontId="9" fillId="23" borderId="88" xfId="0" applyNumberFormat="1" applyFont="1" applyFill="1" applyBorder="1" applyAlignment="1">
      <x:alignment wrapText="1"/>
    </x:xf>
    <x:xf numFmtId="0" fontId="9" fillId="23" borderId="86" xfId="0" applyNumberFormat="1" applyFont="1" applyFill="1" applyBorder="1" applyAlignment="1">
      <x:alignment horizontal="center" wrapText="1"/>
    </x:xf>
    <x:xf numFmtId="0" fontId="9" fillId="23" borderId="87" xfId="0" applyNumberFormat="1" applyFont="1" applyFill="1" applyBorder="1" applyAlignment="1">
      <x:alignment horizontal="center" wrapText="1"/>
    </x:xf>
    <x:xf numFmtId="0" fontId="9" fillId="23" borderId="88" xfId="0" applyNumberFormat="1" applyFont="1" applyFill="1" applyBorder="1" applyAlignment="1">
      <x:alignment horizontal="center" wrapText="1"/>
    </x:xf>
    <x:xf numFmtId="0" fontId="9" fillId="23" borderId="86" xfId="0" applyNumberFormat="1" applyFont="1" applyFill="1" applyBorder="1" applyAlignment="1">
      <x:alignment horizontal="center" vertical="center" wrapText="1"/>
    </x:xf>
    <x:xf numFmtId="0" fontId="9" fillId="23" borderId="87" xfId="0" applyNumberFormat="1" applyFont="1" applyFill="1" applyBorder="1" applyAlignment="1">
      <x:alignment horizontal="center" vertical="center" wrapText="1"/>
    </x:xf>
    <x:xf numFmtId="0" fontId="9" fillId="23" borderId="88" xfId="0" applyNumberFormat="1" applyFont="1" applyFill="1" applyBorder="1" applyAlignment="1">
      <x:alignment horizontal="center" vertical="center" wrapText="1"/>
    </x:xf>
    <x:xf numFmtId="0" fontId="11" fillId="25" borderId="0" xfId="0" applyNumberFormat="1" applyFont="1" applyFill="1" applyBorder="1"/>
    <x:xf numFmtId="0" fontId="11" fillId="25" borderId="86" xfId="0" applyNumberFormat="1" applyFont="1" applyFill="1" applyBorder="1"/>
    <x:xf numFmtId="0" fontId="11" fillId="25" borderId="87" xfId="0" applyNumberFormat="1" applyFont="1" applyFill="1" applyBorder="1"/>
    <x:xf numFmtId="0" fontId="11" fillId="25" borderId="88" xfId="0" applyNumberFormat="1" applyFont="1" applyFill="1" applyBorder="1"/>
    <x:xf numFmtId="0" fontId="11" fillId="25" borderId="86" xfId="0" applyNumberFormat="1" applyFont="1" applyFill="1" applyBorder="1" applyAlignment="1">
      <x:alignment wrapText="1"/>
    </x:xf>
    <x:xf numFmtId="0" fontId="11" fillId="25" borderId="87" xfId="0" applyNumberFormat="1" applyFont="1" applyFill="1" applyBorder="1" applyAlignment="1">
      <x:alignment wrapText="1"/>
    </x:xf>
    <x:xf numFmtId="0" fontId="11" fillId="25" borderId="88" xfId="0" applyNumberFormat="1" applyFont="1" applyFill="1" applyBorder="1" applyAlignment="1">
      <x:alignment wrapText="1"/>
    </x:xf>
    <x:xf numFmtId="0" fontId="11" fillId="25" borderId="86" xfId="0" applyNumberFormat="1" applyFont="1" applyFill="1" applyBorder="1" applyAlignment="1">
      <x:alignment horizontal="left" wrapText="1"/>
    </x:xf>
    <x:xf numFmtId="0" fontId="11" fillId="25" borderId="87" xfId="0" applyNumberFormat="1" applyFont="1" applyFill="1" applyBorder="1" applyAlignment="1">
      <x:alignment horizontal="left" wrapText="1"/>
    </x:xf>
    <x:xf numFmtId="0" fontId="11" fillId="25" borderId="88" xfId="0" applyNumberFormat="1" applyFont="1" applyFill="1" applyBorder="1" applyAlignment="1">
      <x:alignment horizontal="left" wrapText="1"/>
    </x:xf>
    <x:xf numFmtId="0" fontId="11" fillId="25" borderId="86" xfId="0" applyNumberFormat="1" applyFont="1" applyFill="1" applyBorder="1" applyAlignment="1">
      <x:alignment horizontal="left" vertical="top" wrapText="1"/>
    </x:xf>
    <x:xf numFmtId="0" fontId="11" fillId="25" borderId="87" xfId="0" applyNumberFormat="1" applyFont="1" applyFill="1" applyBorder="1" applyAlignment="1">
      <x:alignment horizontal="left" vertical="top" wrapText="1"/>
    </x:xf>
    <x:xf numFmtId="0" fontId="11" fillId="25" borderId="88" xfId="0" applyNumberFormat="1" applyFont="1" applyFill="1" applyBorder="1" applyAlignment="1">
      <x:alignment horizontal="left" vertical="top" wrapText="1"/>
    </x:xf>
    <x:xf numFmtId="0" fontId="11" fillId="25" borderId="86" xfId="0" applyNumberFormat="1" applyFont="1" applyFill="1" applyBorder="1" applyAlignment="1">
      <x:alignment horizontal="center" wrapText="1"/>
    </x:xf>
    <x:xf numFmtId="0" fontId="11" fillId="25" borderId="87" xfId="0" applyNumberFormat="1" applyFont="1" applyFill="1" applyBorder="1" applyAlignment="1">
      <x:alignment horizontal="center" wrapText="1"/>
    </x:xf>
    <x:xf numFmtId="0" fontId="11" fillId="25" borderId="88" xfId="0" applyNumberFormat="1" applyFont="1" applyFill="1" applyBorder="1" applyAlignment="1">
      <x:alignment horizontal="center" wrapText="1"/>
    </x:xf>
    <x:xf numFmtId="0" fontId="11" fillId="25" borderId="86" xfId="0" applyNumberFormat="1" applyFont="1" applyFill="1" applyBorder="1" applyAlignment="1">
      <x:alignment horizontal="center" vertical="top" wrapText="1"/>
    </x:xf>
    <x:xf numFmtId="0" fontId="11" fillId="25" borderId="87" xfId="0" applyNumberFormat="1" applyFont="1" applyFill="1" applyBorder="1" applyAlignment="1">
      <x:alignment horizontal="center" vertical="top" wrapText="1"/>
    </x:xf>
    <x:xf numFmtId="0" fontId="11" fillId="25" borderId="88" xfId="0" applyNumberFormat="1" applyFont="1" applyFill="1" applyBorder="1" applyAlignment="1">
      <x:alignment horizontal="center" vertical="top" wrapText="1"/>
    </x:xf>
    <x:xf numFmtId="0" fontId="14" fillId="25" borderId="86" xfId="0" applyNumberFormat="1" applyFont="1" applyFill="1" applyBorder="1"/>
    <x:xf numFmtId="0" fontId="14" fillId="25" borderId="87" xfId="0" applyNumberFormat="1" applyFont="1" applyFill="1" applyBorder="1"/>
    <x:xf numFmtId="0" fontId="14" fillId="25" borderId="88" xfId="0" applyNumberFormat="1" applyFont="1" applyFill="1" applyBorder="1"/>
    <x:xf numFmtId="0" fontId="14" fillId="25" borderId="86" xfId="0" applyNumberFormat="1" applyFont="1" applyFill="1" applyBorder="1" applyAlignment="1">
      <x:alignment wrapText="1"/>
    </x:xf>
    <x:xf numFmtId="0" fontId="14" fillId="25" borderId="87" xfId="0" applyNumberFormat="1" applyFont="1" applyFill="1" applyBorder="1" applyAlignment="1">
      <x:alignment wrapText="1"/>
    </x:xf>
    <x:xf numFmtId="0" fontId="14" fillId="25" borderId="88" xfId="0" applyNumberFormat="1" applyFont="1" applyFill="1" applyBorder="1" applyAlignment="1">
      <x:alignment wrapText="1"/>
    </x:xf>
    <x:xf numFmtId="0" fontId="14" fillId="25" borderId="86" xfId="0" applyNumberFormat="1" applyFont="1" applyFill="1" applyBorder="1" applyAlignment="1">
      <x:alignment horizontal="left" wrapText="1"/>
    </x:xf>
    <x:xf numFmtId="0" fontId="14" fillId="25" borderId="87" xfId="0" applyNumberFormat="1" applyFont="1" applyFill="1" applyBorder="1" applyAlignment="1">
      <x:alignment horizontal="left" wrapText="1"/>
    </x:xf>
    <x:xf numFmtId="0" fontId="14" fillId="25" borderId="88" xfId="0" applyNumberFormat="1" applyFont="1" applyFill="1" applyBorder="1" applyAlignment="1">
      <x:alignment horizontal="left" wrapText="1"/>
    </x:xf>
    <x:xf numFmtId="0" fontId="14" fillId="25" borderId="86" xfId="0" applyNumberFormat="1" applyFont="1" applyFill="1" applyBorder="1" applyAlignment="1">
      <x:alignment horizontal="left" vertical="top" wrapText="1"/>
    </x:xf>
    <x:xf numFmtId="0" fontId="14" fillId="25" borderId="87" xfId="0" applyNumberFormat="1" applyFont="1" applyFill="1" applyBorder="1" applyAlignment="1">
      <x:alignment horizontal="left" vertical="top" wrapText="1"/>
    </x:xf>
    <x:xf numFmtId="0" fontId="14" fillId="25" borderId="88" xfId="0" applyNumberFormat="1" applyFont="1" applyFill="1" applyBorder="1" applyAlignment="1">
      <x:alignment horizontal="left" vertical="top" wrapText="1"/>
    </x:xf>
    <x:xf numFmtId="0" fontId="11" fillId="23" borderId="86" xfId="0" applyNumberFormat="1" applyFont="1" applyFill="1" applyBorder="1" applyAlignment="1">
      <x:alignment horizontal="left" wrapText="1"/>
    </x:xf>
    <x:xf numFmtId="0" fontId="11" fillId="23" borderId="87" xfId="0" applyNumberFormat="1" applyFont="1" applyFill="1" applyBorder="1" applyAlignment="1">
      <x:alignment horizontal="left" wrapText="1"/>
    </x:xf>
    <x:xf numFmtId="0" fontId="11" fillId="23" borderId="88" xfId="0" applyNumberFormat="1" applyFont="1" applyFill="1" applyBorder="1" applyAlignment="1">
      <x:alignment horizontal="left" wrapText="1"/>
    </x:xf>
    <x:xf numFmtId="0" fontId="11" fillId="23" borderId="86" xfId="0" applyNumberFormat="1" applyFont="1" applyFill="1" applyBorder="1" applyAlignment="1">
      <x:alignment horizontal="left" vertical="top" wrapText="1"/>
    </x:xf>
    <x:xf numFmtId="0" fontId="11" fillId="23" borderId="87" xfId="0" applyNumberFormat="1" applyFont="1" applyFill="1" applyBorder="1" applyAlignment="1">
      <x:alignment horizontal="left" vertical="top" wrapText="1"/>
    </x:xf>
    <x:xf numFmtId="0" fontId="11" fillId="23" borderId="88" xfId="0" applyNumberFormat="1" applyFont="1" applyFill="1" applyBorder="1" applyAlignment="1">
      <x:alignment horizontal="left" vertical="top" wrapText="1"/>
    </x:xf>
    <x:xf numFmtId="0" fontId="14" fillId="19" borderId="86" xfId="0" applyNumberFormat="1" applyFont="1" applyFill="1" applyBorder="1"/>
    <x:xf numFmtId="0" fontId="14" fillId="19" borderId="87" xfId="0" applyNumberFormat="1" applyFont="1" applyFill="1" applyBorder="1"/>
    <x:xf numFmtId="0" fontId="14" fillId="19" borderId="88" xfId="0" applyNumberFormat="1" applyFont="1" applyFill="1" applyBorder="1"/>
    <x:xf numFmtId="0" fontId="14" fillId="19" borderId="86" xfId="0" applyNumberFormat="1" applyFont="1" applyFill="1" applyBorder="1" applyAlignment="1">
      <x:alignment wrapText="1"/>
    </x:xf>
    <x:xf numFmtId="0" fontId="14" fillId="19" borderId="87" xfId="0" applyNumberFormat="1" applyFont="1" applyFill="1" applyBorder="1" applyAlignment="1">
      <x:alignment wrapText="1"/>
    </x:xf>
    <x:xf numFmtId="0" fontId="14" fillId="19" borderId="88" xfId="0" applyNumberFormat="1" applyFont="1" applyFill="1" applyBorder="1" applyAlignment="1">
      <x:alignment wrapText="1"/>
    </x:xf>
    <x:xf numFmtId="0" fontId="14" fillId="19" borderId="86" xfId="0" applyNumberFormat="1" applyFont="1" applyFill="1" applyBorder="1" applyAlignment="1">
      <x:alignment horizontal="left" wrapText="1"/>
    </x:xf>
    <x:xf numFmtId="0" fontId="14" fillId="19" borderId="87" xfId="0" applyNumberFormat="1" applyFont="1" applyFill="1" applyBorder="1" applyAlignment="1">
      <x:alignment horizontal="left" wrapText="1"/>
    </x:xf>
    <x:xf numFmtId="0" fontId="14" fillId="19" borderId="88" xfId="0" applyNumberFormat="1" applyFont="1" applyFill="1" applyBorder="1" applyAlignment="1">
      <x:alignment horizontal="left" wrapText="1"/>
    </x:xf>
    <x:xf numFmtId="0" fontId="14" fillId="19" borderId="86" xfId="0" applyNumberFormat="1" applyFont="1" applyFill="1" applyBorder="1" applyAlignment="1">
      <x:alignment horizontal="left" vertical="top" wrapText="1"/>
    </x:xf>
    <x:xf numFmtId="0" fontId="14" fillId="19" borderId="87" xfId="0" applyNumberFormat="1" applyFont="1" applyFill="1" applyBorder="1" applyAlignment="1">
      <x:alignment horizontal="left" vertical="top" wrapText="1"/>
    </x:xf>
    <x:xf numFmtId="0" fontId="14" fillId="19" borderId="88" xfId="0" applyNumberFormat="1" applyFont="1" applyFill="1" applyBorder="1" applyAlignment="1">
      <x:alignment horizontal="left" vertical="top" wrapText="1"/>
    </x:xf>
    <x:xf numFmtId="0" fontId="11" fillId="19" borderId="0" xfId="0" applyNumberFormat="1" applyFont="1" applyFill="1" applyBorder="1"/>
    <x:xf numFmtId="0" fontId="11" fillId="19" borderId="86" xfId="0" applyNumberFormat="1" applyFont="1" applyFill="1" applyBorder="1"/>
    <x:xf numFmtId="0" fontId="11" fillId="19" borderId="87" xfId="0" applyNumberFormat="1" applyFont="1" applyFill="1" applyBorder="1"/>
    <x:xf numFmtId="0" fontId="11" fillId="19" borderId="88" xfId="0" applyNumberFormat="1" applyFont="1" applyFill="1" applyBorder="1"/>
    <x:xf numFmtId="0" fontId="11" fillId="19" borderId="86" xfId="0" applyNumberFormat="1" applyFont="1" applyFill="1" applyBorder="1" applyAlignment="1">
      <x:alignment wrapText="1"/>
    </x:xf>
    <x:xf numFmtId="0" fontId="11" fillId="19" borderId="87" xfId="0" applyNumberFormat="1" applyFont="1" applyFill="1" applyBorder="1" applyAlignment="1">
      <x:alignment wrapText="1"/>
    </x:xf>
    <x:xf numFmtId="0" fontId="11" fillId="19" borderId="88" xfId="0" applyNumberFormat="1" applyFont="1" applyFill="1" applyBorder="1" applyAlignment="1">
      <x:alignment wrapText="1"/>
    </x:xf>
    <x:xf numFmtId="0" fontId="11" fillId="19" borderId="86" xfId="0" applyNumberFormat="1" applyFont="1" applyFill="1" applyBorder="1" applyAlignment="1">
      <x:alignment horizontal="center" wrapText="1"/>
    </x:xf>
    <x:xf numFmtId="0" fontId="11" fillId="19" borderId="87" xfId="0" applyNumberFormat="1" applyFont="1" applyFill="1" applyBorder="1" applyAlignment="1">
      <x:alignment horizontal="center" wrapText="1"/>
    </x:xf>
    <x:xf numFmtId="0" fontId="11" fillId="19" borderId="88" xfId="0" applyNumberFormat="1" applyFont="1" applyFill="1" applyBorder="1" applyAlignment="1">
      <x:alignment horizontal="center" wrapText="1"/>
    </x:xf>
    <x:xf numFmtId="0" fontId="11" fillId="19" borderId="86" xfId="0" applyNumberFormat="1" applyFont="1" applyFill="1" applyBorder="1" applyAlignment="1">
      <x:alignment horizontal="center" vertical="top" wrapText="1"/>
    </x:xf>
    <x:xf numFmtId="0" fontId="11" fillId="19" borderId="87" xfId="0" applyNumberFormat="1" applyFont="1" applyFill="1" applyBorder="1" applyAlignment="1">
      <x:alignment horizontal="center" vertical="top" wrapText="1"/>
    </x:xf>
    <x:xf numFmtId="0" fontId="11" fillId="19" borderId="88" xfId="0" applyNumberFormat="1" applyFont="1" applyFill="1" applyBorder="1" applyAlignment="1">
      <x:alignment horizontal="center" vertical="top" wrapText="1"/>
    </x:xf>
    <x:xf numFmtId="0" fontId="0" fillId="27" borderId="0" xfId="0" applyNumberFormat="1" applyFont="1" applyFill="1" applyBorder="1"/>
    <x:xf numFmtId="0" fontId="19" fillId="27" borderId="0" xfId="0" applyNumberFormat="1" applyFont="1" applyFill="1" applyBorder="1"/>
    <x:xf numFmtId="0" fontId="19" fillId="27" borderId="80" xfId="0" applyNumberFormat="1" applyFont="1" applyFill="1" applyBorder="1"/>
    <x:xf numFmtId="0" fontId="19" fillId="27" borderId="81" xfId="0" applyNumberFormat="1" applyFont="1" applyFill="1" applyBorder="1"/>
    <x:xf numFmtId="0" fontId="19" fillId="27" borderId="82" xfId="0" applyNumberFormat="1" applyFont="1" applyFill="1" applyBorder="1"/>
    <x:xf numFmtId="0" fontId="19" fillId="27" borderId="89" xfId="0" applyNumberFormat="1" applyFont="1" applyFill="1" applyBorder="1"/>
    <x:xf numFmtId="0" fontId="19" fillId="27" xfId="0" applyNumberFormat="1" applyFont="1" applyFill="1" applyBorder="0"/>
    <x:xf numFmtId="0" fontId="19" fillId="27" borderId="90" xfId="0" applyNumberFormat="1" applyFont="1" applyFill="1" applyBorder="1"/>
    <x:xf numFmtId="0" fontId="19" fillId="27" borderId="83" xfId="0" applyNumberFormat="1" applyFont="1" applyFill="1" applyBorder="1"/>
    <x:xf numFmtId="0" fontId="19" fillId="27" borderId="84" xfId="0" applyNumberFormat="1" applyFont="1" applyFill="1" applyBorder="1"/>
    <x:xf numFmtId="0" fontId="19" fillId="27" borderId="85" xfId="0" applyNumberFormat="1" applyFont="1" applyFill="1" applyBorder="1"/>
    <x:xf numFmtId="0" fontId="19" fillId="27" borderId="80" xfId="0" applyNumberFormat="1" applyFont="1" applyFill="1" applyBorder="1" applyAlignment="1">
      <x:alignment wrapText="1"/>
    </x:xf>
    <x:xf numFmtId="0" fontId="19" fillId="27" borderId="81" xfId="0" applyNumberFormat="1" applyFont="1" applyFill="1" applyBorder="1" applyAlignment="1">
      <x:alignment wrapText="1"/>
    </x:xf>
    <x:xf numFmtId="0" fontId="19" fillId="27" borderId="82" xfId="0" applyNumberFormat="1" applyFont="1" applyFill="1" applyBorder="1" applyAlignment="1">
      <x:alignment wrapText="1"/>
    </x:xf>
    <x:xf numFmtId="0" fontId="19" fillId="27" borderId="89" xfId="0" applyNumberFormat="1" applyFont="1" applyFill="1" applyBorder="1" applyAlignment="1">
      <x:alignment wrapText="1"/>
    </x:xf>
    <x:xf numFmtId="0" fontId="19" fillId="27" xfId="0" applyNumberFormat="1" applyFont="1" applyFill="1" applyBorder="0" applyAlignment="1">
      <x:alignment wrapText="1"/>
    </x:xf>
    <x:xf numFmtId="0" fontId="19" fillId="27" borderId="90" xfId="0" applyNumberFormat="1" applyFont="1" applyFill="1" applyBorder="1" applyAlignment="1">
      <x:alignment wrapText="1"/>
    </x:xf>
    <x:xf numFmtId="0" fontId="19" fillId="27" borderId="83" xfId="0" applyNumberFormat="1" applyFont="1" applyFill="1" applyBorder="1" applyAlignment="1">
      <x:alignment wrapText="1"/>
    </x:xf>
    <x:xf numFmtId="0" fontId="19" fillId="27" borderId="84" xfId="0" applyNumberFormat="1" applyFont="1" applyFill="1" applyBorder="1" applyAlignment="1">
      <x:alignment wrapText="1"/>
    </x:xf>
    <x:xf numFmtId="0" fontId="19" fillId="27" borderId="85" xfId="0" applyNumberFormat="1" applyFont="1" applyFill="1" applyBorder="1" applyAlignment="1">
      <x:alignment wrapText="1"/>
    </x:xf>
    <x:xf numFmtId="0" fontId="19" fillId="27" borderId="80" xfId="0" applyNumberFormat="1" applyFont="1" applyFill="1" applyBorder="1" applyAlignment="1">
      <x:alignment horizontal="left" wrapText="1"/>
    </x:xf>
    <x:xf numFmtId="0" fontId="19" fillId="27" borderId="81" xfId="0" applyNumberFormat="1" applyFont="1" applyFill="1" applyBorder="1" applyAlignment="1">
      <x:alignment horizontal="left" wrapText="1"/>
    </x:xf>
    <x:xf numFmtId="0" fontId="19" fillId="27" borderId="82" xfId="0" applyNumberFormat="1" applyFont="1" applyFill="1" applyBorder="1" applyAlignment="1">
      <x:alignment horizontal="left" wrapText="1"/>
    </x:xf>
    <x:xf numFmtId="0" fontId="19" fillId="27" borderId="89" xfId="0" applyNumberFormat="1" applyFont="1" applyFill="1" applyBorder="1" applyAlignment="1">
      <x:alignment horizontal="left" wrapText="1"/>
    </x:xf>
    <x:xf numFmtId="0" fontId="19" fillId="27" xfId="0" applyNumberFormat="1" applyFont="1" applyFill="1" applyBorder="0" applyAlignment="1">
      <x:alignment horizontal="left" wrapText="1"/>
    </x:xf>
    <x:xf numFmtId="0" fontId="19" fillId="27" borderId="90" xfId="0" applyNumberFormat="1" applyFont="1" applyFill="1" applyBorder="1" applyAlignment="1">
      <x:alignment horizontal="left" wrapText="1"/>
    </x:xf>
    <x:xf numFmtId="0" fontId="19" fillId="27" borderId="83" xfId="0" applyNumberFormat="1" applyFont="1" applyFill="1" applyBorder="1" applyAlignment="1">
      <x:alignment horizontal="left" wrapText="1"/>
    </x:xf>
    <x:xf numFmtId="0" fontId="19" fillId="27" borderId="84" xfId="0" applyNumberFormat="1" applyFont="1" applyFill="1" applyBorder="1" applyAlignment="1">
      <x:alignment horizontal="left" wrapText="1"/>
    </x:xf>
    <x:xf numFmtId="0" fontId="19" fillId="27" borderId="85" xfId="0" applyNumberFormat="1" applyFont="1" applyFill="1" applyBorder="1" applyAlignment="1">
      <x:alignment horizontal="left" wrapText="1"/>
    </x:xf>
    <x:xf numFmtId="0" fontId="19" fillId="27" borderId="80" xfId="0" applyNumberFormat="1" applyFont="1" applyFill="1" applyBorder="1" applyAlignment="1">
      <x:alignment horizontal="left" vertical="top" wrapText="1"/>
    </x:xf>
    <x:xf numFmtId="0" fontId="19" fillId="27" borderId="81" xfId="0" applyNumberFormat="1" applyFont="1" applyFill="1" applyBorder="1" applyAlignment="1">
      <x:alignment horizontal="left" vertical="top" wrapText="1"/>
    </x:xf>
    <x:xf numFmtId="0" fontId="19" fillId="27" borderId="82" xfId="0" applyNumberFormat="1" applyFont="1" applyFill="1" applyBorder="1" applyAlignment="1">
      <x:alignment horizontal="left" vertical="top" wrapText="1"/>
    </x:xf>
    <x:xf numFmtId="0" fontId="19" fillId="27" borderId="89" xfId="0" applyNumberFormat="1" applyFont="1" applyFill="1" applyBorder="1" applyAlignment="1">
      <x:alignment horizontal="left" vertical="top" wrapText="1"/>
    </x:xf>
    <x:xf numFmtId="0" fontId="19" fillId="27" xfId="0" applyNumberFormat="1" applyFont="1" applyFill="1" applyBorder="0" applyAlignment="1">
      <x:alignment horizontal="left" vertical="top" wrapText="1"/>
    </x:xf>
    <x:xf numFmtId="0" fontId="19" fillId="27" borderId="90" xfId="0" applyNumberFormat="1" applyFont="1" applyFill="1" applyBorder="1" applyAlignment="1">
      <x:alignment horizontal="left" vertical="top" wrapText="1"/>
    </x:xf>
    <x:xf numFmtId="0" fontId="19" fillId="27" borderId="83" xfId="0" applyNumberFormat="1" applyFont="1" applyFill="1" applyBorder="1" applyAlignment="1">
      <x:alignment horizontal="left" vertical="top" wrapText="1"/>
    </x:xf>
    <x:xf numFmtId="0" fontId="19" fillId="27" borderId="84" xfId="0" applyNumberFormat="1" applyFont="1" applyFill="1" applyBorder="1" applyAlignment="1">
      <x:alignment horizontal="left" vertical="top" wrapText="1"/>
    </x:xf>
    <x:xf numFmtId="0" fontId="19" fillId="27" borderId="85" xfId="0" applyNumberFormat="1" applyFont="1" applyFill="1" applyBorder="1" applyAlignment="1">
      <x:alignment horizontal="left" vertical="top" wrapText="1"/>
    </x:xf>
    <x:xf numFmtId="0" fontId="20" fillId="26" borderId="0" xfId="0" applyNumberFormat="1" applyFont="1" applyFill="1" applyBorder="1"/>
    <x:xf numFmtId="0" fontId="20" fillId="26" borderId="80" xfId="0" applyNumberFormat="1" applyFont="1" applyFill="1" applyBorder="1"/>
    <x:xf numFmtId="0" fontId="20" fillId="26" borderId="81" xfId="0" applyNumberFormat="1" applyFont="1" applyFill="1" applyBorder="1"/>
    <x:xf numFmtId="0" fontId="20" fillId="26" borderId="82" xfId="0" applyNumberFormat="1" applyFont="1" applyFill="1" applyBorder="1"/>
    <x:xf numFmtId="0" fontId="20" fillId="26" borderId="89" xfId="0" applyNumberFormat="1" applyFont="1" applyFill="1" applyBorder="1"/>
    <x:xf numFmtId="0" fontId="20" fillId="26" xfId="0" applyNumberFormat="1" applyFont="1" applyFill="1" applyBorder="0"/>
    <x:xf numFmtId="0" fontId="20" fillId="26" borderId="90" xfId="0" applyNumberFormat="1" applyFont="1" applyFill="1" applyBorder="1"/>
    <x:xf numFmtId="0" fontId="20" fillId="26" borderId="83" xfId="0" applyNumberFormat="1" applyFont="1" applyFill="1" applyBorder="1"/>
    <x:xf numFmtId="0" fontId="20" fillId="26" borderId="84" xfId="0" applyNumberFormat="1" applyFont="1" applyFill="1" applyBorder="1"/>
    <x:xf numFmtId="0" fontId="20" fillId="26" borderId="85" xfId="0" applyNumberFormat="1" applyFont="1" applyFill="1" applyBorder="1"/>
    <x:xf numFmtId="0" fontId="20" fillId="26" borderId="80" xfId="0" applyNumberFormat="1" applyFont="1" applyFill="1" applyBorder="1" applyAlignment="1">
      <x:alignment wrapText="1"/>
    </x:xf>
    <x:xf numFmtId="0" fontId="20" fillId="26" borderId="81" xfId="0" applyNumberFormat="1" applyFont="1" applyFill="1" applyBorder="1" applyAlignment="1">
      <x:alignment wrapText="1"/>
    </x:xf>
    <x:xf numFmtId="0" fontId="20" fillId="26" borderId="82" xfId="0" applyNumberFormat="1" applyFont="1" applyFill="1" applyBorder="1" applyAlignment="1">
      <x:alignment wrapText="1"/>
    </x:xf>
    <x:xf numFmtId="0" fontId="20" fillId="26" borderId="89" xfId="0" applyNumberFormat="1" applyFont="1" applyFill="1" applyBorder="1" applyAlignment="1">
      <x:alignment wrapText="1"/>
    </x:xf>
    <x:xf numFmtId="0" fontId="20" fillId="26" xfId="0" applyNumberFormat="1" applyFont="1" applyFill="1" applyBorder="0" applyAlignment="1">
      <x:alignment wrapText="1"/>
    </x:xf>
    <x:xf numFmtId="0" fontId="20" fillId="26" borderId="90" xfId="0" applyNumberFormat="1" applyFont="1" applyFill="1" applyBorder="1" applyAlignment="1">
      <x:alignment wrapText="1"/>
    </x:xf>
    <x:xf numFmtId="0" fontId="20" fillId="26" borderId="83" xfId="0" applyNumberFormat="1" applyFont="1" applyFill="1" applyBorder="1" applyAlignment="1">
      <x:alignment wrapText="1"/>
    </x:xf>
    <x:xf numFmtId="0" fontId="20" fillId="26" borderId="84" xfId="0" applyNumberFormat="1" applyFont="1" applyFill="1" applyBorder="1" applyAlignment="1">
      <x:alignment wrapText="1"/>
    </x:xf>
    <x:xf numFmtId="0" fontId="20" fillId="26" borderId="85" xfId="0" applyNumberFormat="1" applyFont="1" applyFill="1" applyBorder="1" applyAlignment="1">
      <x:alignment wrapText="1"/>
    </x:xf>
    <x:xf numFmtId="0" fontId="20" fillId="26" borderId="80" xfId="0" applyNumberFormat="1" applyFont="1" applyFill="1" applyBorder="1" applyAlignment="1">
      <x:alignment horizontal="left" wrapText="1"/>
    </x:xf>
    <x:xf numFmtId="0" fontId="20" fillId="26" borderId="81" xfId="0" applyNumberFormat="1" applyFont="1" applyFill="1" applyBorder="1" applyAlignment="1">
      <x:alignment horizontal="left" wrapText="1"/>
    </x:xf>
    <x:xf numFmtId="0" fontId="20" fillId="26" borderId="82" xfId="0" applyNumberFormat="1" applyFont="1" applyFill="1" applyBorder="1" applyAlignment="1">
      <x:alignment horizontal="left" wrapText="1"/>
    </x:xf>
    <x:xf numFmtId="0" fontId="20" fillId="26" borderId="89" xfId="0" applyNumberFormat="1" applyFont="1" applyFill="1" applyBorder="1" applyAlignment="1">
      <x:alignment horizontal="left" wrapText="1"/>
    </x:xf>
    <x:xf numFmtId="0" fontId="20" fillId="26" xfId="0" applyNumberFormat="1" applyFont="1" applyFill="1" applyBorder="0" applyAlignment="1">
      <x:alignment horizontal="left" wrapText="1"/>
    </x:xf>
    <x:xf numFmtId="0" fontId="20" fillId="26" borderId="90" xfId="0" applyNumberFormat="1" applyFont="1" applyFill="1" applyBorder="1" applyAlignment="1">
      <x:alignment horizontal="left" wrapText="1"/>
    </x:xf>
    <x:xf numFmtId="0" fontId="20" fillId="26" borderId="83" xfId="0" applyNumberFormat="1" applyFont="1" applyFill="1" applyBorder="1" applyAlignment="1">
      <x:alignment horizontal="left" wrapText="1"/>
    </x:xf>
    <x:xf numFmtId="0" fontId="20" fillId="26" borderId="84" xfId="0" applyNumberFormat="1" applyFont="1" applyFill="1" applyBorder="1" applyAlignment="1">
      <x:alignment horizontal="left" wrapText="1"/>
    </x:xf>
    <x:xf numFmtId="0" fontId="20" fillId="26" borderId="85" xfId="0" applyNumberFormat="1" applyFont="1" applyFill="1" applyBorder="1" applyAlignment="1">
      <x:alignment horizontal="left" wrapText="1"/>
    </x:xf>
    <x:xf numFmtId="0" fontId="20" fillId="26" borderId="80" xfId="0" applyNumberFormat="1" applyFont="1" applyFill="1" applyBorder="1" applyAlignment="1">
      <x:alignment horizontal="left" vertical="top" wrapText="1"/>
    </x:xf>
    <x:xf numFmtId="0" fontId="20" fillId="26" borderId="81" xfId="0" applyNumberFormat="1" applyFont="1" applyFill="1" applyBorder="1" applyAlignment="1">
      <x:alignment horizontal="left" vertical="top" wrapText="1"/>
    </x:xf>
    <x:xf numFmtId="0" fontId="20" fillId="26" borderId="82" xfId="0" applyNumberFormat="1" applyFont="1" applyFill="1" applyBorder="1" applyAlignment="1">
      <x:alignment horizontal="left" vertical="top" wrapText="1"/>
    </x:xf>
    <x:xf numFmtId="0" fontId="20" fillId="26" borderId="89" xfId="0" applyNumberFormat="1" applyFont="1" applyFill="1" applyBorder="1" applyAlignment="1">
      <x:alignment horizontal="left" vertical="top" wrapText="1"/>
    </x:xf>
    <x:xf numFmtId="0" fontId="20" fillId="26" xfId="0" applyNumberFormat="1" applyFont="1" applyFill="1" applyBorder="0" applyAlignment="1">
      <x:alignment horizontal="left" vertical="top" wrapText="1"/>
    </x:xf>
    <x:xf numFmtId="0" fontId="20" fillId="26" borderId="90" xfId="0" applyNumberFormat="1" applyFont="1" applyFill="1" applyBorder="1" applyAlignment="1">
      <x:alignment horizontal="left" vertical="top" wrapText="1"/>
    </x:xf>
    <x:xf numFmtId="0" fontId="20" fillId="26" borderId="83" xfId="0" applyNumberFormat="1" applyFont="1" applyFill="1" applyBorder="1" applyAlignment="1">
      <x:alignment horizontal="left" vertical="top" wrapText="1"/>
    </x:xf>
    <x:xf numFmtId="0" fontId="20" fillId="26" borderId="84" xfId="0" applyNumberFormat="1" applyFont="1" applyFill="1" applyBorder="1" applyAlignment="1">
      <x:alignment horizontal="left" vertical="top" wrapText="1"/>
    </x:xf>
    <x:xf numFmtId="0" fontId="20" fillId="26" borderId="85" xfId="0" applyNumberFormat="1" applyFont="1" applyFill="1" applyBorder="1" applyAlignment="1">
      <x:alignment horizontal="left" vertical="top" wrapText="1"/>
    </x:xf>
    <x:xf numFmtId="0" fontId="4" fillId="0" borderId="80" xfId="0" applyNumberFormat="1" applyFont="1" applyFill="1" applyBorder="1" applyAlignment="1">
      <x:alignment vertical="top" wrapText="1"/>
    </x:xf>
    <x:xf numFmtId="0" fontId="4" fillId="0" borderId="81" xfId="0" applyNumberFormat="1" applyFont="1" applyFill="1" applyBorder="1" applyAlignment="1">
      <x:alignment vertical="top" wrapText="1"/>
    </x:xf>
    <x:xf numFmtId="0" fontId="4" fillId="0" borderId="82" xfId="0" applyNumberFormat="1" applyFont="1" applyFill="1" applyBorder="1" applyAlignment="1">
      <x:alignment vertical="top" wrapText="1"/>
    </x:xf>
    <x:xf numFmtId="0" fontId="4" fillId="0" borderId="89" xfId="0" applyNumberFormat="1" applyFont="1" applyFill="1" applyBorder="1" applyAlignment="1">
      <x:alignment vertical="top" wrapText="1"/>
    </x:xf>
    <x:xf numFmtId="0" fontId="4" fillId="0" borderId="90" xfId="0" applyNumberFormat="1" applyFont="1" applyFill="1" applyBorder="1" applyAlignment="1">
      <x:alignment vertical="top" wrapText="1"/>
    </x:xf>
    <x:xf numFmtId="0" fontId="4" fillId="0" borderId="91" xfId="0" applyNumberFormat="1" applyFont="1" applyFill="1" applyBorder="1" applyAlignment="1">
      <x:alignment vertical="top" wrapText="1"/>
    </x:xf>
    <x:xf numFmtId="0" fontId="4" fillId="0" borderId="92" xfId="0" applyNumberFormat="1" applyFont="1" applyFill="1" applyBorder="1" applyAlignment="1">
      <x:alignment vertical="top" wrapText="1"/>
    </x:xf>
    <x:xf numFmtId="0" fontId="4" fillId="0" borderId="83" xfId="0" applyNumberFormat="1" applyFont="1" applyFill="1" applyBorder="1" applyAlignment="1">
      <x:alignment vertical="top"/>
    </x:xf>
    <x:xf numFmtId="0" fontId="4" fillId="0" borderId="84" xfId="0" applyNumberFormat="1" applyFont="1" applyFill="1" applyBorder="1" applyAlignment="1">
      <x:alignment vertical="top"/>
    </x:xf>
    <x:xf numFmtId="0" fontId="4" fillId="0" borderId="85" xfId="0" applyNumberFormat="1" applyFont="1" applyFill="1" applyBorder="1" applyAlignment="1">
      <x:alignment vertical="top"/>
    </x:xf>
    <x:xf numFmtId="0" fontId="4" fillId="0" borderId="83" xfId="0" applyNumberFormat="1" applyFont="1" applyFill="1" applyBorder="1" applyAlignment="1">
      <x:alignment vertical="top" wrapText="1"/>
    </x:xf>
    <x:xf numFmtId="0" fontId="4" fillId="0" borderId="84" xfId="0" applyNumberFormat="1" applyFont="1" applyFill="1" applyBorder="1" applyAlignment="1">
      <x:alignment vertical="top" wrapText="1"/>
    </x:xf>
    <x:xf numFmtId="0" fontId="4" fillId="0" borderId="85" xfId="0" applyNumberFormat="1" applyFont="1" applyFill="1" applyBorder="1" applyAlignment="1">
      <x:alignment vertical="top" wrapText="1"/>
    </x:xf>
    <x:xf numFmtId="0" fontId="4" fillId="0" borderId="80" xfId="0" applyNumberFormat="1" applyFont="1" applyFill="1" applyBorder="1" applyAlignment="1">
      <x:alignment vertical="top"/>
    </x:xf>
    <x:xf numFmtId="0" fontId="4" fillId="0" borderId="82" xfId="0" applyNumberFormat="1" applyFont="1" applyFill="1" applyBorder="1" applyAlignment="1">
      <x:alignment vertical="top"/>
    </x:xf>
    <x:xf numFmtId="0" fontId="4" fillId="0" borderId="89" xfId="0" applyNumberFormat="1" applyFont="1" applyFill="1" applyBorder="1" applyAlignment="1">
      <x:alignment vertical="top"/>
    </x:xf>
    <x:xf numFmtId="0" fontId="4" fillId="0" borderId="90" xfId="0" applyNumberFormat="1" applyFont="1" applyFill="1" applyBorder="1" applyAlignment="1">
      <x:alignment vertical="top"/>
    </x:xf>
    <x:xf numFmtId="0" fontId="8" fillId="2" borderId="0" xfId="0" applyNumberFormat="1" applyFont="1" applyFill="1" applyBorder="1"/>
    <x:xf numFmtId="0" fontId="8" fillId="2" borderId="0" xfId="0" applyNumberFormat="1" applyFont="1" applyFill="1" applyBorder="1" applyAlignment="1">
      <x:alignment wrapText="1"/>
    </x:xf>
    <x:xf numFmtId="0" fontId="8" fillId="2" borderId="0" xfId="0" applyNumberFormat="1" applyFont="1" applyFill="1" applyBorder="1" applyAlignment="1">
      <x:alignment horizontal="left" wrapText="1"/>
    </x:xf>
    <x:xf numFmtId="0" fontId="8" fillId="2" borderId="0" xfId="0" applyNumberFormat="1" applyFont="1" applyFill="1" applyBorder="1" applyAlignment="1">
      <x:alignment horizontal="left" vertical="center" wrapText="1"/>
    </x:xf>
    <x:xf numFmtId="0" fontId="9" fillId="19" borderId="0" xfId="0" applyNumberFormat="1" applyFont="1" applyFill="1" applyBorder="1" applyAlignment="1">
      <x:alignment wrapText="1"/>
    </x:xf>
    <x:xf numFmtId="0" fontId="9" fillId="19" borderId="0" xfId="0" applyNumberFormat="1" applyFont="1" applyFill="1" applyBorder="1" applyAlignment="1">
      <x:alignment horizontal="left" wrapText="1"/>
    </x:xf>
    <x:xf numFmtId="0" fontId="9" fillId="19" borderId="0" xfId="0" applyNumberFormat="1" applyFont="1" applyFill="1" applyBorder="1" applyAlignment="1">
      <x:alignment horizontal="left" vertical="center" wrapText="1"/>
    </x:xf>
    <x:xf numFmtId="0" fontId="9" fillId="19" borderId="0" xfId="0" applyNumberFormat="1" applyFont="1" applyFill="1" applyBorder="1" applyAlignment="1">
      <x:alignment horizontal="center" wrapText="1"/>
    </x:xf>
    <x:xf numFmtId="0" fontId="9" fillId="19" borderId="0" xfId="0" applyNumberFormat="1" applyFont="1" applyFill="1" applyBorder="1" applyAlignment="1">
      <x:alignment horizontal="center" vertical="center" wrapText="1"/>
    </x:xf>
    <x:xf numFmtId="0" fontId="9" fillId="19" borderId="0" xfId="0" applyNumberFormat="1" applyFont="1" applyFill="1" applyBorder="1" applyAlignment="1">
      <x:alignment horizontal="right" wrapText="1"/>
    </x:xf>
    <x:xf numFmtId="0" fontId="9" fillId="19" borderId="0" xfId="0" applyNumberFormat="1" applyFont="1" applyFill="1" applyBorder="1" applyAlignment="1">
      <x:alignment horizontal="right" vertical="center"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10" fillId="20" borderId="0" xfId="0" applyNumberFormat="1" applyFont="1" applyFill="1" applyBorder="1" applyAlignment="1">
      <x:alignment wrapText="1"/>
    </x:xf>
    <x:xf numFmtId="0" fontId="10" fillId="20" borderId="0" xfId="0" applyNumberFormat="1" applyFont="1" applyFill="1" applyBorder="1" applyAlignment="1">
      <x:alignment horizontal="center" wrapText="1"/>
    </x:xf>
    <x:xf numFmtId="0" fontId="10" fillId="20" borderId="0" xfId="0" applyNumberFormat="1" applyFont="1" applyFill="1" applyBorder="1" applyAlignment="1">
      <x:alignment horizontal="center" vertical="center" wrapText="1"/>
    </x:xf>
    <x:xf numFmtId="0" fontId="11" fillId="20" borderId="0" xfId="0" applyNumberFormat="1" applyFont="1" applyFill="1" applyBorder="1" applyAlignment="1">
      <x:alignment wrapText="1"/>
    </x:xf>
    <x:xf numFmtId="0" fontId="11" fillId="20" borderId="0" xfId="0" applyNumberFormat="1" applyFont="1" applyFill="1" applyBorder="1" applyAlignment="1">
      <x:alignment horizontal="center" wrapText="1"/>
    </x:xf>
    <x:xf numFmtId="0" fontId="11" fillId="20" borderId="0" xfId="0" applyNumberFormat="1" applyFont="1" applyFill="1" applyBorder="1" applyAlignment="1">
      <x:alignment horizontal="center" vertical="center" wrapText="1"/>
    </x:xf>
    <x:xf numFmtId="0" fontId="10" fillId="21" borderId="0" xfId="0" applyNumberFormat="1" applyFont="1" applyFill="1" applyBorder="1" applyAlignment="1">
      <x:alignment wrapText="1"/>
    </x:xf>
    <x:xf numFmtId="0" fontId="10" fillId="21" borderId="0" xfId="0" applyNumberFormat="1" applyFont="1" applyFill="1" applyBorder="1" applyAlignment="1">
      <x:alignment horizontal="center" wrapText="1"/>
    </x:xf>
    <x:xf numFmtId="0" fontId="10" fillId="21" borderId="0" xfId="0" applyNumberFormat="1" applyFont="1" applyFill="1" applyBorder="1" applyAlignment="1">
      <x:alignment horizontal="center" vertical="center" wrapText="1"/>
    </x:xf>
    <x:xf numFmtId="0" fontId="11" fillId="21" borderId="0" xfId="0" applyNumberFormat="1" applyFont="1" applyFill="1" applyBorder="1" applyAlignment="1">
      <x:alignment wrapText="1"/>
    </x:xf>
    <x:xf numFmtId="0" fontId="11" fillId="21" borderId="0" xfId="0" applyNumberFormat="1" applyFont="1" applyFill="1" applyBorder="1" applyAlignment="1">
      <x:alignment horizontal="center" wrapText="1"/>
    </x:xf>
    <x:xf numFmtId="0" fontId="11" fillId="21" borderId="0" xfId="0" applyNumberFormat="1" applyFont="1" applyFill="1" applyBorder="1" applyAlignment="1">
      <x:alignment horizontal="center" vertical="center" wrapText="1"/>
    </x:xf>
    <x:xf numFmtId="0" fontId="10" fillId="22" borderId="0" xfId="0" applyNumberFormat="1" applyFont="1" applyFill="1" applyBorder="1" applyAlignment="1">
      <x:alignment wrapText="1"/>
    </x:xf>
    <x:xf numFmtId="0" fontId="10" fillId="22" borderId="0" xfId="0" applyNumberFormat="1" applyFont="1" applyFill="1" applyBorder="1" applyAlignment="1">
      <x:alignment horizontal="center" wrapText="1"/>
    </x:xf>
    <x:xf numFmtId="0" fontId="10" fillId="22" borderId="0" xfId="0" applyNumberFormat="1" applyFont="1" applyFill="1" applyBorder="1" applyAlignment="1">
      <x:alignment horizontal="center" vertical="center" wrapText="1"/>
    </x:xf>
    <x:xf numFmtId="0" fontId="11" fillId="22" borderId="0" xfId="0" applyNumberFormat="1" applyFont="1" applyFill="1" applyBorder="1" applyAlignment="1">
      <x:alignment wrapText="1"/>
    </x:xf>
    <x:xf numFmtId="0" fontId="11" fillId="22" borderId="0" xfId="0" applyNumberFormat="1" applyFont="1" applyFill="1" applyBorder="1" applyAlignment="1">
      <x:alignment horizontal="center" wrapText="1"/>
    </x:xf>
    <x:xf numFmtId="0" fontId="11" fillId="22" borderId="0" xfId="0" applyNumberFormat="1" applyFont="1" applyFill="1" applyBorder="1" applyAlignment="1">
      <x:alignment horizontal="center" vertical="center" wrapText="1"/>
    </x:xf>
    <x:xf numFmtId="0" fontId="10" fillId="8" borderId="0" xfId="0" applyNumberFormat="1" applyFont="1" applyFill="1" applyBorder="1"/>
    <x:xf numFmtId="0" fontId="10" fillId="8" borderId="0" xfId="0" applyNumberFormat="1" applyFont="1" applyFill="1" applyBorder="1" applyAlignment="1">
      <x:alignment wrapText="1"/>
    </x:xf>
    <x:xf numFmtId="0" fontId="10" fillId="8" borderId="0" xfId="0" applyNumberFormat="1" applyFont="1" applyFill="1" applyBorder="1" applyAlignment="1">
      <x:alignment horizontal="center" wrapText="1"/>
    </x:xf>
    <x:xf numFmtId="0" fontId="10" fillId="8" borderId="0" xfId="0" applyNumberFormat="1" applyFont="1" applyFill="1" applyBorder="1" applyAlignment="1">
      <x:alignment horizontal="center" vertical="center" wrapText="1"/>
    </x:xf>
    <x:xf numFmtId="0" fontId="11" fillId="8" borderId="0" xfId="0" applyNumberFormat="1" applyFont="1" applyFill="1" applyBorder="1"/>
    <x:xf numFmtId="0" fontId="11" fillId="8" borderId="0" xfId="0" applyNumberFormat="1" applyFont="1" applyFill="1" applyBorder="1" applyAlignment="1">
      <x:alignment wrapText="1"/>
    </x:xf>
    <x:xf numFmtId="0" fontId="11" fillId="8" borderId="0" xfId="0" applyNumberFormat="1" applyFont="1" applyFill="1" applyBorder="1" applyAlignment="1">
      <x:alignment horizontal="center" wrapText="1"/>
    </x:xf>
    <x:xf numFmtId="0" fontId="11" fillId="8" borderId="0" xfId="0" applyNumberFormat="1" applyFont="1" applyFill="1" applyBorder="1" applyAlignment="1">
      <x:alignment horizontal="center" vertical="center" wrapText="1"/>
    </x:xf>
    <x:xf numFmtId="0" fontId="12" fillId="2" borderId="0" xfId="0" applyNumberFormat="1" applyFont="1" applyFill="1" applyBorder="1"/>
    <x:xf numFmtId="0" fontId="12" fillId="2" borderId="0" xfId="0" applyNumberFormat="1" applyFont="1" applyFill="1" applyBorder="1" applyAlignment="1">
      <x:alignment wrapText="1"/>
    </x:xf>
    <x:xf numFmtId="0" fontId="12" fillId="2" borderId="0" xfId="0" applyNumberFormat="1" applyFont="1" applyFill="1" applyBorder="1" applyAlignment="1">
      <x:alignment horizontal="left" wrapText="1"/>
    </x:xf>
    <x:xf numFmtId="0" fontId="12" fillId="2" borderId="0" xfId="0" applyNumberFormat="1" applyFont="1" applyFill="1" applyBorder="1" applyAlignment="1">
      <x:alignment horizontal="left" vertical="center" wrapText="1"/>
    </x:xf>
    <x:xf numFmtId="0" fontId="13" fillId="4" borderId="0" xfId="0" applyNumberFormat="1" applyFont="1" applyFill="1" applyBorder="1"/>
    <x:xf numFmtId="0" fontId="13" fillId="4" borderId="0" xfId="0" applyNumberFormat="1" applyFont="1" applyFill="1" applyBorder="1" applyAlignment="1">
      <x:alignment wrapText="1"/>
    </x:xf>
    <x:xf numFmtId="0" fontId="13" fillId="4" borderId="0" xfId="0" applyNumberFormat="1" applyFont="1" applyFill="1" applyBorder="1" applyAlignment="1">
      <x:alignment horizontal="center" wrapText="1"/>
    </x:xf>
    <x:xf numFmtId="0" fontId="13" fillId="4" borderId="0" xfId="0" applyNumberFormat="1" applyFont="1" applyFill="1" applyBorder="1" applyAlignment="1">
      <x:alignment horizontal="center" vertical="center" wrapText="1"/>
    </x:xf>
    <x:xf numFmtId="0" fontId="11" fillId="22" borderId="0" xfId="0" applyNumberFormat="1" applyFont="1" applyFill="1" applyBorder="1" applyAlignment="1">
      <x:alignment horizontal="center" vertical="top" wrapText="1"/>
    </x:xf>
    <x:xf numFmtId="0" fontId="14" fillId="22" borderId="0" xfId="0" applyNumberFormat="1" applyFont="1" applyFill="1" applyBorder="1" applyAlignment="1">
      <x:alignment wrapText="1"/>
    </x:xf>
    <x:xf numFmtId="0" fontId="14" fillId="22" borderId="0" xfId="0" applyNumberFormat="1" applyFont="1" applyFill="1" applyBorder="1" applyAlignment="1">
      <x:alignment horizontal="left" wrapText="1"/>
    </x:xf>
    <x:xf numFmtId="0" fontId="14" fillId="22" borderId="0" xfId="0" applyNumberFormat="1" applyFont="1" applyFill="1" applyBorder="1" applyAlignment="1">
      <x:alignment horizontal="left" vertical="top" wrapText="1"/>
    </x:xf>
    <x:xf numFmtId="0" fontId="11" fillId="20" borderId="0" xfId="0" applyNumberFormat="1" applyFont="1" applyFill="1" applyBorder="1" applyAlignment="1">
      <x:alignment horizontal="center" vertical="top" wrapText="1"/>
    </x:xf>
    <x:xf numFmtId="0" fontId="14" fillId="20" borderId="0" xfId="0" applyNumberFormat="1" applyFont="1" applyFill="1" applyBorder="1" applyAlignment="1">
      <x:alignment wrapText="1"/>
    </x:xf>
    <x:xf numFmtId="0" fontId="14" fillId="20" borderId="0" xfId="0" applyNumberFormat="1" applyFont="1" applyFill="1" applyBorder="1" applyAlignment="1">
      <x:alignment horizontal="left" wrapText="1"/>
    </x:xf>
    <x:xf numFmtId="0" fontId="14" fillId="20" borderId="0" xfId="0" applyNumberFormat="1" applyFont="1" applyFill="1" applyBorder="1" applyAlignment="1">
      <x:alignment horizontal="left" vertical="top" wrapText="1"/>
    </x:xf>
    <x:xf numFmtId="0" fontId="11" fillId="21" borderId="0" xfId="0" applyNumberFormat="1" applyFont="1" applyFill="1" applyBorder="1" applyAlignment="1">
      <x:alignment horizontal="center" vertical="top" wrapText="1"/>
    </x:xf>
    <x:xf numFmtId="0" fontId="14" fillId="21" borderId="0" xfId="0" applyNumberFormat="1" applyFont="1" applyFill="1" applyBorder="1" applyAlignment="1">
      <x:alignment wrapText="1"/>
    </x:xf>
    <x:xf numFmtId="0" fontId="14" fillId="21" borderId="0" xfId="0" applyNumberFormat="1" applyFont="1" applyFill="1" applyBorder="1" applyAlignment="1">
      <x:alignment horizontal="left" wrapText="1"/>
    </x:xf>
    <x:xf numFmtId="0" fontId="14" fillId="21" borderId="0" xfId="0" applyNumberFormat="1" applyFont="1" applyFill="1" applyBorder="1" applyAlignment="1">
      <x:alignment horizontal="left" vertical="top" wrapText="1"/>
    </x:xf>
    <x:xf numFmtId="0" fontId="15" fillId="19" borderId="0" xfId="0" applyNumberFormat="1" applyFont="1" applyFill="1" applyBorder="1" applyAlignment="1">
      <x:alignment wrapText="1"/>
    </x:xf>
    <x:xf numFmtId="0" fontId="15" fillId="19" borderId="0" xfId="0" applyNumberFormat="1" applyFont="1" applyFill="1" applyBorder="1" applyAlignment="1">
      <x:alignment horizontal="left" wrapText="1"/>
    </x:xf>
    <x:xf numFmtId="0" fontId="15" fillId="19" borderId="0" xfId="0" applyNumberFormat="1" applyFont="1" applyFill="1" applyBorder="1" applyAlignment="1">
      <x:alignment horizontal="left" vertical="top" wrapText="1"/>
    </x:xf>
    <x:xf numFmtId="0" fontId="16" fillId="20" borderId="0" xfId="0" applyNumberFormat="1" applyFont="1" applyFill="1" applyBorder="1" applyAlignment="1">
      <x:alignment wrapText="1"/>
    </x:xf>
    <x:xf numFmtId="0" fontId="16" fillId="20" borderId="0" xfId="0" applyNumberFormat="1" applyFont="1" applyFill="1" applyBorder="1" applyAlignment="1">
      <x:alignment horizontal="center" wrapText="1"/>
    </x:xf>
    <x:xf numFmtId="0" fontId="16" fillId="20" borderId="0" xfId="0" applyNumberFormat="1" applyFont="1" applyFill="1" applyBorder="1" applyAlignment="1">
      <x:alignment horizontal="center" vertical="center" wrapText="1"/>
    </x:xf>
    <x:xf numFmtId="0" fontId="17" fillId="20" borderId="0" xfId="0" applyNumberFormat="1" applyFont="1" applyFill="1" applyBorder="1" applyAlignment="1">
      <x:alignment wrapText="1"/>
    </x:xf>
    <x:xf numFmtId="0" fontId="17" fillId="20" borderId="0" xfId="0" applyNumberFormat="1" applyFont="1" applyFill="1" applyBorder="1" applyAlignment="1">
      <x:alignment horizontal="center" wrapText="1"/>
    </x:xf>
    <x:xf numFmtId="0" fontId="17" fillId="20" borderId="0" xfId="0" applyNumberFormat="1" applyFont="1" applyFill="1" applyBorder="1" applyAlignment="1">
      <x:alignment horizontal="center" vertical="center" wrapText="1"/>
    </x:xf>
    <x:xf numFmtId="0" fontId="16" fillId="21" borderId="0" xfId="0" applyNumberFormat="1" applyFont="1" applyFill="1" applyBorder="1" applyAlignment="1">
      <x:alignment wrapText="1"/>
    </x:xf>
    <x:xf numFmtId="0" fontId="16" fillId="21" borderId="0" xfId="0" applyNumberFormat="1" applyFont="1" applyFill="1" applyBorder="1" applyAlignment="1">
      <x:alignment horizontal="center" wrapText="1"/>
    </x:xf>
    <x:xf numFmtId="0" fontId="16" fillId="21" borderId="0" xfId="0" applyNumberFormat="1" applyFont="1" applyFill="1" applyBorder="1" applyAlignment="1">
      <x:alignment horizontal="center" vertical="center" wrapText="1"/>
    </x:xf>
    <x:xf numFmtId="0" fontId="17" fillId="21" borderId="0" xfId="0" applyNumberFormat="1" applyFont="1" applyFill="1" applyBorder="1" applyAlignment="1">
      <x:alignment wrapText="1"/>
    </x:xf>
    <x:xf numFmtId="0" fontId="17" fillId="21" borderId="0" xfId="0" applyNumberFormat="1" applyFont="1" applyFill="1" applyBorder="1" applyAlignment="1">
      <x:alignment horizontal="center" wrapText="1"/>
    </x:xf>
    <x:xf numFmtId="0" fontId="17" fillId="21" borderId="0" xfId="0" applyNumberFormat="1" applyFont="1" applyFill="1" applyBorder="1" applyAlignment="1">
      <x:alignment horizontal="center" vertical="center" wrapText="1"/>
    </x:xf>
    <x:xf numFmtId="0" fontId="16" fillId="25" borderId="0" xfId="0" applyNumberFormat="1" applyFont="1" applyFill="1" applyBorder="1" applyAlignment="1">
      <x:alignment wrapText="1"/>
    </x:xf>
    <x:xf numFmtId="0" fontId="16" fillId="25" borderId="0" xfId="0" applyNumberFormat="1" applyFont="1" applyFill="1" applyBorder="1" applyAlignment="1">
      <x:alignment horizontal="center" wrapText="1"/>
    </x:xf>
    <x:xf numFmtId="0" fontId="16" fillId="25" borderId="0" xfId="0" applyNumberFormat="1" applyFont="1" applyFill="1" applyBorder="1" applyAlignment="1">
      <x:alignment horizontal="center" vertical="center" wrapText="1"/>
    </x:xf>
    <x:xf numFmtId="0" fontId="17" fillId="25" borderId="0" xfId="0" applyNumberFormat="1" applyFont="1" applyFill="1" applyBorder="1" applyAlignment="1">
      <x:alignment wrapText="1"/>
    </x:xf>
    <x:xf numFmtId="0" fontId="17" fillId="25" borderId="0" xfId="0" applyNumberFormat="1" applyFont="1" applyFill="1" applyBorder="1" applyAlignment="1">
      <x:alignment horizontal="center" wrapText="1"/>
    </x:xf>
    <x:xf numFmtId="0" fontId="17" fillId="25" borderId="0" xfId="0" applyNumberFormat="1" applyFont="1" applyFill="1" applyBorder="1" applyAlignment="1">
      <x:alignment horizontal="center" vertical="center" wrapText="1"/>
    </x:xf>
    <x:xf numFmtId="0" fontId="11" fillId="22" borderId="0" xfId="0" applyNumberFormat="1" applyFont="1" applyFill="1" applyBorder="1" applyAlignment="1">
      <x:alignment horizontal="left" wrapText="1"/>
    </x:xf>
    <x:xf numFmtId="0" fontId="11" fillId="22" borderId="0" xfId="0" applyNumberFormat="1" applyFont="1" applyFill="1" applyBorder="1" applyAlignment="1">
      <x:alignment horizontal="left" vertical="top" wrapText="1"/>
    </x:xf>
    <x:xf numFmtId="0" fontId="17" fillId="22" borderId="0" xfId="0" applyNumberFormat="1" applyFont="1" applyFill="1" applyBorder="1" applyAlignment="1">
      <x:alignment wrapText="1"/>
    </x:xf>
    <x:xf numFmtId="0" fontId="17" fillId="22" borderId="0" xfId="0" applyNumberFormat="1" applyFont="1" applyFill="1" applyBorder="1" applyAlignment="1">
      <x:alignment horizontal="left" wrapText="1"/>
    </x:xf>
    <x:xf numFmtId="0" fontId="17" fillId="22" borderId="0" xfId="0" applyNumberFormat="1" applyFont="1" applyFill="1" applyBorder="1" applyAlignment="1">
      <x:alignment horizontal="left" vertical="top" wrapText="1"/>
    </x:xf>
    <x:xf numFmtId="0" fontId="11" fillId="20" borderId="0" xfId="0" applyNumberFormat="1" applyFont="1" applyFill="1" applyBorder="1" applyAlignment="1">
      <x:alignment horizontal="left" wrapText="1"/>
    </x:xf>
    <x:xf numFmtId="0" fontId="11" fillId="20" borderId="0" xfId="0" applyNumberFormat="1" applyFont="1" applyFill="1" applyBorder="1" applyAlignment="1">
      <x:alignment horizontal="left" vertical="top" wrapText="1"/>
    </x:xf>
    <x:xf numFmtId="0" fontId="17" fillId="20" borderId="0" xfId="0" applyNumberFormat="1" applyFont="1" applyFill="1" applyBorder="1" applyAlignment="1">
      <x:alignment horizontal="left" wrapText="1"/>
    </x:xf>
    <x:xf numFmtId="0" fontId="17" fillId="20" borderId="0" xfId="0" applyNumberFormat="1" applyFont="1" applyFill="1" applyBorder="1" applyAlignment="1">
      <x:alignment horizontal="left" vertical="top" wrapText="1"/>
    </x:xf>
    <x:xf numFmtId="0" fontId="11" fillId="21" borderId="0" xfId="0" applyNumberFormat="1" applyFont="1" applyFill="1" applyBorder="1" applyAlignment="1">
      <x:alignment horizontal="left" wrapText="1"/>
    </x:xf>
    <x:xf numFmtId="0" fontId="11" fillId="21" borderId="0" xfId="0" applyNumberFormat="1" applyFont="1" applyFill="1" applyBorder="1" applyAlignment="1">
      <x:alignment horizontal="left" vertical="top" wrapText="1"/>
    </x:xf>
    <x:xf numFmtId="0" fontId="17" fillId="21" borderId="0" xfId="0" applyNumberFormat="1" applyFont="1" applyFill="1" applyBorder="1" applyAlignment="1">
      <x:alignment horizontal="left" wrapText="1"/>
    </x:xf>
    <x:xf numFmtId="0" fontId="17" fillId="21" borderId="0" xfId="0" applyNumberFormat="1" applyFont="1" applyFill="1" applyBorder="1" applyAlignment="1">
      <x:alignment horizontal="left" vertical="top" wrapText="1"/>
    </x:xf>
    <x:xf numFmtId="0" fontId="14" fillId="25" borderId="0" xfId="0" applyNumberFormat="1" applyFont="1" applyFill="1" applyBorder="1" applyAlignment="1">
      <x:alignment wrapText="1"/>
    </x:xf>
    <x:xf numFmtId="0" fontId="14" fillId="25" borderId="0" xfId="0" applyNumberFormat="1" applyFont="1" applyFill="1" applyBorder="1" applyAlignment="1">
      <x:alignment horizontal="left" wrapText="1"/>
    </x:xf>
    <x:xf numFmtId="0" fontId="14" fillId="25" borderId="0" xfId="0" applyNumberFormat="1" applyFont="1" applyFill="1" applyBorder="1" applyAlignment="1">
      <x:alignment horizontal="left" vertical="top" wrapText="1"/>
    </x:xf>
    <x:xf numFmtId="0" fontId="14" fillId="19" borderId="0" xfId="0" applyNumberFormat="1" applyFont="1" applyFill="1" applyBorder="1" applyAlignment="1">
      <x:alignment wrapText="1"/>
    </x:xf>
    <x:xf numFmtId="0" fontId="14" fillId="19" borderId="0" xfId="0" applyNumberFormat="1" applyFont="1" applyFill="1" applyBorder="1" applyAlignment="1">
      <x:alignment horizontal="left" wrapText="1"/>
    </x:xf>
    <x:xf numFmtId="0" fontId="14" fillId="19" borderId="0" xfId="0" applyNumberFormat="1" applyFont="1" applyFill="1" applyBorder="1" applyAlignment="1">
      <x:alignment horizontal="left" vertical="top" wrapText="1"/>
    </x:xf>
    <x:xf numFmtId="0" fontId="11" fillId="8" borderId="0" xfId="0" applyNumberFormat="1" applyFont="1" applyFill="1" applyBorder="1" applyAlignment="1">
      <x:alignment horizontal="center" vertical="top" wrapText="1"/>
    </x:xf>
    <x:xf numFmtId="0" fontId="14" fillId="8" borderId="0" xfId="0" applyNumberFormat="1" applyFont="1" applyFill="1" applyBorder="1"/>
    <x:xf numFmtId="0" fontId="14" fillId="8" borderId="0" xfId="0" applyNumberFormat="1" applyFont="1" applyFill="1" applyBorder="1" applyAlignment="1">
      <x:alignment wrapText="1"/>
    </x:xf>
    <x:xf numFmtId="0" fontId="14" fillId="8" borderId="0" xfId="0" applyNumberFormat="1" applyFont="1" applyFill="1" applyBorder="1" applyAlignment="1">
      <x:alignment horizontal="left" wrapText="1"/>
    </x:xf>
    <x:xf numFmtId="0" fontId="14" fillId="8" borderId="0" xfId="0" applyNumberFormat="1" applyFont="1" applyFill="1" applyBorder="1" applyAlignment="1">
      <x:alignment horizontal="left" vertical="top" wrapText="1"/>
    </x:xf>
    <x:xf numFmtId="0" fontId="6" fillId="2" borderId="0" xfId="0" applyNumberFormat="1" applyFont="1" applyFill="1" applyBorder="1"/>
    <x:xf numFmtId="0" fontId="6" fillId="2" xfId="0" applyNumberFormat="1" applyFont="1" applyFill="1" applyBorder="0"/>
    <x:xf numFmtId="0" fontId="6" fillId="2" borderId="0" xfId="0" applyNumberFormat="1" applyFont="1" applyFill="1" applyBorder="1" applyAlignment="1">
      <x:alignment wrapText="1"/>
    </x:xf>
    <x:xf numFmtId="0" fontId="6" fillId="2" xfId="0" applyNumberFormat="1" applyFont="1" applyFill="1" applyBorder="0" applyAlignment="1">
      <x:alignment wrapText="1"/>
    </x:xf>
    <x:xf numFmtId="0" fontId="6" fillId="2" borderId="0" xfId="0" applyNumberFormat="1" applyFont="1" applyFill="1" applyBorder="1" applyAlignment="1">
      <x:alignment horizontal="left" wrapText="1"/>
    </x:xf>
    <x:xf numFmtId="0" fontId="6" fillId="2" xfId="0" applyNumberFormat="1" applyFont="1" applyFill="1" applyBorder="0" applyAlignment="1">
      <x:alignment horizontal="left" wrapText="1"/>
    </x:xf>
    <x:xf numFmtId="0" fontId="6" fillId="2" borderId="0" xfId="0" applyNumberFormat="1" applyFont="1" applyFill="1" applyBorder="1" applyAlignment="1">
      <x:alignment horizontal="left" vertical="center" wrapText="1"/>
    </x:xf>
    <x:xf numFmtId="0" fontId="6" fillId="2" xfId="0" applyNumberFormat="1" applyFont="1" applyFill="1" applyBorder="0" applyAlignment="1">
      <x:alignment horizontal="left" vertical="center" wrapText="1"/>
    </x:xf>
    <x:xf numFmtId="0" fontId="18" fillId="26" borderId="0" xfId="0" applyNumberFormat="1" applyFont="1" applyFill="1" applyBorder="1" applyAlignment="1">
      <x:alignment wrapText="1"/>
    </x:xf>
    <x:xf numFmtId="0" fontId="18" fillId="26" borderId="0" xfId="0" applyNumberFormat="1" applyFont="1" applyFill="1" applyBorder="1" applyAlignment="1">
      <x:alignment horizontal="left" wrapText="1"/>
    </x:xf>
    <x:xf numFmtId="0" fontId="18" fillId="26" borderId="0" xfId="0" applyNumberFormat="1" applyFont="1" applyFill="1" applyBorder="1" applyAlignment="1">
      <x:alignment horizontal="left" vertical="center" wrapText="1"/>
    </x:xf>
    <x:xf numFmtId="0" fontId="9" fillId="20" borderId="0" xfId="0" applyNumberFormat="1" applyFont="1" applyFill="1" applyBorder="1" applyAlignment="1">
      <x:alignment wrapText="1"/>
    </x:xf>
    <x:xf numFmtId="0" fontId="9" fillId="20" borderId="0" xfId="0" applyNumberFormat="1" applyFont="1" applyFill="1" applyBorder="1" applyAlignment="1">
      <x:alignment horizontal="center" wrapText="1"/>
    </x:xf>
    <x:xf numFmtId="0" fontId="9" fillId="20" borderId="0" xfId="0" applyNumberFormat="1" applyFont="1" applyFill="1" applyBorder="1" applyAlignment="1">
      <x:alignment horizontal="center" vertical="center" wrapText="1"/>
    </x:xf>
    <x:xf numFmtId="0" fontId="9" fillId="21" borderId="0" xfId="0" applyNumberFormat="1" applyFont="1" applyFill="1" applyBorder="1" applyAlignment="1">
      <x:alignment wrapText="1"/>
    </x:xf>
    <x:xf numFmtId="0" fontId="9" fillId="21" borderId="0" xfId="0" applyNumberFormat="1" applyFont="1" applyFill="1" applyBorder="1" applyAlignment="1">
      <x:alignment horizontal="center" wrapText="1"/>
    </x:xf>
    <x:xf numFmtId="0" fontId="9" fillId="21" borderId="0" xfId="0" applyNumberFormat="1" applyFont="1" applyFill="1" applyBorder="1" applyAlignment="1">
      <x:alignment horizontal="center" vertical="center" wrapText="1"/>
    </x:xf>
    <x:xf numFmtId="0" fontId="9" fillId="22" borderId="0" xfId="0" applyNumberFormat="1" applyFont="1" applyFill="1" applyBorder="1" applyAlignment="1">
      <x:alignment wrapText="1"/>
    </x:xf>
    <x:xf numFmtId="0" fontId="9" fillId="22" borderId="0" xfId="0" applyNumberFormat="1" applyFont="1" applyFill="1" applyBorder="1" applyAlignment="1">
      <x:alignment horizontal="center" wrapText="1"/>
    </x:xf>
    <x:xf numFmtId="0" fontId="9" fillId="22" borderId="0" xfId="0" applyNumberFormat="1" applyFont="1" applyFill="1" applyBorder="1" applyAlignment="1">
      <x:alignment horizontal="center" vertical="center" wrapText="1"/>
    </x:xf>
    <x:xf numFmtId="0" fontId="9" fillId="8" borderId="0" xfId="0" applyNumberFormat="1" applyFont="1" applyFill="1" applyBorder="1"/>
    <x:xf numFmtId="0" fontId="9" fillId="8" borderId="0" xfId="0" applyNumberFormat="1" applyFont="1" applyFill="1" applyBorder="1" applyAlignment="1">
      <x:alignment wrapText="1"/>
    </x:xf>
    <x:xf numFmtId="0" fontId="9" fillId="8" borderId="0" xfId="0" applyNumberFormat="1" applyFont="1" applyFill="1" applyBorder="1" applyAlignment="1">
      <x:alignment horizontal="center" wrapText="1"/>
    </x:xf>
    <x:xf numFmtId="0" fontId="9" fillId="8" borderId="0" xfId="0" applyNumberFormat="1" applyFont="1" applyFill="1" applyBorder="1" applyAlignment="1">
      <x:alignment horizontal="center" vertical="center" wrapText="1"/>
    </x:xf>
    <x:xf numFmtId="0" fontId="11" fillId="25" borderId="0" xfId="0" applyNumberFormat="1" applyFont="1" applyFill="1" applyBorder="1" applyAlignment="1">
      <x:alignment wrapText="1"/>
    </x:xf>
    <x:xf numFmtId="0" fontId="11" fillId="25" borderId="0" xfId="0" applyNumberFormat="1" applyFont="1" applyFill="1" applyBorder="1" applyAlignment="1">
      <x:alignment horizontal="left" wrapText="1"/>
    </x:xf>
    <x:xf numFmtId="0" fontId="11" fillId="25" borderId="0" xfId="0" applyNumberFormat="1" applyFont="1" applyFill="1" applyBorder="1" applyAlignment="1">
      <x:alignment horizontal="left" vertical="top" wrapText="1"/>
    </x:xf>
    <x:xf numFmtId="0" fontId="11" fillId="25" borderId="0" xfId="0" applyNumberFormat="1" applyFont="1" applyFill="1" applyBorder="1" applyAlignment="1">
      <x:alignment horizontal="center" wrapText="1"/>
    </x:xf>
    <x:xf numFmtId="0" fontId="11" fillId="25" borderId="0" xfId="0" applyNumberFormat="1" applyFont="1" applyFill="1" applyBorder="1" applyAlignment="1">
      <x:alignment horizontal="center" vertical="top" wrapText="1"/>
    </x:xf>
    <x:xf numFmtId="0" fontId="11" fillId="8" borderId="0" xfId="0" applyNumberFormat="1" applyFont="1" applyFill="1" applyBorder="1" applyAlignment="1">
      <x:alignment horizontal="left" wrapText="1"/>
    </x:xf>
    <x:xf numFmtId="0" fontId="11" fillId="8" borderId="0" xfId="0" applyNumberFormat="1" applyFont="1" applyFill="1" applyBorder="1" applyAlignment="1">
      <x:alignment horizontal="left" vertical="top" wrapText="1"/>
    </x:xf>
    <x:xf numFmtId="0" fontId="11" fillId="19" borderId="0" xfId="0" applyNumberFormat="1" applyFont="1" applyFill="1" applyBorder="1" applyAlignment="1">
      <x:alignment wrapText="1"/>
    </x:xf>
    <x:xf numFmtId="0" fontId="11" fillId="19" borderId="0" xfId="0" applyNumberFormat="1" applyFont="1" applyFill="1" applyBorder="1" applyAlignment="1">
      <x:alignment horizontal="center" wrapText="1"/>
    </x:xf>
    <x:xf numFmtId="0" fontId="11" fillId="19" borderId="0" xfId="0" applyNumberFormat="1" applyFont="1" applyFill="1" applyBorder="1" applyAlignment="1">
      <x:alignment horizontal="center" vertical="top" wrapText="1"/>
    </x:xf>
    <x:xf numFmtId="0" fontId="19" fillId="27" borderId="0" xfId="0" applyNumberFormat="1" applyFont="1" applyFill="1" applyBorder="1" applyAlignment="1">
      <x:alignment wrapText="1"/>
    </x:xf>
    <x:xf numFmtId="0" fontId="19" fillId="27" borderId="0" xfId="0" applyNumberFormat="1" applyFont="1" applyFill="1" applyBorder="1" applyAlignment="1">
      <x:alignment horizontal="left" wrapText="1"/>
    </x:xf>
    <x:xf numFmtId="0" fontId="19" fillId="27" borderId="0" xfId="0" applyNumberFormat="1" applyFont="1" applyFill="1" applyBorder="1" applyAlignment="1">
      <x:alignment horizontal="left" vertical="top" wrapText="1"/>
    </x:xf>
    <x:xf numFmtId="0" fontId="17" fillId="26" borderId="0" xfId="0" applyNumberFormat="1" applyFont="1" applyFill="1" applyBorder="1"/>
    <x:xf numFmtId="0" fontId="17" fillId="26" xfId="0" applyNumberFormat="1" applyFont="1" applyFill="1" applyBorder="0"/>
    <x:xf numFmtId="0" fontId="17" fillId="26" borderId="0" xfId="0" applyNumberFormat="1" applyFont="1" applyFill="1" applyBorder="1" applyAlignment="1">
      <x:alignment wrapText="1"/>
    </x:xf>
    <x:xf numFmtId="0" fontId="17" fillId="26" xfId="0" applyNumberFormat="1" applyFont="1" applyFill="1" applyBorder="0" applyAlignment="1">
      <x:alignment wrapText="1"/>
    </x:xf>
    <x:xf numFmtId="0" fontId="17" fillId="26" borderId="0" xfId="0" applyNumberFormat="1" applyFont="1" applyFill="1" applyBorder="1" applyAlignment="1">
      <x:alignment horizontal="left" wrapText="1"/>
    </x:xf>
    <x:xf numFmtId="0" fontId="17" fillId="26" xfId="0" applyNumberFormat="1" applyFont="1" applyFill="1" applyBorder="0" applyAlignment="1">
      <x:alignment horizontal="left" wrapText="1"/>
    </x:xf>
    <x:xf numFmtId="0" fontId="17" fillId="26" borderId="0" xfId="0" applyNumberFormat="1" applyFont="1" applyFill="1" applyBorder="1" applyAlignment="1">
      <x:alignment horizontal="left" vertical="top" wrapText="1"/>
    </x:xf>
    <x:xf numFmtId="0" fontId="17" fillId="26" xfId="0" applyNumberFormat="1" applyFont="1" applyFill="1" applyBorder="0" applyAlignment="1">
      <x:alignment horizontal="left" vertical="top" wrapText="1"/>
    </x:xf>
    <x:xf numFmtId="0" fontId="0" fillId="28" borderId="0" xfId="0" applyNumberFormat="1" applyFont="1" applyFill="1" applyBorder="1"/>
    <x:xf numFmtId="0" fontId="1" fillId="28" borderId="0" xfId="0" applyNumberFormat="1" applyFont="1" applyFill="1" applyBorder="1"/>
    <x:xf numFmtId="0" fontId="1" fillId="28" borderId="0" xfId="0" applyNumberFormat="1" applyFont="1" applyFill="1" applyBorder="1" applyAlignment="1">
      <x:alignment horizontal="left"/>
    </x:xf>
    <x:xf numFmtId="0" fontId="1" fillId="28" borderId="0" xfId="0" applyNumberFormat="1" applyFont="1" applyFill="1" applyBorder="1" applyAlignment="1">
      <x:alignment horizontal="left" vertical="center"/>
    </x:xf>
    <x:xf numFmtId="0" fontId="0" fillId="29" borderId="0" xfId="0" applyNumberFormat="1" applyFont="1" applyFill="1" applyBorder="1"/>
    <x:xf numFmtId="0" fontId="21" fillId="29" borderId="0" xfId="0" applyNumberFormat="1" applyFont="1" applyFill="1" applyBorder="1"/>
    <x:xf numFmtId="0" fontId="21" fillId="29" borderId="0" xfId="0" applyNumberFormat="1" applyFont="1" applyFill="1" applyBorder="1" applyAlignment="1">
      <x:alignment wrapText="1"/>
    </x:xf>
    <x:xf numFmtId="0" fontId="0" fillId="30" borderId="0" xfId="0" applyNumberFormat="1" applyFont="1" applyFill="1" applyBorder="1"/>
    <x:xf numFmtId="0" fontId="3" fillId="30" borderId="0" xfId="0" applyNumberFormat="1" applyFont="1" applyFill="1" applyBorder="1"/>
    <x:xf numFmtId="0" fontId="3" fillId="30" borderId="93" xfId="0" applyNumberFormat="1" applyFont="1" applyFill="1" applyBorder="1"/>
    <x:xf numFmtId="0" fontId="3" fillId="30" borderId="94" xfId="0" applyNumberFormat="1" applyFont="1" applyFill="1" applyBorder="1"/>
    <x:xf numFmtId="0" fontId="3" fillId="30" borderId="95" xfId="0" applyNumberFormat="1" applyFont="1" applyFill="1" applyBorder="1"/>
    <x:xf numFmtId="0" fontId="3" fillId="30" borderId="93" xfId="0" applyNumberFormat="1" applyFont="1" applyFill="1" applyBorder="1" applyAlignment="1">
      <x:alignment wrapText="1"/>
    </x:xf>
    <x:xf numFmtId="0" fontId="3" fillId="30" borderId="94" xfId="0" applyNumberFormat="1" applyFont="1" applyFill="1" applyBorder="1" applyAlignment="1">
      <x:alignment wrapText="1"/>
    </x:xf>
    <x:xf numFmtId="0" fontId="3" fillId="30" borderId="95" xfId="0" applyNumberFormat="1" applyFont="1" applyFill="1" applyBorder="1" applyAlignment="1">
      <x:alignment wrapText="1"/>
    </x:xf>
    <x:xf numFmtId="0" fontId="3" fillId="30" borderId="93" xfId="0" applyNumberFormat="1" applyFont="1" applyFill="1" applyBorder="1" applyAlignment="1">
      <x:alignment horizontal="center" wrapText="1"/>
    </x:xf>
    <x:xf numFmtId="0" fontId="3" fillId="30" borderId="94" xfId="0" applyNumberFormat="1" applyFont="1" applyFill="1" applyBorder="1" applyAlignment="1">
      <x:alignment horizontal="center" wrapText="1"/>
    </x:xf>
    <x:xf numFmtId="0" fontId="3" fillId="30" borderId="95" xfId="0" applyNumberFormat="1" applyFont="1" applyFill="1" applyBorder="1" applyAlignment="1">
      <x:alignment horizontal="center" wrapText="1"/>
    </x:xf>
    <x:xf numFmtId="0" fontId="3" fillId="30" borderId="93" xfId="0" applyNumberFormat="1" applyFont="1" applyFill="1" applyBorder="1" applyAlignment="1">
      <x:alignment horizontal="center" vertical="center" wrapText="1"/>
    </x:xf>
    <x:xf numFmtId="0" fontId="3" fillId="30" borderId="94" xfId="0" applyNumberFormat="1" applyFont="1" applyFill="1" applyBorder="1" applyAlignment="1">
      <x:alignment horizontal="center" vertical="center" wrapText="1"/>
    </x:xf>
    <x:xf numFmtId="0" fontId="3" fillId="30" borderId="95" xfId="0" applyNumberFormat="1" applyFont="1" applyFill="1" applyBorder="1" applyAlignment="1">
      <x:alignment horizontal="center" vertical="center" wrapText="1"/>
    </x:xf>
    <x:xf numFmtId="0" fontId="14" fillId="0" borderId="0" xfId="0" applyNumberFormat="1" applyFont="1" applyFill="1" applyBorder="1"/>
    <x:xf numFmtId="0" fontId="14" fillId="0" borderId="96" xfId="0" applyNumberFormat="1" applyFont="1" applyFill="1" applyBorder="1"/>
    <x:xf numFmtId="0" fontId="14" fillId="0" borderId="97" xfId="0" applyNumberFormat="1" applyFont="1" applyFill="1" applyBorder="1"/>
    <x:xf numFmtId="0" fontId="14" fillId="0" borderId="98" xfId="0" applyNumberFormat="1" applyFont="1" applyFill="1" applyBorder="1"/>
    <x:xf numFmtId="0" fontId="14" fillId="0" borderId="99" xfId="0" applyNumberFormat="1" applyFont="1" applyFill="1" applyBorder="1"/>
    <x:xf numFmtId="0" fontId="14" fillId="0" xfId="0" applyNumberFormat="1" applyFont="1" applyFill="1" applyBorder="0"/>
    <x:xf numFmtId="0" fontId="14" fillId="0" borderId="100" xfId="0" applyNumberFormat="1" applyFont="1" applyFill="1" applyBorder="1"/>
    <x:xf numFmtId="0" fontId="14" fillId="0" borderId="101" xfId="0" applyNumberFormat="1" applyFont="1" applyFill="1" applyBorder="1"/>
    <x:xf numFmtId="0" fontId="14" fillId="0" borderId="102" xfId="0" applyNumberFormat="1" applyFont="1" applyFill="1" applyBorder="1"/>
    <x:xf numFmtId="0" fontId="14" fillId="0" borderId="103" xfId="0" applyNumberFormat="1" applyFont="1" applyFill="1" applyBorder="1"/>
    <x:xf numFmtId="0" fontId="14" fillId="0" borderId="96" xfId="0" applyNumberFormat="1" applyFont="1" applyFill="1" applyBorder="1" applyAlignment="1">
      <x:alignment wrapText="1"/>
    </x:xf>
    <x:xf numFmtId="0" fontId="14" fillId="0" borderId="97" xfId="0" applyNumberFormat="1" applyFont="1" applyFill="1" applyBorder="1" applyAlignment="1">
      <x:alignment wrapText="1"/>
    </x:xf>
    <x:xf numFmtId="0" fontId="14" fillId="0" borderId="98" xfId="0" applyNumberFormat="1" applyFont="1" applyFill="1" applyBorder="1" applyAlignment="1">
      <x:alignment wrapText="1"/>
    </x:xf>
    <x:xf numFmtId="0" fontId="14" fillId="0" borderId="99" xfId="0" applyNumberFormat="1" applyFont="1" applyFill="1" applyBorder="1" applyAlignment="1">
      <x:alignment wrapText="1"/>
    </x:xf>
    <x:xf numFmtId="0" fontId="14" fillId="0" xfId="0" applyNumberFormat="1" applyFont="1" applyFill="1" applyBorder="0" applyAlignment="1">
      <x:alignment wrapText="1"/>
    </x:xf>
    <x:xf numFmtId="0" fontId="14" fillId="0" borderId="100" xfId="0" applyNumberFormat="1" applyFont="1" applyFill="1" applyBorder="1" applyAlignment="1">
      <x:alignment wrapText="1"/>
    </x:xf>
    <x:xf numFmtId="0" fontId="14" fillId="0" borderId="101" xfId="0" applyNumberFormat="1" applyFont="1" applyFill="1" applyBorder="1" applyAlignment="1">
      <x:alignment wrapText="1"/>
    </x:xf>
    <x:xf numFmtId="0" fontId="14" fillId="0" borderId="102" xfId="0" applyNumberFormat="1" applyFont="1" applyFill="1" applyBorder="1" applyAlignment="1">
      <x:alignment wrapText="1"/>
    </x:xf>
    <x:xf numFmtId="0" fontId="14" fillId="0" borderId="103" xfId="0" applyNumberFormat="1" applyFont="1" applyFill="1" applyBorder="1" applyAlignment="1">
      <x:alignment wrapText="1"/>
    </x:xf>
    <x:xf numFmtId="0" fontId="14" fillId="0" borderId="96" xfId="0" applyNumberFormat="1" applyFont="1" applyFill="1" applyBorder="1" applyAlignment="1">
      <x:alignment vertical="top" wrapText="1"/>
    </x:xf>
    <x:xf numFmtId="0" fontId="14" fillId="0" borderId="97" xfId="0" applyNumberFormat="1" applyFont="1" applyFill="1" applyBorder="1" applyAlignment="1">
      <x:alignment vertical="top" wrapText="1"/>
    </x:xf>
    <x:xf numFmtId="0" fontId="14" fillId="0" borderId="98" xfId="0" applyNumberFormat="1" applyFont="1" applyFill="1" applyBorder="1" applyAlignment="1">
      <x:alignment vertical="top" wrapText="1"/>
    </x:xf>
    <x:xf numFmtId="0" fontId="14" fillId="0" borderId="99" xfId="0" applyNumberFormat="1" applyFont="1" applyFill="1" applyBorder="1" applyAlignment="1">
      <x:alignment vertical="top" wrapText="1"/>
    </x:xf>
    <x:xf numFmtId="0" fontId="14" fillId="0" xfId="0" applyNumberFormat="1" applyFont="1" applyFill="1" applyBorder="0" applyAlignment="1">
      <x:alignment vertical="top" wrapText="1"/>
    </x:xf>
    <x:xf numFmtId="0" fontId="14" fillId="0" borderId="100" xfId="0" applyNumberFormat="1" applyFont="1" applyFill="1" applyBorder="1" applyAlignment="1">
      <x:alignment vertical="top" wrapText="1"/>
    </x:xf>
    <x:xf numFmtId="0" fontId="14" fillId="0" borderId="101" xfId="0" applyNumberFormat="1" applyFont="1" applyFill="1" applyBorder="1" applyAlignment="1">
      <x:alignment vertical="top" wrapText="1"/>
    </x:xf>
    <x:xf numFmtId="0" fontId="14" fillId="0" borderId="102" xfId="0" applyNumberFormat="1" applyFont="1" applyFill="1" applyBorder="1" applyAlignment="1">
      <x:alignment vertical="top" wrapText="1"/>
    </x:xf>
    <x:xf numFmtId="0" fontId="14" fillId="0" borderId="103" xfId="0" applyNumberFormat="1" applyFont="1" applyFill="1" applyBorder="1" applyAlignment="1">
      <x:alignment vertical="top" wrapText="1"/>
    </x:xf>
    <x:xf numFmtId="0" fontId="14" fillId="0" borderId="80" xfId="0" applyNumberFormat="1" applyFont="1" applyFill="1" applyBorder="1" applyAlignment="1">
      <x:alignment vertical="top" wrapText="1"/>
    </x:xf>
    <x:xf numFmtId="0" fontId="14" fillId="0" borderId="81" xfId="0" applyNumberFormat="1" applyFont="1" applyFill="1" applyBorder="1" applyAlignment="1">
      <x:alignment vertical="top" wrapText="1"/>
    </x:xf>
    <x:xf numFmtId="0" fontId="14" fillId="0" borderId="82" xfId="0" applyNumberFormat="1" applyFont="1" applyFill="1" applyBorder="1" applyAlignment="1">
      <x:alignment vertical="top" wrapText="1"/>
    </x:xf>
    <x:xf numFmtId="0" fontId="14" fillId="0" borderId="89" xfId="0" applyNumberFormat="1" applyFont="1" applyFill="1" applyBorder="1" applyAlignment="1">
      <x:alignment vertical="top" wrapText="1"/>
    </x:xf>
    <x:xf numFmtId="0" fontId="14" fillId="0" borderId="90" xfId="0" applyNumberFormat="1" applyFont="1" applyFill="1" applyBorder="1" applyAlignment="1">
      <x:alignment vertical="top" wrapText="1"/>
    </x:xf>
    <x:xf numFmtId="0" fontId="14" fillId="0" borderId="0" xfId="0" applyNumberFormat="1" applyFont="1" applyFill="1" applyBorder="1" applyAlignment="1">
      <x:alignment vertical="top" wrapText="1"/>
    </x:xf>
    <x:xf numFmtId="0" fontId="14" fillId="0" borderId="83" xfId="0" applyNumberFormat="1" applyFont="1" applyFill="1" applyBorder="1" applyAlignment="1">
      <x:alignment vertical="top" wrapText="1"/>
    </x:xf>
    <x:xf numFmtId="0" fontId="14" fillId="0" borderId="84" xfId="0" applyNumberFormat="1" applyFont="1" applyFill="1" applyBorder="1" applyAlignment="1">
      <x:alignment vertical="top" wrapText="1"/>
    </x:xf>
    <x:xf numFmtId="0" fontId="14" fillId="0" borderId="85" xfId="0" applyNumberFormat="1" applyFont="1" applyFill="1" applyBorder="1" applyAlignment="1">
      <x:alignment vertical="top" wrapText="1"/>
    </x:xf>
    <x:xf numFmtId="0" fontId="14" fillId="0" borderId="0" xfId="0" applyNumberFormat="1" applyFont="1" applyFill="1" applyBorder="1" applyAlignment="1">
      <x:alignment vertical="top"/>
    </x:xf>
    <x:xf numFmtId="0" fontId="14" fillId="0" borderId="104" xfId="0" applyNumberFormat="1" applyFont="1" applyFill="1" applyBorder="1" applyAlignment="1">
      <x:alignment vertical="top" wrapText="1"/>
    </x:xf>
    <x:xf numFmtId="0" fontId="14" fillId="0" borderId="105" xfId="0" applyNumberFormat="1" applyFont="1" applyFill="1" applyBorder="1" applyAlignment="1">
      <x:alignment vertical="top" wrapText="1"/>
    </x:xf>
    <x:xf numFmtId="0" fontId="14" fillId="0" borderId="101" xfId="0" applyNumberFormat="1" applyFont="1" applyFill="1" applyBorder="1" applyAlignment="1">
      <x:alignment vertical="top"/>
    </x:xf>
    <x:xf numFmtId="0" fontId="14" fillId="0" borderId="102" xfId="0" applyNumberFormat="1" applyFont="1" applyFill="1" applyBorder="1" applyAlignment="1">
      <x:alignment vertical="top"/>
    </x:xf>
    <x:xf numFmtId="0" fontId="14" fillId="0" borderId="103" xfId="0" applyNumberFormat="1" applyFont="1" applyFill="1" applyBorder="1" applyAlignment="1">
      <x:alignment vertical="top"/>
    </x:xf>
    <x:xf numFmtId="0" fontId="14" fillId="0" borderId="96" xfId="0" applyNumberFormat="1" applyFont="1" applyFill="1" applyBorder="1" applyAlignment="1">
      <x:alignment vertical="top"/>
    </x:xf>
    <x:xf numFmtId="0" fontId="14" fillId="0" borderId="98" xfId="0" applyNumberFormat="1" applyFont="1" applyFill="1" applyBorder="1" applyAlignment="1">
      <x:alignment vertical="top"/>
    </x:xf>
    <x:xf numFmtId="0" fontId="14" fillId="0" borderId="99" xfId="0" applyNumberFormat="1" applyFont="1" applyFill="1" applyBorder="1" applyAlignment="1">
      <x:alignment vertical="top"/>
    </x:xf>
    <x:xf numFmtId="0" fontId="14" fillId="0" borderId="100" xfId="0" applyNumberFormat="1" applyFont="1" applyFill="1" applyBorder="1" applyAlignment="1">
      <x:alignment vertical="top"/>
    </x:xf>
    <x:xf numFmtId="0" fontId="21" fillId="19" borderId="0" xfId="0" applyNumberFormat="1" applyFont="1" applyFill="1" applyBorder="1"/>
    <x:xf numFmtId="0" fontId="21" fillId="19" borderId="0" xfId="0" applyNumberFormat="1" applyFont="1" applyFill="1" applyBorder="1" applyAlignment="1">
      <x:alignment wrapText="1"/>
    </x:xf>
    <x:xf numFmtId="0" fontId="14" fillId="0" borderId="0" xfId="0" applyNumberFormat="1" applyFont="1" applyFill="1" applyBorder="1" applyAlignment="1">
      <x:alignment wrapText="1"/>
    </x:xf>
    <x:xf numFmtId="0" fontId="0" fillId="31" borderId="0" xfId="0" applyNumberFormat="1" applyFont="1" applyFill="1" applyBorder="1"/>
    <x:xf numFmtId="0" fontId="1" fillId="31" borderId="0" xfId="0" applyNumberFormat="1" applyFont="1" applyFill="1" applyBorder="1"/>
    <x:xf numFmtId="0" fontId="1" fillId="31" borderId="0" xfId="0" applyNumberFormat="1" applyFont="1" applyFill="1" applyBorder="1" applyAlignment="1">
      <x:alignment horizontal="left"/>
    </x:xf>
    <x:xf numFmtId="0" fontId="1" fillId="31" borderId="0" xfId="0" applyNumberFormat="1" applyFont="1" applyFill="1" applyBorder="1" applyAlignment="1">
      <x:alignment horizontal="left" vertical="center"/>
    </x:xf>
    <x:xf numFmtId="0" fontId="0" fillId="32" borderId="0" xfId="0" applyNumberFormat="1" applyFont="1" applyFill="1" applyBorder="1"/>
    <x:xf numFmtId="0" fontId="21" fillId="32" borderId="0" xfId="0" applyNumberFormat="1" applyFont="1" applyFill="1" applyBorder="1"/>
    <x:xf numFmtId="0" fontId="21" fillId="32" borderId="0" xfId="0" applyNumberFormat="1" applyFont="1" applyFill="1" applyBorder="1" applyAlignment="1">
      <x:alignment wrapText="1"/>
    </x:xf>
    <x:xf numFmtId="0" fontId="0" fillId="33" borderId="0" xfId="0" applyNumberFormat="1" applyFont="1" applyFill="1" applyBorder="1"/>
    <x:xf numFmtId="0" fontId="3" fillId="33" borderId="0" xfId="0" applyNumberFormat="1" applyFont="1" applyFill="1" applyBorder="1"/>
    <x:xf numFmtId="0" fontId="3" fillId="33" borderId="106" xfId="0" applyNumberFormat="1" applyFont="1" applyFill="1" applyBorder="1"/>
    <x:xf numFmtId="0" fontId="3" fillId="33" borderId="107" xfId="0" applyNumberFormat="1" applyFont="1" applyFill="1" applyBorder="1"/>
    <x:xf numFmtId="0" fontId="3" fillId="33" borderId="108" xfId="0" applyNumberFormat="1" applyFont="1" applyFill="1" applyBorder="1"/>
    <x:xf numFmtId="0" fontId="3" fillId="33" borderId="106" xfId="0" applyNumberFormat="1" applyFont="1" applyFill="1" applyBorder="1" applyAlignment="1">
      <x:alignment wrapText="1"/>
    </x:xf>
    <x:xf numFmtId="0" fontId="3" fillId="33" borderId="107" xfId="0" applyNumberFormat="1" applyFont="1" applyFill="1" applyBorder="1" applyAlignment="1">
      <x:alignment wrapText="1"/>
    </x:xf>
    <x:xf numFmtId="0" fontId="3" fillId="33" borderId="108" xfId="0" applyNumberFormat="1" applyFont="1" applyFill="1" applyBorder="1" applyAlignment="1">
      <x:alignment wrapText="1"/>
    </x:xf>
    <x:xf numFmtId="0" fontId="3" fillId="33" borderId="106" xfId="0" applyNumberFormat="1" applyFont="1" applyFill="1" applyBorder="1" applyAlignment="1">
      <x:alignment horizontal="center" wrapText="1"/>
    </x:xf>
    <x:xf numFmtId="0" fontId="3" fillId="33" borderId="107" xfId="0" applyNumberFormat="1" applyFont="1" applyFill="1" applyBorder="1" applyAlignment="1">
      <x:alignment horizontal="center" wrapText="1"/>
    </x:xf>
    <x:xf numFmtId="0" fontId="3" fillId="33" borderId="108" xfId="0" applyNumberFormat="1" applyFont="1" applyFill="1" applyBorder="1" applyAlignment="1">
      <x:alignment horizontal="center" wrapText="1"/>
    </x:xf>
    <x:xf numFmtId="0" fontId="3" fillId="33" borderId="106" xfId="0" applyNumberFormat="1" applyFont="1" applyFill="1" applyBorder="1" applyAlignment="1">
      <x:alignment horizontal="center" vertical="center" wrapText="1"/>
    </x:xf>
    <x:xf numFmtId="0" fontId="3" fillId="33" borderId="107" xfId="0" applyNumberFormat="1" applyFont="1" applyFill="1" applyBorder="1" applyAlignment="1">
      <x:alignment horizontal="center" vertical="center" wrapText="1"/>
    </x:xf>
    <x:xf numFmtId="0" fontId="3" fillId="33" borderId="108" xfId="0" applyNumberFormat="1" applyFont="1" applyFill="1" applyBorder="1" applyAlignment="1">
      <x:alignment horizontal="center" vertical="center" wrapText="1"/>
    </x:xf>
    <x:xf numFmtId="0" fontId="14" fillId="0" borderId="109" xfId="0" applyNumberFormat="1" applyFont="1" applyFill="1" applyBorder="1"/>
    <x:xf numFmtId="0" fontId="14" fillId="0" borderId="110" xfId="0" applyNumberFormat="1" applyFont="1" applyFill="1" applyBorder="1"/>
    <x:xf numFmtId="0" fontId="14" fillId="0" borderId="111" xfId="0" applyNumberFormat="1" applyFont="1" applyFill="1" applyBorder="1"/>
    <x:xf numFmtId="0" fontId="14" fillId="0" borderId="112" xfId="0" applyNumberFormat="1" applyFont="1" applyFill="1" applyBorder="1"/>
    <x:xf numFmtId="0" fontId="14" fillId="0" borderId="113" xfId="0" applyNumberFormat="1" applyFont="1" applyFill="1" applyBorder="1"/>
    <x:xf numFmtId="0" fontId="14" fillId="0" borderId="114" xfId="0" applyNumberFormat="1" applyFont="1" applyFill="1" applyBorder="1"/>
    <x:xf numFmtId="0" fontId="14" fillId="0" borderId="115" xfId="0" applyNumberFormat="1" applyFont="1" applyFill="1" applyBorder="1"/>
    <x:xf numFmtId="0" fontId="14" fillId="0" borderId="116" xfId="0" applyNumberFormat="1" applyFont="1" applyFill="1" applyBorder="1"/>
    <x:xf numFmtId="0" fontId="14" fillId="0" borderId="109" xfId="0" applyNumberFormat="1" applyFont="1" applyFill="1" applyBorder="1" applyAlignment="1">
      <x:alignment wrapText="1"/>
    </x:xf>
    <x:xf numFmtId="0" fontId="14" fillId="0" borderId="110" xfId="0" applyNumberFormat="1" applyFont="1" applyFill="1" applyBorder="1" applyAlignment="1">
      <x:alignment wrapText="1"/>
    </x:xf>
    <x:xf numFmtId="0" fontId="14" fillId="0" borderId="111" xfId="0" applyNumberFormat="1" applyFont="1" applyFill="1" applyBorder="1" applyAlignment="1">
      <x:alignment wrapText="1"/>
    </x:xf>
    <x:xf numFmtId="0" fontId="14" fillId="0" borderId="112" xfId="0" applyNumberFormat="1" applyFont="1" applyFill="1" applyBorder="1" applyAlignment="1">
      <x:alignment wrapText="1"/>
    </x:xf>
    <x:xf numFmtId="0" fontId="14" fillId="0" borderId="113" xfId="0" applyNumberFormat="1" applyFont="1" applyFill="1" applyBorder="1" applyAlignment="1">
      <x:alignment wrapText="1"/>
    </x:xf>
    <x:xf numFmtId="0" fontId="14" fillId="0" borderId="114" xfId="0" applyNumberFormat="1" applyFont="1" applyFill="1" applyBorder="1" applyAlignment="1">
      <x:alignment wrapText="1"/>
    </x:xf>
    <x:xf numFmtId="0" fontId="14" fillId="0" borderId="115" xfId="0" applyNumberFormat="1" applyFont="1" applyFill="1" applyBorder="1" applyAlignment="1">
      <x:alignment wrapText="1"/>
    </x:xf>
    <x:xf numFmtId="0" fontId="14" fillId="0" borderId="116" xfId="0" applyNumberFormat="1" applyFont="1" applyFill="1" applyBorder="1" applyAlignment="1">
      <x:alignment wrapText="1"/>
    </x:xf>
    <x:xf numFmtId="0" fontId="14" fillId="0" borderId="109" xfId="0" applyNumberFormat="1" applyFont="1" applyFill="1" applyBorder="1" applyAlignment="1">
      <x:alignment vertical="top" wrapText="1"/>
    </x:xf>
    <x:xf numFmtId="0" fontId="14" fillId="0" borderId="110" xfId="0" applyNumberFormat="1" applyFont="1" applyFill="1" applyBorder="1" applyAlignment="1">
      <x:alignment vertical="top" wrapText="1"/>
    </x:xf>
    <x:xf numFmtId="0" fontId="14" fillId="0" borderId="111" xfId="0" applyNumberFormat="1" applyFont="1" applyFill="1" applyBorder="1" applyAlignment="1">
      <x:alignment vertical="top" wrapText="1"/>
    </x:xf>
    <x:xf numFmtId="0" fontId="14" fillId="0" borderId="112" xfId="0" applyNumberFormat="1" applyFont="1" applyFill="1" applyBorder="1" applyAlignment="1">
      <x:alignment vertical="top" wrapText="1"/>
    </x:xf>
    <x:xf numFmtId="0" fontId="14" fillId="0" borderId="113" xfId="0" applyNumberFormat="1" applyFont="1" applyFill="1" applyBorder="1" applyAlignment="1">
      <x:alignment vertical="top" wrapText="1"/>
    </x:xf>
    <x:xf numFmtId="0" fontId="14" fillId="0" borderId="114" xfId="0" applyNumberFormat="1" applyFont="1" applyFill="1" applyBorder="1" applyAlignment="1">
      <x:alignment vertical="top" wrapText="1"/>
    </x:xf>
    <x:xf numFmtId="0" fontId="14" fillId="0" borderId="115" xfId="0" applyNumberFormat="1" applyFont="1" applyFill="1" applyBorder="1" applyAlignment="1">
      <x:alignment vertical="top" wrapText="1"/>
    </x:xf>
    <x:xf numFmtId="0" fontId="14" fillId="0" borderId="116" xfId="0" applyNumberFormat="1" applyFont="1" applyFill="1" applyBorder="1" applyAlignment="1">
      <x:alignment vertical="top" wrapText="1"/>
    </x:xf>
    <x:xf numFmtId="200" fontId="14" fillId="0" borderId="110" xfId="0" applyNumberFormat="1" applyFont="1" applyFill="1" applyBorder="1" applyAlignment="1">
      <x:alignment vertical="top" wrapText="1"/>
    </x:xf>
    <x:xf numFmtId="200" fontId="14" fillId="0" xfId="0" applyNumberFormat="1" applyFont="1" applyFill="1" applyBorder="0" applyAlignment="1">
      <x:alignment vertical="top" wrapText="1"/>
    </x:xf>
    <x:xf numFmtId="200" fontId="14" fillId="0" borderId="115" xfId="0" applyNumberFormat="1" applyFont="1" applyFill="1" applyBorder="1" applyAlignment="1">
      <x:alignment vertical="top" wrapText="1"/>
    </x:xf>
    <x:xf numFmtId="201" fontId="14" fillId="0" borderId="110" xfId="0" applyNumberFormat="1" applyFont="1" applyFill="1" applyBorder="1" applyAlignment="1">
      <x:alignment vertical="top" wrapText="1"/>
    </x:xf>
    <x:xf numFmtId="201" fontId="14" fillId="0" xfId="0" applyNumberFormat="1" applyFont="1" applyFill="1" applyBorder="0" applyAlignment="1">
      <x:alignment vertical="top" wrapText="1"/>
    </x:xf>
    <x:xf numFmtId="201" fontId="14" fillId="0" borderId="115" xfId="0" applyNumberFormat="1" applyFont="1" applyFill="1" applyBorder="1" applyAlignment="1">
      <x:alignment vertical="top" wrapText="1"/>
    </x:xf>
    <x:xf numFmtId="202" fontId="14" fillId="0" borderId="110" xfId="0" applyNumberFormat="1" applyFont="1" applyFill="1" applyBorder="1" applyAlignment="1">
      <x:alignment vertical="top" wrapText="1"/>
    </x:xf>
    <x:xf numFmtId="202" fontId="14" fillId="0" xfId="0" applyNumberFormat="1" applyFont="1" applyFill="1" applyBorder="0" applyAlignment="1">
      <x:alignment vertical="top" wrapText="1"/>
    </x:xf>
    <x:xf numFmtId="202" fontId="14" fillId="0" borderId="115" xfId="0" applyNumberFormat="1" applyFont="1" applyFill="1" applyBorder="1" applyAlignment="1">
      <x:alignment vertical="top" wrapText="1"/>
    </x:xf>
    <x:xf numFmtId="203" fontId="14" fillId="0" borderId="110" xfId="0" applyNumberFormat="1" applyFont="1" applyFill="1" applyBorder="1" applyAlignment="1">
      <x:alignment vertical="top" wrapText="1"/>
    </x:xf>
    <x:xf numFmtId="203" fontId="14" fillId="0" xfId="0" applyNumberFormat="1" applyFont="1" applyFill="1" applyBorder="0" applyAlignment="1">
      <x:alignment vertical="top" wrapText="1"/>
    </x:xf>
    <x:xf numFmtId="203" fontId="14" fillId="0" borderId="115" xfId="0" applyNumberFormat="1" applyFont="1" applyFill="1" applyBorder="1" applyAlignment="1">
      <x:alignment vertical="top" wrapText="1"/>
    </x:xf>
    <x:xf numFmtId="204" fontId="14" fillId="0" borderId="110" xfId="0" applyNumberFormat="1" applyFont="1" applyFill="1" applyBorder="1" applyAlignment="1">
      <x:alignment vertical="top" wrapText="1"/>
    </x:xf>
    <x:xf numFmtId="204" fontId="14" fillId="0" xfId="0" applyNumberFormat="1" applyFont="1" applyFill="1" applyBorder="0" applyAlignment="1">
      <x:alignment vertical="top" wrapText="1"/>
    </x:xf>
    <x:xf numFmtId="204" fontId="14" fillId="0" borderId="115" xfId="0" applyNumberFormat="1" applyFont="1" applyFill="1" applyBorder="1" applyAlignment="1">
      <x:alignment vertical="top" wrapText="1"/>
    </x:xf>
    <x:xf numFmtId="0" fontId="14" fillId="0" borderId="117" xfId="0" applyNumberFormat="1" applyFont="1" applyFill="1" applyBorder="1" applyAlignment="1">
      <x:alignment vertical="top" wrapText="1"/>
    </x:xf>
    <x:xf numFmtId="0" fontId="14" fillId="0" borderId="118" xfId="0" applyNumberFormat="1" applyFont="1" applyFill="1" applyBorder="1" applyAlignment="1">
      <x:alignment vertical="top" wrapText="1"/>
    </x:xf>
    <x:xf numFmtId="0" fontId="14" fillId="0" borderId="114" xfId="0" applyNumberFormat="1" applyFont="1" applyFill="1" applyBorder="1" applyAlignment="1">
      <x:alignment vertical="top"/>
    </x:xf>
    <x:xf numFmtId="0" fontId="14" fillId="0" borderId="115" xfId="0" applyNumberFormat="1" applyFont="1" applyFill="1" applyBorder="1" applyAlignment="1">
      <x:alignment vertical="top"/>
    </x:xf>
    <x:xf numFmtId="0" fontId="14" fillId="0" borderId="116" xfId="0" applyNumberFormat="1" applyFont="1" applyFill="1" applyBorder="1" applyAlignment="1">
      <x:alignment vertical="top"/>
    </x:xf>
    <x:xf numFmtId="0" fontId="14" fillId="0" borderId="109" xfId="0" applyNumberFormat="1" applyFont="1" applyFill="1" applyBorder="1" applyAlignment="1">
      <x:alignment vertical="top"/>
    </x:xf>
    <x:xf numFmtId="0" fontId="14" fillId="0" borderId="111" xfId="0" applyNumberFormat="1" applyFont="1" applyFill="1" applyBorder="1" applyAlignment="1">
      <x:alignment vertical="top"/>
    </x:xf>
    <x:xf numFmtId="0" fontId="14" fillId="0" borderId="112" xfId="0" applyNumberFormat="1" applyFont="1" applyFill="1" applyBorder="1" applyAlignment="1">
      <x:alignment vertical="top"/>
    </x:xf>
    <x:xf numFmtId="0" fontId="14" fillId="0" borderId="113" xfId="0" applyNumberFormat="1" applyFont="1" applyFill="1" applyBorder="1" applyAlignment="1">
      <x:alignment vertical="top"/>
    </x:xf>
    <x:xf numFmtId="200" fontId="14" fillId="0" borderId="0" xfId="0" applyNumberFormat="1" applyFont="1" applyFill="1" applyBorder="1" applyAlignment="1">
      <x:alignment vertical="top" wrapText="1"/>
    </x:xf>
    <x:xf numFmtId="201" fontId="14" fillId="0" borderId="0" xfId="0" applyNumberFormat="1" applyFont="1" applyFill="1" applyBorder="1" applyAlignment="1">
      <x:alignment vertical="top" wrapText="1"/>
    </x:xf>
    <x:xf numFmtId="202" fontId="14" fillId="0" borderId="0" xfId="0" applyNumberFormat="1" applyFont="1" applyFill="1" applyBorder="1" applyAlignment="1">
      <x:alignment vertical="top" wrapText="1"/>
    </x:xf>
    <x:xf numFmtId="203" fontId="14" fillId="0" borderId="0" xfId="0" applyNumberFormat="1" applyFont="1" applyFill="1" applyBorder="1" applyAlignment="1">
      <x:alignment vertical="top" wrapText="1"/>
    </x:xf>
    <x:xf numFmtId="204" fontId="14" fillId="0" borderId="0" xfId="0" applyNumberFormat="1" applyFont="1" applyFill="1" applyBorder="1" applyAlignment="1">
      <x:alignment vertical="top" wrapText="1"/>
    </x:xf>
    <x:xf numFmtId="0" fontId="0" fillId="34" borderId="0" xfId="0" applyNumberFormat="1" applyFont="1" applyFill="1" applyBorder="1"/>
    <x:xf numFmtId="0" fontId="1" fillId="34" borderId="0" xfId="0" applyNumberFormat="1" applyFont="1" applyFill="1" applyBorder="1"/>
    <x:xf numFmtId="0" fontId="1" fillId="34" borderId="0" xfId="0" applyNumberFormat="1" applyFont="1" applyFill="1" applyBorder="1" applyAlignment="1">
      <x:alignment horizontal="left"/>
    </x:xf>
    <x:xf numFmtId="0" fontId="1" fillId="34" borderId="0" xfId="0" applyNumberFormat="1" applyFont="1" applyFill="1" applyBorder="1" applyAlignment="1">
      <x:alignment horizontal="left" vertical="center"/>
    </x:xf>
    <x:xf numFmtId="0" fontId="0" fillId="35" borderId="0" xfId="0" applyNumberFormat="1" applyFont="1" applyFill="1" applyBorder="1"/>
    <x:xf numFmtId="0" fontId="21" fillId="35" borderId="0" xfId="0" applyNumberFormat="1" applyFont="1" applyFill="1" applyBorder="1"/>
    <x:xf numFmtId="0" fontId="21" fillId="35" borderId="0" xfId="0" applyNumberFormat="1" applyFont="1" applyFill="1" applyBorder="1" applyAlignment="1">
      <x:alignment wrapText="1"/>
    </x:xf>
    <x:xf numFmtId="0" fontId="0" fillId="36" borderId="0" xfId="0" applyNumberFormat="1" applyFont="1" applyFill="1" applyBorder="1"/>
    <x:xf numFmtId="0" fontId="3" fillId="36" borderId="0" xfId="0" applyNumberFormat="1" applyFont="1" applyFill="1" applyBorder="1"/>
    <x:xf numFmtId="0" fontId="3" fillId="36" borderId="119" xfId="0" applyNumberFormat="1" applyFont="1" applyFill="1" applyBorder="1"/>
    <x:xf numFmtId="0" fontId="3" fillId="36" borderId="120" xfId="0" applyNumberFormat="1" applyFont="1" applyFill="1" applyBorder="1"/>
    <x:xf numFmtId="0" fontId="3" fillId="36" borderId="121" xfId="0" applyNumberFormat="1" applyFont="1" applyFill="1" applyBorder="1"/>
    <x:xf numFmtId="0" fontId="3" fillId="36" borderId="119" xfId="0" applyNumberFormat="1" applyFont="1" applyFill="1" applyBorder="1" applyAlignment="1">
      <x:alignment wrapText="1"/>
    </x:xf>
    <x:xf numFmtId="0" fontId="3" fillId="36" borderId="120" xfId="0" applyNumberFormat="1" applyFont="1" applyFill="1" applyBorder="1" applyAlignment="1">
      <x:alignment wrapText="1"/>
    </x:xf>
    <x:xf numFmtId="0" fontId="3" fillId="36" borderId="121" xfId="0" applyNumberFormat="1" applyFont="1" applyFill="1" applyBorder="1" applyAlignment="1">
      <x:alignment wrapText="1"/>
    </x:xf>
    <x:xf numFmtId="0" fontId="3" fillId="36" borderId="119" xfId="0" applyNumberFormat="1" applyFont="1" applyFill="1" applyBorder="1" applyAlignment="1">
      <x:alignment horizontal="center" wrapText="1"/>
    </x:xf>
    <x:xf numFmtId="0" fontId="3" fillId="36" borderId="120" xfId="0" applyNumberFormat="1" applyFont="1" applyFill="1" applyBorder="1" applyAlignment="1">
      <x:alignment horizontal="center" wrapText="1"/>
    </x:xf>
    <x:xf numFmtId="0" fontId="3" fillId="36" borderId="121" xfId="0" applyNumberFormat="1" applyFont="1" applyFill="1" applyBorder="1" applyAlignment="1">
      <x:alignment horizontal="center" wrapText="1"/>
    </x:xf>
    <x:xf numFmtId="0" fontId="3" fillId="36" borderId="119" xfId="0" applyNumberFormat="1" applyFont="1" applyFill="1" applyBorder="1" applyAlignment="1">
      <x:alignment horizontal="center" vertical="center" wrapText="1"/>
    </x:xf>
    <x:xf numFmtId="0" fontId="3" fillId="36" borderId="120" xfId="0" applyNumberFormat="1" applyFont="1" applyFill="1" applyBorder="1" applyAlignment="1">
      <x:alignment horizontal="center" vertical="center" wrapText="1"/>
    </x:xf>
    <x:xf numFmtId="0" fontId="3" fillId="36" borderId="121" xfId="0" applyNumberFormat="1" applyFont="1" applyFill="1" applyBorder="1" applyAlignment="1">
      <x:alignment horizontal="center" vertical="center" wrapText="1"/>
    </x:xf>
    <x:xf numFmtId="0" fontId="14" fillId="0" borderId="122" xfId="0" applyNumberFormat="1" applyFont="1" applyFill="1" applyBorder="1"/>
    <x:xf numFmtId="0" fontId="14" fillId="0" borderId="123" xfId="0" applyNumberFormat="1" applyFont="1" applyFill="1" applyBorder="1"/>
    <x:xf numFmtId="0" fontId="14" fillId="0" borderId="124" xfId="0" applyNumberFormat="1" applyFont="1" applyFill="1" applyBorder="1"/>
    <x:xf numFmtId="0" fontId="14" fillId="0" borderId="125" xfId="0" applyNumberFormat="1" applyFont="1" applyFill="1" applyBorder="1"/>
    <x:xf numFmtId="0" fontId="14" fillId="0" borderId="126" xfId="0" applyNumberFormat="1" applyFont="1" applyFill="1" applyBorder="1"/>
    <x:xf numFmtId="0" fontId="14" fillId="0" borderId="127" xfId="0" applyNumberFormat="1" applyFont="1" applyFill="1" applyBorder="1"/>
    <x:xf numFmtId="0" fontId="14" fillId="0" borderId="128" xfId="0" applyNumberFormat="1" applyFont="1" applyFill="1" applyBorder="1"/>
    <x:xf numFmtId="0" fontId="14" fillId="0" borderId="129" xfId="0" applyNumberFormat="1" applyFont="1" applyFill="1" applyBorder="1"/>
    <x:xf numFmtId="0" fontId="14" fillId="0" borderId="122" xfId="0" applyNumberFormat="1" applyFont="1" applyFill="1" applyBorder="1" applyAlignment="1">
      <x:alignment wrapText="1"/>
    </x:xf>
    <x:xf numFmtId="0" fontId="14" fillId="0" borderId="123" xfId="0" applyNumberFormat="1" applyFont="1" applyFill="1" applyBorder="1" applyAlignment="1">
      <x:alignment wrapText="1"/>
    </x:xf>
    <x:xf numFmtId="0" fontId="14" fillId="0" borderId="124" xfId="0" applyNumberFormat="1" applyFont="1" applyFill="1" applyBorder="1" applyAlignment="1">
      <x:alignment wrapText="1"/>
    </x:xf>
    <x:xf numFmtId="0" fontId="14" fillId="0" borderId="125" xfId="0" applyNumberFormat="1" applyFont="1" applyFill="1" applyBorder="1" applyAlignment="1">
      <x:alignment wrapText="1"/>
    </x:xf>
    <x:xf numFmtId="0" fontId="14" fillId="0" borderId="126" xfId="0" applyNumberFormat="1" applyFont="1" applyFill="1" applyBorder="1" applyAlignment="1">
      <x:alignment wrapText="1"/>
    </x:xf>
    <x:xf numFmtId="0" fontId="14" fillId="0" borderId="127" xfId="0" applyNumberFormat="1" applyFont="1" applyFill="1" applyBorder="1" applyAlignment="1">
      <x:alignment wrapText="1"/>
    </x:xf>
    <x:xf numFmtId="0" fontId="14" fillId="0" borderId="128" xfId="0" applyNumberFormat="1" applyFont="1" applyFill="1" applyBorder="1" applyAlignment="1">
      <x:alignment wrapText="1"/>
    </x:xf>
    <x:xf numFmtId="0" fontId="14" fillId="0" borderId="129" xfId="0" applyNumberFormat="1" applyFont="1" applyFill="1" applyBorder="1" applyAlignment="1">
      <x:alignment wrapText="1"/>
    </x:xf>
    <x:xf numFmtId="0" fontId="14" fillId="0" borderId="122" xfId="0" applyNumberFormat="1" applyFont="1" applyFill="1" applyBorder="1" applyAlignment="1">
      <x:alignment vertical="top" wrapText="1"/>
    </x:xf>
    <x:xf numFmtId="0" fontId="14" fillId="0" borderId="123" xfId="0" applyNumberFormat="1" applyFont="1" applyFill="1" applyBorder="1" applyAlignment="1">
      <x:alignment vertical="top" wrapText="1"/>
    </x:xf>
    <x:xf numFmtId="0" fontId="14" fillId="0" borderId="124" xfId="0" applyNumberFormat="1" applyFont="1" applyFill="1" applyBorder="1" applyAlignment="1">
      <x:alignment vertical="top" wrapText="1"/>
    </x:xf>
    <x:xf numFmtId="0" fontId="14" fillId="0" borderId="125" xfId="0" applyNumberFormat="1" applyFont="1" applyFill="1" applyBorder="1" applyAlignment="1">
      <x:alignment vertical="top" wrapText="1"/>
    </x:xf>
    <x:xf numFmtId="0" fontId="14" fillId="0" borderId="126" xfId="0" applyNumberFormat="1" applyFont="1" applyFill="1" applyBorder="1" applyAlignment="1">
      <x:alignment vertical="top" wrapText="1"/>
    </x:xf>
    <x:xf numFmtId="0" fontId="14" fillId="0" borderId="127" xfId="0" applyNumberFormat="1" applyFont="1" applyFill="1" applyBorder="1" applyAlignment="1">
      <x:alignment vertical="top" wrapText="1"/>
    </x:xf>
    <x:xf numFmtId="0" fontId="14" fillId="0" borderId="128" xfId="0" applyNumberFormat="1" applyFont="1" applyFill="1" applyBorder="1" applyAlignment="1">
      <x:alignment vertical="top" wrapText="1"/>
    </x:xf>
    <x:xf numFmtId="0" fontId="14" fillId="0" borderId="129" xfId="0" applyNumberFormat="1" applyFont="1" applyFill="1" applyBorder="1" applyAlignment="1">
      <x:alignment vertical="top" wrapText="1"/>
    </x:xf>
    <x:xf numFmtId="200" fontId="14" fillId="0" borderId="123" xfId="0" applyNumberFormat="1" applyFont="1" applyFill="1" applyBorder="1" applyAlignment="1">
      <x:alignment vertical="top" wrapText="1"/>
    </x:xf>
    <x:xf numFmtId="200" fontId="14" fillId="0" borderId="128" xfId="0" applyNumberFormat="1" applyFont="1" applyFill="1" applyBorder="1" applyAlignment="1">
      <x:alignment vertical="top" wrapText="1"/>
    </x:xf>
    <x:xf numFmtId="203" fontId="14" fillId="0" borderId="123" xfId="0" applyNumberFormat="1" applyFont="1" applyFill="1" applyBorder="1" applyAlignment="1">
      <x:alignment vertical="top" wrapText="1"/>
    </x:xf>
    <x:xf numFmtId="203" fontId="14" fillId="0" borderId="128" xfId="0" applyNumberFormat="1" applyFont="1" applyFill="1" applyBorder="1" applyAlignment="1">
      <x:alignment vertical="top" wrapText="1"/>
    </x:xf>
    <x:xf numFmtId="205" fontId="14" fillId="0" xfId="0" applyNumberFormat="1" applyFont="1" applyFill="1" applyBorder="0" applyAlignment="1">
      <x:alignment vertical="top" wrapText="1"/>
    </x:xf>
    <x:xf numFmtId="0" fontId="14" fillId="0" borderId="130" xfId="0" applyNumberFormat="1" applyFont="1" applyFill="1" applyBorder="1" applyAlignment="1">
      <x:alignment vertical="top" wrapText="1"/>
    </x:xf>
    <x:xf numFmtId="0" fontId="14" fillId="0" borderId="131" xfId="0" applyNumberFormat="1" applyFont="1" applyFill="1" applyBorder="1" applyAlignment="1">
      <x:alignment vertical="top" wrapText="1"/>
    </x:xf>
    <x:xf numFmtId="0" fontId="14" fillId="0" borderId="127" xfId="0" applyNumberFormat="1" applyFont="1" applyFill="1" applyBorder="1" applyAlignment="1">
      <x:alignment vertical="top"/>
    </x:xf>
    <x:xf numFmtId="0" fontId="14" fillId="0" borderId="128" xfId="0" applyNumberFormat="1" applyFont="1" applyFill="1" applyBorder="1" applyAlignment="1">
      <x:alignment vertical="top"/>
    </x:xf>
    <x:xf numFmtId="0" fontId="14" fillId="0" borderId="129" xfId="0" applyNumberFormat="1" applyFont="1" applyFill="1" applyBorder="1" applyAlignment="1">
      <x:alignment vertical="top"/>
    </x:xf>
    <x:xf numFmtId="0" fontId="14" fillId="0" borderId="122" xfId="0" applyNumberFormat="1" applyFont="1" applyFill="1" applyBorder="1" applyAlignment="1">
      <x:alignment vertical="top"/>
    </x:xf>
    <x:xf numFmtId="0" fontId="14" fillId="0" borderId="124" xfId="0" applyNumberFormat="1" applyFont="1" applyFill="1" applyBorder="1" applyAlignment="1">
      <x:alignment vertical="top"/>
    </x:xf>
    <x:xf numFmtId="0" fontId="14" fillId="0" borderId="125" xfId="0" applyNumberFormat="1" applyFont="1" applyFill="1" applyBorder="1" applyAlignment="1">
      <x:alignment vertical="top"/>
    </x:xf>
    <x:xf numFmtId="0" fontId="14" fillId="0" borderId="126" xfId="0" applyNumberFormat="1" applyFont="1" applyFill="1" applyBorder="1" applyAlignment="1">
      <x:alignment vertical="top"/>
    </x:xf>
    <x:xf numFmtId="0" fontId="0" fillId="37" borderId="0" xfId="0" applyNumberFormat="1" applyFont="1" applyFill="1" applyBorder="1"/>
    <x:xf numFmtId="0" fontId="1" fillId="37" borderId="0" xfId="0" applyNumberFormat="1" applyFont="1" applyFill="1" applyBorder="1"/>
    <x:xf numFmtId="0" fontId="1" fillId="37" borderId="0" xfId="0" applyNumberFormat="1" applyFont="1" applyFill="1" applyBorder="1" applyAlignment="1">
      <x:alignment horizontal="left"/>
    </x:xf>
    <x:xf numFmtId="0" fontId="1" fillId="37" borderId="0" xfId="0" applyNumberFormat="1" applyFont="1" applyFill="1" applyBorder="1" applyAlignment="1">
      <x:alignment horizontal="left" vertical="center"/>
    </x:xf>
    <x:xf numFmtId="0" fontId="0" fillId="38" borderId="0" xfId="0" applyNumberFormat="1" applyFont="1" applyFill="1" applyBorder="1"/>
    <x:xf numFmtId="0" fontId="21" fillId="38" borderId="0" xfId="0" applyNumberFormat="1" applyFont="1" applyFill="1" applyBorder="1"/>
    <x:xf numFmtId="0" fontId="21" fillId="38" borderId="0" xfId="0" applyNumberFormat="1" applyFont="1" applyFill="1" applyBorder="1" applyAlignment="1">
      <x:alignment wrapText="1"/>
    </x:xf>
    <x:xf numFmtId="0" fontId="0" fillId="39" borderId="0" xfId="0" applyNumberFormat="1" applyFont="1" applyFill="1" applyBorder="1"/>
    <x:xf numFmtId="0" fontId="3" fillId="39" borderId="0" xfId="0" applyNumberFormat="1" applyFont="1" applyFill="1" applyBorder="1"/>
    <x:xf numFmtId="0" fontId="3" fillId="39" borderId="132" xfId="0" applyNumberFormat="1" applyFont="1" applyFill="1" applyBorder="1"/>
    <x:xf numFmtId="0" fontId="3" fillId="39" borderId="133" xfId="0" applyNumberFormat="1" applyFont="1" applyFill="1" applyBorder="1"/>
    <x:xf numFmtId="0" fontId="3" fillId="39" borderId="134" xfId="0" applyNumberFormat="1" applyFont="1" applyFill="1" applyBorder="1"/>
    <x:xf numFmtId="0" fontId="3" fillId="39" borderId="132" xfId="0" applyNumberFormat="1" applyFont="1" applyFill="1" applyBorder="1" applyAlignment="1">
      <x:alignment wrapText="1"/>
    </x:xf>
    <x:xf numFmtId="0" fontId="3" fillId="39" borderId="133" xfId="0" applyNumberFormat="1" applyFont="1" applyFill="1" applyBorder="1" applyAlignment="1">
      <x:alignment wrapText="1"/>
    </x:xf>
    <x:xf numFmtId="0" fontId="3" fillId="39" borderId="134" xfId="0" applyNumberFormat="1" applyFont="1" applyFill="1" applyBorder="1" applyAlignment="1">
      <x:alignment wrapText="1"/>
    </x:xf>
    <x:xf numFmtId="0" fontId="3" fillId="39" borderId="132" xfId="0" applyNumberFormat="1" applyFont="1" applyFill="1" applyBorder="1" applyAlignment="1">
      <x:alignment horizontal="center" wrapText="1"/>
    </x:xf>
    <x:xf numFmtId="0" fontId="3" fillId="39" borderId="133" xfId="0" applyNumberFormat="1" applyFont="1" applyFill="1" applyBorder="1" applyAlignment="1">
      <x:alignment horizontal="center" wrapText="1"/>
    </x:xf>
    <x:xf numFmtId="0" fontId="3" fillId="39" borderId="134" xfId="0" applyNumberFormat="1" applyFont="1" applyFill="1" applyBorder="1" applyAlignment="1">
      <x:alignment horizontal="center" wrapText="1"/>
    </x:xf>
    <x:xf numFmtId="0" fontId="3" fillId="39" borderId="132" xfId="0" applyNumberFormat="1" applyFont="1" applyFill="1" applyBorder="1" applyAlignment="1">
      <x:alignment horizontal="center" vertical="center" wrapText="1"/>
    </x:xf>
    <x:xf numFmtId="0" fontId="3" fillId="39" borderId="133" xfId="0" applyNumberFormat="1" applyFont="1" applyFill="1" applyBorder="1" applyAlignment="1">
      <x:alignment horizontal="center" vertical="center" wrapText="1"/>
    </x:xf>
    <x:xf numFmtId="0" fontId="3" fillId="39" borderId="134" xfId="0" applyNumberFormat="1" applyFont="1" applyFill="1" applyBorder="1" applyAlignment="1">
      <x:alignment horizontal="center" vertical="center" wrapText="1"/>
    </x:xf>
    <x:xf numFmtId="0" fontId="14" fillId="0" borderId="135" xfId="0" applyNumberFormat="1" applyFont="1" applyFill="1" applyBorder="1"/>
    <x:xf numFmtId="0" fontId="14" fillId="0" borderId="136" xfId="0" applyNumberFormat="1" applyFont="1" applyFill="1" applyBorder="1"/>
    <x:xf numFmtId="0" fontId="14" fillId="0" borderId="137" xfId="0" applyNumberFormat="1" applyFont="1" applyFill="1" applyBorder="1"/>
    <x:xf numFmtId="0" fontId="14" fillId="0" borderId="138" xfId="0" applyNumberFormat="1" applyFont="1" applyFill="1" applyBorder="1"/>
    <x:xf numFmtId="0" fontId="14" fillId="0" borderId="139" xfId="0" applyNumberFormat="1" applyFont="1" applyFill="1" applyBorder="1"/>
    <x:xf numFmtId="0" fontId="14" fillId="0" borderId="140" xfId="0" applyNumberFormat="1" applyFont="1" applyFill="1" applyBorder="1"/>
    <x:xf numFmtId="0" fontId="14" fillId="0" borderId="141" xfId="0" applyNumberFormat="1" applyFont="1" applyFill="1" applyBorder="1"/>
    <x:xf numFmtId="0" fontId="14" fillId="0" borderId="142" xfId="0" applyNumberFormat="1" applyFont="1" applyFill="1" applyBorder="1"/>
    <x:xf numFmtId="0" fontId="14" fillId="0" borderId="135" xfId="0" applyNumberFormat="1" applyFont="1" applyFill="1" applyBorder="1" applyAlignment="1">
      <x:alignment wrapText="1"/>
    </x:xf>
    <x:xf numFmtId="0" fontId="14" fillId="0" borderId="136" xfId="0" applyNumberFormat="1" applyFont="1" applyFill="1" applyBorder="1" applyAlignment="1">
      <x:alignment wrapText="1"/>
    </x:xf>
    <x:xf numFmtId="0" fontId="14" fillId="0" borderId="137" xfId="0" applyNumberFormat="1" applyFont="1" applyFill="1" applyBorder="1" applyAlignment="1">
      <x:alignment wrapText="1"/>
    </x:xf>
    <x:xf numFmtId="0" fontId="14" fillId="0" borderId="138" xfId="0" applyNumberFormat="1" applyFont="1" applyFill="1" applyBorder="1" applyAlignment="1">
      <x:alignment wrapText="1"/>
    </x:xf>
    <x:xf numFmtId="0" fontId="14" fillId="0" borderId="139" xfId="0" applyNumberFormat="1" applyFont="1" applyFill="1" applyBorder="1" applyAlignment="1">
      <x:alignment wrapText="1"/>
    </x:xf>
    <x:xf numFmtId="0" fontId="14" fillId="0" borderId="140" xfId="0" applyNumberFormat="1" applyFont="1" applyFill="1" applyBorder="1" applyAlignment="1">
      <x:alignment wrapText="1"/>
    </x:xf>
    <x:xf numFmtId="0" fontId="14" fillId="0" borderId="141" xfId="0" applyNumberFormat="1" applyFont="1" applyFill="1" applyBorder="1" applyAlignment="1">
      <x:alignment wrapText="1"/>
    </x:xf>
    <x:xf numFmtId="0" fontId="14" fillId="0" borderId="142" xfId="0" applyNumberFormat="1" applyFont="1" applyFill="1" applyBorder="1" applyAlignment="1">
      <x:alignment wrapText="1"/>
    </x:xf>
    <x:xf numFmtId="0" fontId="14" fillId="0" borderId="135" xfId="0" applyNumberFormat="1" applyFont="1" applyFill="1" applyBorder="1" applyAlignment="1">
      <x:alignment vertical="top" wrapText="1"/>
    </x:xf>
    <x:xf numFmtId="0" fontId="14" fillId="0" borderId="136" xfId="0" applyNumberFormat="1" applyFont="1" applyFill="1" applyBorder="1" applyAlignment="1">
      <x:alignment vertical="top" wrapText="1"/>
    </x:xf>
    <x:xf numFmtId="0" fontId="14" fillId="0" borderId="137" xfId="0" applyNumberFormat="1" applyFont="1" applyFill="1" applyBorder="1" applyAlignment="1">
      <x:alignment vertical="top" wrapText="1"/>
    </x:xf>
    <x:xf numFmtId="0" fontId="14" fillId="0" borderId="138" xfId="0" applyNumberFormat="1" applyFont="1" applyFill="1" applyBorder="1" applyAlignment="1">
      <x:alignment vertical="top" wrapText="1"/>
    </x:xf>
    <x:xf numFmtId="0" fontId="14" fillId="0" borderId="139" xfId="0" applyNumberFormat="1" applyFont="1" applyFill="1" applyBorder="1" applyAlignment="1">
      <x:alignment vertical="top" wrapText="1"/>
    </x:xf>
    <x:xf numFmtId="0" fontId="14" fillId="0" borderId="140" xfId="0" applyNumberFormat="1" applyFont="1" applyFill="1" applyBorder="1" applyAlignment="1">
      <x:alignment vertical="top" wrapText="1"/>
    </x:xf>
    <x:xf numFmtId="0" fontId="14" fillId="0" borderId="141" xfId="0" applyNumberFormat="1" applyFont="1" applyFill="1" applyBorder="1" applyAlignment="1">
      <x:alignment vertical="top" wrapText="1"/>
    </x:xf>
    <x:xf numFmtId="0" fontId="14" fillId="0" borderId="142" xfId="0" applyNumberFormat="1" applyFont="1" applyFill="1" applyBorder="1" applyAlignment="1">
      <x:alignment vertical="top" wrapText="1"/>
    </x:xf>
    <x:xf numFmtId="0" fontId="22" fillId="37" borderId="0" xfId="0" applyNumberFormat="1" applyFont="1" applyFill="1" applyBorder="1"/>
    <x:xf numFmtId="0" fontId="22" fillId="37" borderId="132" xfId="0" applyNumberFormat="1" applyFont="1" applyFill="1" applyBorder="1"/>
    <x:xf numFmtId="0" fontId="22" fillId="37" borderId="133" xfId="0" applyNumberFormat="1" applyFont="1" applyFill="1" applyBorder="1"/>
    <x:xf numFmtId="0" fontId="22" fillId="37" borderId="134" xfId="0" applyNumberFormat="1" applyFont="1" applyFill="1" applyBorder="1"/>
    <x:xf numFmtId="0" fontId="22" fillId="37" borderId="132" xfId="0" applyNumberFormat="1" applyFont="1" applyFill="1" applyBorder="1" applyAlignment="1">
      <x:alignment horizontal="center"/>
    </x:xf>
    <x:xf numFmtId="0" fontId="22" fillId="37" borderId="133" xfId="0" applyNumberFormat="1" applyFont="1" applyFill="1" applyBorder="1" applyAlignment="1">
      <x:alignment horizontal="center"/>
    </x:xf>
    <x:xf numFmtId="0" fontId="22" fillId="37" borderId="134" xfId="0" applyNumberFormat="1" applyFont="1" applyFill="1" applyBorder="1" applyAlignment="1">
      <x:alignment horizontal="center"/>
    </x:xf>
    <x:xf numFmtId="0" fontId="13" fillId="39" borderId="0" xfId="0" applyNumberFormat="1" applyFont="1" applyFill="1" applyBorder="1"/>
    <x:xf numFmtId="0" fontId="13" fillId="39" borderId="132" xfId="0" applyNumberFormat="1" applyFont="1" applyFill="1" applyBorder="1"/>
    <x:xf numFmtId="0" fontId="13" fillId="39" borderId="133" xfId="0" applyNumberFormat="1" applyFont="1" applyFill="1" applyBorder="1"/>
    <x:xf numFmtId="0" fontId="13" fillId="39" borderId="134" xfId="0" applyNumberFormat="1" applyFont="1" applyFill="1" applyBorder="1"/>
    <x:xf numFmtId="0" fontId="13" fillId="39" borderId="132" xfId="0" applyNumberFormat="1" applyFont="1" applyFill="1" applyBorder="1" applyAlignment="1">
      <x:alignment horizontal="center"/>
    </x:xf>
    <x:xf numFmtId="0" fontId="13" fillId="39" borderId="133" xfId="0" applyNumberFormat="1" applyFont="1" applyFill="1" applyBorder="1" applyAlignment="1">
      <x:alignment horizontal="center"/>
    </x:xf>
    <x:xf numFmtId="0" fontId="13" fillId="39" borderId="134" xfId="0" applyNumberFormat="1" applyFont="1" applyFill="1" applyBorder="1" applyAlignment="1">
      <x:alignment horizontal="center"/>
    </x:xf>
    <x:xf numFmtId="0" fontId="0" fillId="40" borderId="0" xfId="0" applyNumberFormat="1" applyFont="1" applyFill="1" applyBorder="1"/>
    <x:xf numFmtId="0" fontId="23" fillId="40" borderId="0" xfId="0" applyNumberFormat="1" applyFont="1" applyFill="1" applyBorder="1"/>
    <x:xf numFmtId="0" fontId="23" fillId="40" borderId="135" xfId="0" applyNumberFormat="1" applyFont="1" applyFill="1" applyBorder="1"/>
    <x:xf numFmtId="0" fontId="23" fillId="40" borderId="136" xfId="0" applyNumberFormat="1" applyFont="1" applyFill="1" applyBorder="1"/>
    <x:xf numFmtId="0" fontId="23" fillId="40" borderId="137" xfId="0" applyNumberFormat="1" applyFont="1" applyFill="1" applyBorder="1"/>
    <x:xf numFmtId="0" fontId="23" fillId="40" borderId="140" xfId="0" applyNumberFormat="1" applyFont="1" applyFill="1" applyBorder="1"/>
    <x:xf numFmtId="0" fontId="23" fillId="40" borderId="141" xfId="0" applyNumberFormat="1" applyFont="1" applyFill="1" applyBorder="1"/>
    <x:xf numFmtId="0" fontId="23" fillId="40" borderId="142" xfId="0" applyNumberFormat="1" applyFont="1" applyFill="1" applyBorder="1"/>
    <x:xf numFmtId="0" fontId="23" fillId="40" borderId="135" xfId="0" applyNumberFormat="1" applyFont="1" applyFill="1" applyBorder="1" applyAlignment="1">
      <x:alignment horizontal="center"/>
    </x:xf>
    <x:xf numFmtId="0" fontId="23" fillId="40" borderId="136" xfId="0" applyNumberFormat="1" applyFont="1" applyFill="1" applyBorder="1" applyAlignment="1">
      <x:alignment horizontal="center"/>
    </x:xf>
    <x:xf numFmtId="0" fontId="23" fillId="40" borderId="137" xfId="0" applyNumberFormat="1" applyFont="1" applyFill="1" applyBorder="1" applyAlignment="1">
      <x:alignment horizontal="center"/>
    </x:xf>
    <x:xf numFmtId="0" fontId="23" fillId="40" borderId="140" xfId="0" applyNumberFormat="1" applyFont="1" applyFill="1" applyBorder="1" applyAlignment="1">
      <x:alignment horizontal="center"/>
    </x:xf>
    <x:xf numFmtId="0" fontId="23" fillId="40" borderId="141" xfId="0" applyNumberFormat="1" applyFont="1" applyFill="1" applyBorder="1" applyAlignment="1">
      <x:alignment horizontal="center"/>
    </x:xf>
    <x:xf numFmtId="0" fontId="23" fillId="40" borderId="142" xfId="0" applyNumberFormat="1" applyFont="1" applyFill="1" applyBorder="1" applyAlignment="1">
      <x:alignment horizontal="center"/>
    </x:xf>
    <x:xf numFmtId="0" fontId="23" fillId="40" borderId="135" xfId="0" applyNumberFormat="1" applyFont="1" applyFill="1" applyBorder="1" applyAlignment="1">
      <x:alignment horizontal="center" vertical="center"/>
    </x:xf>
    <x:xf numFmtId="0" fontId="23" fillId="40" borderId="136" xfId="0" applyNumberFormat="1" applyFont="1" applyFill="1" applyBorder="1" applyAlignment="1">
      <x:alignment horizontal="center" vertical="center"/>
    </x:xf>
    <x:xf numFmtId="0" fontId="23" fillId="40" borderId="137" xfId="0" applyNumberFormat="1" applyFont="1" applyFill="1" applyBorder="1" applyAlignment="1">
      <x:alignment horizontal="center" vertical="center"/>
    </x:xf>
    <x:xf numFmtId="0" fontId="23" fillId="40" borderId="140" xfId="0" applyNumberFormat="1" applyFont="1" applyFill="1" applyBorder="1" applyAlignment="1">
      <x:alignment horizontal="center" vertical="center"/>
    </x:xf>
    <x:xf numFmtId="0" fontId="23" fillId="40" borderId="141" xfId="0" applyNumberFormat="1" applyFont="1" applyFill="1" applyBorder="1" applyAlignment="1">
      <x:alignment horizontal="center" vertical="center"/>
    </x:xf>
    <x:xf numFmtId="0" fontId="23" fillId="40" borderId="142" xfId="0" applyNumberFormat="1" applyFont="1" applyFill="1" applyBorder="1" applyAlignment="1">
      <x:alignment horizontal="center" vertical="center"/>
    </x:xf>
    <x:xf numFmtId="0" fontId="24" fillId="40" borderId="0" xfId="0" applyNumberFormat="1" applyFont="1" applyFill="1" applyBorder="1"/>
    <x:xf numFmtId="0" fontId="24" fillId="40" borderId="132" xfId="0" applyNumberFormat="1" applyFont="1" applyFill="1" applyBorder="1"/>
    <x:xf numFmtId="0" fontId="24" fillId="40" borderId="133" xfId="0" applyNumberFormat="1" applyFont="1" applyFill="1" applyBorder="1"/>
    <x:xf numFmtId="0" fontId="24" fillId="40" borderId="134" xfId="0" applyNumberFormat="1" applyFont="1" applyFill="1" applyBorder="1"/>
    <x:xf numFmtId="0" fontId="24" fillId="40" borderId="132" xfId="0" applyNumberFormat="1" applyFont="1" applyFill="1" applyBorder="1" applyAlignment="1">
      <x:alignment horizontal="center"/>
    </x:xf>
    <x:xf numFmtId="0" fontId="24" fillId="40" borderId="133" xfId="0" applyNumberFormat="1" applyFont="1" applyFill="1" applyBorder="1" applyAlignment="1">
      <x:alignment horizontal="center"/>
    </x:xf>
    <x:xf numFmtId="0" fontId="24" fillId="40" borderId="134" xfId="0" applyNumberFormat="1" applyFont="1" applyFill="1" applyBorder="1" applyAlignment="1">
      <x:alignment horizontal="center"/>
    </x:xf>
    <x:xf numFmtId="0" fontId="0" fillId="41" borderId="0" xfId="0" applyNumberFormat="1" applyFont="1" applyFill="1" applyBorder="1"/>
    <x:xf numFmtId="0" fontId="23" fillId="41" borderId="0" xfId="0" applyNumberFormat="1" applyFont="1" applyFill="1" applyBorder="1"/>
    <x:xf numFmtId="0" fontId="23" fillId="41" borderId="135" xfId="0" applyNumberFormat="1" applyFont="1" applyFill="1" applyBorder="1"/>
    <x:xf numFmtId="0" fontId="23" fillId="41" borderId="136" xfId="0" applyNumberFormat="1" applyFont="1" applyFill="1" applyBorder="1"/>
    <x:xf numFmtId="0" fontId="23" fillId="41" borderId="137" xfId="0" applyNumberFormat="1" applyFont="1" applyFill="1" applyBorder="1"/>
    <x:xf numFmtId="0" fontId="23" fillId="41" borderId="140" xfId="0" applyNumberFormat="1" applyFont="1" applyFill="1" applyBorder="1"/>
    <x:xf numFmtId="0" fontId="23" fillId="41" borderId="141" xfId="0" applyNumberFormat="1" applyFont="1" applyFill="1" applyBorder="1"/>
    <x:xf numFmtId="0" fontId="23" fillId="41" borderId="142" xfId="0" applyNumberFormat="1" applyFont="1" applyFill="1" applyBorder="1"/>
    <x:xf numFmtId="0" fontId="23" fillId="41" borderId="135" xfId="0" applyNumberFormat="1" applyFont="1" applyFill="1" applyBorder="1" applyAlignment="1">
      <x:alignment horizontal="center"/>
    </x:xf>
    <x:xf numFmtId="0" fontId="23" fillId="41" borderId="136" xfId="0" applyNumberFormat="1" applyFont="1" applyFill="1" applyBorder="1" applyAlignment="1">
      <x:alignment horizontal="center"/>
    </x:xf>
    <x:xf numFmtId="0" fontId="23" fillId="41" borderId="137" xfId="0" applyNumberFormat="1" applyFont="1" applyFill="1" applyBorder="1" applyAlignment="1">
      <x:alignment horizontal="center"/>
    </x:xf>
    <x:xf numFmtId="0" fontId="23" fillId="41" borderId="140" xfId="0" applyNumberFormat="1" applyFont="1" applyFill="1" applyBorder="1" applyAlignment="1">
      <x:alignment horizontal="center"/>
    </x:xf>
    <x:xf numFmtId="0" fontId="23" fillId="41" borderId="141" xfId="0" applyNumberFormat="1" applyFont="1" applyFill="1" applyBorder="1" applyAlignment="1">
      <x:alignment horizontal="center"/>
    </x:xf>
    <x:xf numFmtId="0" fontId="23" fillId="41" borderId="142" xfId="0" applyNumberFormat="1" applyFont="1" applyFill="1" applyBorder="1" applyAlignment="1">
      <x:alignment horizontal="center"/>
    </x:xf>
    <x:xf numFmtId="0" fontId="23" fillId="41" borderId="135" xfId="0" applyNumberFormat="1" applyFont="1" applyFill="1" applyBorder="1" applyAlignment="1">
      <x:alignment horizontal="center" vertical="center"/>
    </x:xf>
    <x:xf numFmtId="0" fontId="23" fillId="41" borderId="136" xfId="0" applyNumberFormat="1" applyFont="1" applyFill="1" applyBorder="1" applyAlignment="1">
      <x:alignment horizontal="center" vertical="center"/>
    </x:xf>
    <x:xf numFmtId="0" fontId="23" fillId="41" borderId="137" xfId="0" applyNumberFormat="1" applyFont="1" applyFill="1" applyBorder="1" applyAlignment="1">
      <x:alignment horizontal="center" vertical="center"/>
    </x:xf>
    <x:xf numFmtId="0" fontId="23" fillId="41" borderId="140" xfId="0" applyNumberFormat="1" applyFont="1" applyFill="1" applyBorder="1" applyAlignment="1">
      <x:alignment horizontal="center" vertical="center"/>
    </x:xf>
    <x:xf numFmtId="0" fontId="23" fillId="41" borderId="141" xfId="0" applyNumberFormat="1" applyFont="1" applyFill="1" applyBorder="1" applyAlignment="1">
      <x:alignment horizontal="center" vertical="center"/>
    </x:xf>
    <x:xf numFmtId="0" fontId="23" fillId="41" borderId="142" xfId="0" applyNumberFormat="1" applyFont="1" applyFill="1" applyBorder="1" applyAlignment="1">
      <x:alignment horizontal="center" vertical="center"/>
    </x:xf>
    <x:xf numFmtId="0" fontId="24" fillId="41" borderId="0" xfId="0" applyNumberFormat="1" applyFont="1" applyFill="1" applyBorder="1"/>
    <x:xf numFmtId="0" fontId="24" fillId="41" borderId="132" xfId="0" applyNumberFormat="1" applyFont="1" applyFill="1" applyBorder="1"/>
    <x:xf numFmtId="0" fontId="24" fillId="41" borderId="133" xfId="0" applyNumberFormat="1" applyFont="1" applyFill="1" applyBorder="1"/>
    <x:xf numFmtId="0" fontId="24" fillId="41" borderId="134" xfId="0" applyNumberFormat="1" applyFont="1" applyFill="1" applyBorder="1"/>
    <x:xf numFmtId="0" fontId="24" fillId="41" borderId="132" xfId="0" applyNumberFormat="1" applyFont="1" applyFill="1" applyBorder="1" applyAlignment="1">
      <x:alignment horizontal="center"/>
    </x:xf>
    <x:xf numFmtId="0" fontId="24" fillId="41" borderId="133" xfId="0" applyNumberFormat="1" applyFont="1" applyFill="1" applyBorder="1" applyAlignment="1">
      <x:alignment horizontal="center"/>
    </x:xf>
    <x:xf numFmtId="0" fontId="24" fillId="41" borderId="134" xfId="0" applyNumberFormat="1" applyFont="1" applyFill="1" applyBorder="1" applyAlignment="1">
      <x:alignment horizontal="center"/>
    </x:xf>
    <x:xf numFmtId="0" fontId="0" fillId="42" borderId="0" xfId="0" applyNumberFormat="1" applyFont="1" applyFill="1" applyBorder="1"/>
    <x:xf numFmtId="0" fontId="23" fillId="42" borderId="0" xfId="0" applyNumberFormat="1" applyFont="1" applyFill="1" applyBorder="1"/>
    <x:xf numFmtId="0" fontId="23" fillId="42" borderId="135" xfId="0" applyNumberFormat="1" applyFont="1" applyFill="1" applyBorder="1"/>
    <x:xf numFmtId="0" fontId="23" fillId="42" borderId="136" xfId="0" applyNumberFormat="1" applyFont="1" applyFill="1" applyBorder="1"/>
    <x:xf numFmtId="0" fontId="23" fillId="42" borderId="137" xfId="0" applyNumberFormat="1" applyFont="1" applyFill="1" applyBorder="1"/>
    <x:xf numFmtId="0" fontId="23" fillId="42" borderId="140" xfId="0" applyNumberFormat="1" applyFont="1" applyFill="1" applyBorder="1"/>
    <x:xf numFmtId="0" fontId="23" fillId="42" borderId="141" xfId="0" applyNumberFormat="1" applyFont="1" applyFill="1" applyBorder="1"/>
    <x:xf numFmtId="0" fontId="23" fillId="42" borderId="142" xfId="0" applyNumberFormat="1" applyFont="1" applyFill="1" applyBorder="1"/>
    <x:xf numFmtId="0" fontId="23" fillId="42" borderId="135" xfId="0" applyNumberFormat="1" applyFont="1" applyFill="1" applyBorder="1" applyAlignment="1">
      <x:alignment horizontal="center"/>
    </x:xf>
    <x:xf numFmtId="0" fontId="23" fillId="42" borderId="136" xfId="0" applyNumberFormat="1" applyFont="1" applyFill="1" applyBorder="1" applyAlignment="1">
      <x:alignment horizontal="center"/>
    </x:xf>
    <x:xf numFmtId="0" fontId="23" fillId="42" borderId="137" xfId="0" applyNumberFormat="1" applyFont="1" applyFill="1" applyBorder="1" applyAlignment="1">
      <x:alignment horizontal="center"/>
    </x:xf>
    <x:xf numFmtId="0" fontId="23" fillId="42" borderId="140" xfId="0" applyNumberFormat="1" applyFont="1" applyFill="1" applyBorder="1" applyAlignment="1">
      <x:alignment horizontal="center"/>
    </x:xf>
    <x:xf numFmtId="0" fontId="23" fillId="42" borderId="141" xfId="0" applyNumberFormat="1" applyFont="1" applyFill="1" applyBorder="1" applyAlignment="1">
      <x:alignment horizontal="center"/>
    </x:xf>
    <x:xf numFmtId="0" fontId="23" fillId="42" borderId="142" xfId="0" applyNumberFormat="1" applyFont="1" applyFill="1" applyBorder="1" applyAlignment="1">
      <x:alignment horizontal="center"/>
    </x:xf>
    <x:xf numFmtId="0" fontId="23" fillId="42" borderId="135" xfId="0" applyNumberFormat="1" applyFont="1" applyFill="1" applyBorder="1" applyAlignment="1">
      <x:alignment horizontal="center" vertical="center"/>
    </x:xf>
    <x:xf numFmtId="0" fontId="23" fillId="42" borderId="136" xfId="0" applyNumberFormat="1" applyFont="1" applyFill="1" applyBorder="1" applyAlignment="1">
      <x:alignment horizontal="center" vertical="center"/>
    </x:xf>
    <x:xf numFmtId="0" fontId="23" fillId="42" borderId="137" xfId="0" applyNumberFormat="1" applyFont="1" applyFill="1" applyBorder="1" applyAlignment="1">
      <x:alignment horizontal="center" vertical="center"/>
    </x:xf>
    <x:xf numFmtId="0" fontId="23" fillId="42" borderId="140" xfId="0" applyNumberFormat="1" applyFont="1" applyFill="1" applyBorder="1" applyAlignment="1">
      <x:alignment horizontal="center" vertical="center"/>
    </x:xf>
    <x:xf numFmtId="0" fontId="23" fillId="42" borderId="141" xfId="0" applyNumberFormat="1" applyFont="1" applyFill="1" applyBorder="1" applyAlignment="1">
      <x:alignment horizontal="center" vertical="center"/>
    </x:xf>
    <x:xf numFmtId="0" fontId="23" fillId="42" borderId="142" xfId="0" applyNumberFormat="1" applyFont="1" applyFill="1" applyBorder="1" applyAlignment="1">
      <x:alignment horizontal="center" vertical="center"/>
    </x:xf>
    <x:xf numFmtId="0" fontId="24" fillId="42" borderId="0" xfId="0" applyNumberFormat="1" applyFont="1" applyFill="1" applyBorder="1"/>
    <x:xf numFmtId="0" fontId="24" fillId="42" borderId="132" xfId="0" applyNumberFormat="1" applyFont="1" applyFill="1" applyBorder="1"/>
    <x:xf numFmtId="0" fontId="24" fillId="42" borderId="133" xfId="0" applyNumberFormat="1" applyFont="1" applyFill="1" applyBorder="1"/>
    <x:xf numFmtId="0" fontId="24" fillId="42" borderId="134" xfId="0" applyNumberFormat="1" applyFont="1" applyFill="1" applyBorder="1"/>
    <x:xf numFmtId="0" fontId="24" fillId="42" borderId="132" xfId="0" applyNumberFormat="1" applyFont="1" applyFill="1" applyBorder="1" applyAlignment="1">
      <x:alignment horizontal="center"/>
    </x:xf>
    <x:xf numFmtId="0" fontId="24" fillId="42" borderId="133" xfId="0" applyNumberFormat="1" applyFont="1" applyFill="1" applyBorder="1" applyAlignment="1">
      <x:alignment horizontal="center"/>
    </x:xf>
    <x:xf numFmtId="0" fontId="24" fillId="42" borderId="134" xfId="0" applyNumberFormat="1" applyFont="1" applyFill="1" applyBorder="1" applyAlignment="1">
      <x:alignment horizontal="center"/>
    </x:xf>
    <x:xf numFmtId="0" fontId="23" fillId="38" borderId="0" xfId="0" applyNumberFormat="1" applyFont="1" applyFill="1" applyBorder="1"/>
    <x:xf numFmtId="0" fontId="23" fillId="38" borderId="135" xfId="0" applyNumberFormat="1" applyFont="1" applyFill="1" applyBorder="1"/>
    <x:xf numFmtId="0" fontId="23" fillId="38" borderId="137" xfId="0" applyNumberFormat="1" applyFont="1" applyFill="1" applyBorder="1"/>
    <x:xf numFmtId="0" fontId="23" fillId="38" borderId="140" xfId="0" applyNumberFormat="1" applyFont="1" applyFill="1" applyBorder="1"/>
    <x:xf numFmtId="0" fontId="23" fillId="38" borderId="142" xfId="0" applyNumberFormat="1" applyFont="1" applyFill="1" applyBorder="1"/>
    <x:xf numFmtId="0" fontId="23" fillId="38" borderId="135" xfId="0" applyNumberFormat="1" applyFont="1" applyFill="1" applyBorder="1" applyAlignment="1">
      <x:alignment horizontal="center"/>
    </x:xf>
    <x:xf numFmtId="0" fontId="23" fillId="38" borderId="137" xfId="0" applyNumberFormat="1" applyFont="1" applyFill="1" applyBorder="1" applyAlignment="1">
      <x:alignment horizontal="center"/>
    </x:xf>
    <x:xf numFmtId="0" fontId="23" fillId="38" borderId="140" xfId="0" applyNumberFormat="1" applyFont="1" applyFill="1" applyBorder="1" applyAlignment="1">
      <x:alignment horizontal="center"/>
    </x:xf>
    <x:xf numFmtId="0" fontId="23" fillId="38" borderId="142" xfId="0" applyNumberFormat="1" applyFont="1" applyFill="1" applyBorder="1" applyAlignment="1">
      <x:alignment horizontal="center"/>
    </x:xf>
    <x:xf numFmtId="0" fontId="23" fillId="38" borderId="135" xfId="0" applyNumberFormat="1" applyFont="1" applyFill="1" applyBorder="1" applyAlignment="1">
      <x:alignment horizontal="center" vertical="center"/>
    </x:xf>
    <x:xf numFmtId="0" fontId="23" fillId="38" borderId="137" xfId="0" applyNumberFormat="1" applyFont="1" applyFill="1" applyBorder="1" applyAlignment="1">
      <x:alignment horizontal="center" vertical="center"/>
    </x:xf>
    <x:xf numFmtId="0" fontId="23" fillId="38" borderId="140" xfId="0" applyNumberFormat="1" applyFont="1" applyFill="1" applyBorder="1" applyAlignment="1">
      <x:alignment horizontal="center" vertical="center"/>
    </x:xf>
    <x:xf numFmtId="0" fontId="23" fillId="38" borderId="142" xfId="0" applyNumberFormat="1" applyFont="1" applyFill="1" applyBorder="1" applyAlignment="1">
      <x:alignment horizontal="center" vertical="center"/>
    </x:xf>
    <x:xf numFmtId="0" fontId="24" fillId="38" borderId="0" xfId="0" applyNumberFormat="1" applyFont="1" applyFill="1" applyBorder="1"/>
    <x:xf numFmtId="0" fontId="24" fillId="38" borderId="132" xfId="0" applyNumberFormat="1" applyFont="1" applyFill="1" applyBorder="1"/>
    <x:xf numFmtId="0" fontId="24" fillId="38" borderId="134" xfId="0" applyNumberFormat="1" applyFont="1" applyFill="1" applyBorder="1"/>
    <x:xf numFmtId="0" fontId="24" fillId="38" borderId="132" xfId="0" applyNumberFormat="1" applyFont="1" applyFill="1" applyBorder="1" applyAlignment="1">
      <x:alignment horizontal="center"/>
    </x:xf>
    <x:xf numFmtId="0" fontId="24" fillId="38" borderId="134" xfId="0" applyNumberFormat="1" applyFont="1" applyFill="1" applyBorder="1" applyAlignment="1">
      <x:alignment horizontal="center"/>
    </x:xf>
    <x:xf numFmtId="0" fontId="12" fillId="39" borderId="0" xfId="0" applyNumberFormat="1" applyFont="1" applyFill="1" applyBorder="1"/>
    <x:xf numFmtId="0" fontId="12" fillId="39" borderId="132" xfId="0" applyNumberFormat="1" applyFont="1" applyFill="1" applyBorder="1"/>
    <x:xf numFmtId="0" fontId="12" fillId="39" borderId="133" xfId="0" applyNumberFormat="1" applyFont="1" applyFill="1" applyBorder="1"/>
    <x:xf numFmtId="0" fontId="12" fillId="39" borderId="134" xfId="0" applyNumberFormat="1" applyFont="1" applyFill="1" applyBorder="1"/>
    <x:xf numFmtId="0" fontId="25" fillId="0" borderId="0" xfId="0" applyNumberFormat="1" applyFont="1" applyFill="1" applyBorder="1"/>
    <x:xf numFmtId="0" fontId="25" fillId="0" borderId="135" xfId="0" applyNumberFormat="1" applyFont="1" applyFill="1" applyBorder="1"/>
    <x:xf numFmtId="0" fontId="25" fillId="0" borderId="136" xfId="0" applyNumberFormat="1" applyFont="1" applyFill="1" applyBorder="1"/>
    <x:xf numFmtId="0" fontId="25" fillId="0" borderId="137" xfId="0" applyNumberFormat="1" applyFont="1" applyFill="1" applyBorder="1"/>
    <x:xf numFmtId="0" fontId="25" fillId="0" borderId="138" xfId="0" applyNumberFormat="1" applyFont="1" applyFill="1" applyBorder="1"/>
    <x:xf numFmtId="0" fontId="25" fillId="0" xfId="0" applyNumberFormat="1" applyFont="1" applyFill="1" applyBorder="0"/>
    <x:xf numFmtId="0" fontId="25" fillId="0" borderId="139" xfId="0" applyNumberFormat="1" applyFont="1" applyFill="1" applyBorder="1"/>
    <x:xf numFmtId="0" fontId="25" fillId="0" borderId="140" xfId="0" applyNumberFormat="1" applyFont="1" applyFill="1" applyBorder="1"/>
    <x:xf numFmtId="0" fontId="25" fillId="0" borderId="141" xfId="0" applyNumberFormat="1" applyFont="1" applyFill="1" applyBorder="1"/>
    <x:xf numFmtId="0" fontId="25" fillId="0" borderId="142" xfId="0" applyNumberFormat="1" applyFont="1" applyFill="1" applyBorder="1"/>
    <x:xf numFmtId="0" fontId="25" fillId="0" borderId="135" xfId="0" applyNumberFormat="1" applyFont="1" applyFill="1" applyBorder="1" applyAlignment="1">
      <x:alignment wrapText="1"/>
    </x:xf>
    <x:xf numFmtId="0" fontId="25" fillId="0" borderId="136" xfId="0" applyNumberFormat="1" applyFont="1" applyFill="1" applyBorder="1" applyAlignment="1">
      <x:alignment wrapText="1"/>
    </x:xf>
    <x:xf numFmtId="0" fontId="25" fillId="0" borderId="137" xfId="0" applyNumberFormat="1" applyFont="1" applyFill="1" applyBorder="1" applyAlignment="1">
      <x:alignment wrapText="1"/>
    </x:xf>
    <x:xf numFmtId="0" fontId="25" fillId="0" borderId="138" xfId="0" applyNumberFormat="1" applyFont="1" applyFill="1" applyBorder="1" applyAlignment="1">
      <x:alignment wrapText="1"/>
    </x:xf>
    <x:xf numFmtId="0" fontId="25" fillId="0" xfId="0" applyNumberFormat="1" applyFont="1" applyFill="1" applyBorder="0" applyAlignment="1">
      <x:alignment wrapText="1"/>
    </x:xf>
    <x:xf numFmtId="0" fontId="25" fillId="0" borderId="139" xfId="0" applyNumberFormat="1" applyFont="1" applyFill="1" applyBorder="1" applyAlignment="1">
      <x:alignment wrapText="1"/>
    </x:xf>
    <x:xf numFmtId="0" fontId="25" fillId="0" borderId="140" xfId="0" applyNumberFormat="1" applyFont="1" applyFill="1" applyBorder="1" applyAlignment="1">
      <x:alignment wrapText="1"/>
    </x:xf>
    <x:xf numFmtId="0" fontId="25" fillId="0" borderId="141" xfId="0" applyNumberFormat="1" applyFont="1" applyFill="1" applyBorder="1" applyAlignment="1">
      <x:alignment wrapText="1"/>
    </x:xf>
    <x:xf numFmtId="0" fontId="25" fillId="0" borderId="142" xfId="0" applyNumberFormat="1" applyFont="1" applyFill="1" applyBorder="1" applyAlignment="1">
      <x:alignment wrapText="1"/>
    </x:xf>
    <x:xf numFmtId="0" fontId="25" fillId="0" borderId="135" xfId="0" applyNumberFormat="1" applyFont="1" applyFill="1" applyBorder="1" applyAlignment="1">
      <x:alignment vertical="top" wrapText="1"/>
    </x:xf>
    <x:xf numFmtId="0" fontId="25" fillId="0" borderId="136" xfId="0" applyNumberFormat="1" applyFont="1" applyFill="1" applyBorder="1" applyAlignment="1">
      <x:alignment vertical="top" wrapText="1"/>
    </x:xf>
    <x:xf numFmtId="0" fontId="25" fillId="0" borderId="137" xfId="0" applyNumberFormat="1" applyFont="1" applyFill="1" applyBorder="1" applyAlignment="1">
      <x:alignment vertical="top" wrapText="1"/>
    </x:xf>
    <x:xf numFmtId="0" fontId="25" fillId="0" borderId="138" xfId="0" applyNumberFormat="1" applyFont="1" applyFill="1" applyBorder="1" applyAlignment="1">
      <x:alignment vertical="top" wrapText="1"/>
    </x:xf>
    <x:xf numFmtId="0" fontId="25" fillId="0" xfId="0" applyNumberFormat="1" applyFont="1" applyFill="1" applyBorder="0" applyAlignment="1">
      <x:alignment vertical="top" wrapText="1"/>
    </x:xf>
    <x:xf numFmtId="0" fontId="25" fillId="0" borderId="139" xfId="0" applyNumberFormat="1" applyFont="1" applyFill="1" applyBorder="1" applyAlignment="1">
      <x:alignment vertical="top" wrapText="1"/>
    </x:xf>
    <x:xf numFmtId="0" fontId="25" fillId="0" borderId="140" xfId="0" applyNumberFormat="1" applyFont="1" applyFill="1" applyBorder="1" applyAlignment="1">
      <x:alignment vertical="top" wrapText="1"/>
    </x:xf>
    <x:xf numFmtId="0" fontId="25" fillId="0" borderId="141" xfId="0" applyNumberFormat="1" applyFont="1" applyFill="1" applyBorder="1" applyAlignment="1">
      <x:alignment vertical="top" wrapText="1"/>
    </x:xf>
    <x:xf numFmtId="0" fontId="25" fillId="0" borderId="142" xfId="0" applyNumberFormat="1" applyFont="1" applyFill="1" applyBorder="1" applyAlignment="1">
      <x:alignment vertical="top" wrapText="1"/>
    </x:xf>
    <x:xf numFmtId="0" fontId="15" fillId="40" borderId="0" xfId="0" applyNumberFormat="1" applyFont="1" applyFill="1" applyBorder="1"/>
    <x:xf numFmtId="0" fontId="15" fillId="40" borderId="132" xfId="0" applyNumberFormat="1" applyFont="1" applyFill="1" applyBorder="1"/>
    <x:xf numFmtId="0" fontId="15" fillId="40" borderId="133" xfId="0" applyNumberFormat="1" applyFont="1" applyFill="1" applyBorder="1"/>
    <x:xf numFmtId="0" fontId="15" fillId="40" borderId="134" xfId="0" applyNumberFormat="1" applyFont="1" applyFill="1" applyBorder="1"/>
    <x:xf numFmtId="0" fontId="19" fillId="0" borderId="0" xfId="0" applyNumberFormat="1" applyFont="1" applyFill="1" applyBorder="1"/>
    <x:xf numFmtId="0" fontId="19" fillId="0" borderId="135" xfId="0" applyNumberFormat="1" applyFont="1" applyFill="1" applyBorder="1"/>
    <x:xf numFmtId="0" fontId="19" fillId="0" borderId="136" xfId="0" applyNumberFormat="1" applyFont="1" applyFill="1" applyBorder="1"/>
    <x:xf numFmtId="0" fontId="19" fillId="0" borderId="137" xfId="0" applyNumberFormat="1" applyFont="1" applyFill="1" applyBorder="1"/>
    <x:xf numFmtId="0" fontId="19" fillId="0" borderId="138" xfId="0" applyNumberFormat="1" applyFont="1" applyFill="1" applyBorder="1"/>
    <x:xf numFmtId="0" fontId="19" fillId="0" xfId="0" applyNumberFormat="1" applyFont="1" applyFill="1" applyBorder="0"/>
    <x:xf numFmtId="0" fontId="19" fillId="0" borderId="139" xfId="0" applyNumberFormat="1" applyFont="1" applyFill="1" applyBorder="1"/>
    <x:xf numFmtId="0" fontId="19" fillId="0" borderId="140" xfId="0" applyNumberFormat="1" applyFont="1" applyFill="1" applyBorder="1"/>
    <x:xf numFmtId="0" fontId="19" fillId="0" borderId="141" xfId="0" applyNumberFormat="1" applyFont="1" applyFill="1" applyBorder="1"/>
    <x:xf numFmtId="0" fontId="19" fillId="0" borderId="142" xfId="0" applyNumberFormat="1" applyFont="1" applyFill="1" applyBorder="1"/>
    <x:xf numFmtId="0" fontId="19" fillId="0" borderId="135" xfId="0" applyNumberFormat="1" applyFont="1" applyFill="1" applyBorder="1" applyAlignment="1">
      <x:alignment wrapText="1"/>
    </x:xf>
    <x:xf numFmtId="0" fontId="19" fillId="0" borderId="136" xfId="0" applyNumberFormat="1" applyFont="1" applyFill="1" applyBorder="1" applyAlignment="1">
      <x:alignment wrapText="1"/>
    </x:xf>
    <x:xf numFmtId="0" fontId="19" fillId="0" borderId="137" xfId="0" applyNumberFormat="1" applyFont="1" applyFill="1" applyBorder="1" applyAlignment="1">
      <x:alignment wrapText="1"/>
    </x:xf>
    <x:xf numFmtId="0" fontId="19" fillId="0" borderId="138" xfId="0" applyNumberFormat="1" applyFont="1" applyFill="1" applyBorder="1" applyAlignment="1">
      <x:alignment wrapText="1"/>
    </x:xf>
    <x:xf numFmtId="0" fontId="19" fillId="0" xfId="0" applyNumberFormat="1" applyFont="1" applyFill="1" applyBorder="0" applyAlignment="1">
      <x:alignment wrapText="1"/>
    </x:xf>
    <x:xf numFmtId="0" fontId="19" fillId="0" borderId="139" xfId="0" applyNumberFormat="1" applyFont="1" applyFill="1" applyBorder="1" applyAlignment="1">
      <x:alignment wrapText="1"/>
    </x:xf>
    <x:xf numFmtId="0" fontId="19" fillId="0" borderId="140" xfId="0" applyNumberFormat="1" applyFont="1" applyFill="1" applyBorder="1" applyAlignment="1">
      <x:alignment wrapText="1"/>
    </x:xf>
    <x:xf numFmtId="0" fontId="19" fillId="0" borderId="141" xfId="0" applyNumberFormat="1" applyFont="1" applyFill="1" applyBorder="1" applyAlignment="1">
      <x:alignment wrapText="1"/>
    </x:xf>
    <x:xf numFmtId="0" fontId="19" fillId="0" borderId="142" xfId="0" applyNumberFormat="1" applyFont="1" applyFill="1" applyBorder="1" applyAlignment="1">
      <x:alignment wrapText="1"/>
    </x:xf>
    <x:xf numFmtId="0" fontId="19" fillId="0" borderId="135" xfId="0" applyNumberFormat="1" applyFont="1" applyFill="1" applyBorder="1" applyAlignment="1">
      <x:alignment vertical="top" wrapText="1"/>
    </x:xf>
    <x:xf numFmtId="0" fontId="19" fillId="0" borderId="136" xfId="0" applyNumberFormat="1" applyFont="1" applyFill="1" applyBorder="1" applyAlignment="1">
      <x:alignment vertical="top" wrapText="1"/>
    </x:xf>
    <x:xf numFmtId="0" fontId="19" fillId="0" borderId="137" xfId="0" applyNumberFormat="1" applyFont="1" applyFill="1" applyBorder="1" applyAlignment="1">
      <x:alignment vertical="top" wrapText="1"/>
    </x:xf>
    <x:xf numFmtId="0" fontId="19" fillId="0" borderId="138" xfId="0" applyNumberFormat="1" applyFont="1" applyFill="1" applyBorder="1" applyAlignment="1">
      <x:alignment vertical="top" wrapText="1"/>
    </x:xf>
    <x:xf numFmtId="0" fontId="19" fillId="0" xfId="0" applyNumberFormat="1" applyFont="1" applyFill="1" applyBorder="0" applyAlignment="1">
      <x:alignment vertical="top" wrapText="1"/>
    </x:xf>
    <x:xf numFmtId="0" fontId="19" fillId="0" borderId="139" xfId="0" applyNumberFormat="1" applyFont="1" applyFill="1" applyBorder="1" applyAlignment="1">
      <x:alignment vertical="top" wrapText="1"/>
    </x:xf>
    <x:xf numFmtId="0" fontId="19" fillId="0" borderId="140" xfId="0" applyNumberFormat="1" applyFont="1" applyFill="1" applyBorder="1" applyAlignment="1">
      <x:alignment vertical="top" wrapText="1"/>
    </x:xf>
    <x:xf numFmtId="0" fontId="19" fillId="0" borderId="141" xfId="0" applyNumberFormat="1" applyFont="1" applyFill="1" applyBorder="1" applyAlignment="1">
      <x:alignment vertical="top" wrapText="1"/>
    </x:xf>
    <x:xf numFmtId="0" fontId="19" fillId="0" borderId="142" xfId="0" applyNumberFormat="1" applyFont="1" applyFill="1" applyBorder="1" applyAlignment="1">
      <x:alignment vertical="top" wrapText="1"/>
    </x:xf>
    <x:xf numFmtId="0" fontId="15" fillId="41" borderId="0" xfId="0" applyNumberFormat="1" applyFont="1" applyFill="1" applyBorder="1"/>
    <x:xf numFmtId="0" fontId="15" fillId="41" borderId="132" xfId="0" applyNumberFormat="1" applyFont="1" applyFill="1" applyBorder="1"/>
    <x:xf numFmtId="0" fontId="15" fillId="41" borderId="133" xfId="0" applyNumberFormat="1" applyFont="1" applyFill="1" applyBorder="1"/>
    <x:xf numFmtId="0" fontId="15" fillId="41" borderId="134" xfId="0" applyNumberFormat="1" applyFont="1" applyFill="1" applyBorder="1"/>
    <x:xf numFmtId="0" fontId="12" fillId="37" borderId="0" xfId="0" applyNumberFormat="1" applyFont="1" applyFill="1" applyBorder="1"/>
    <x:xf numFmtId="0" fontId="12" fillId="37" borderId="132" xfId="0" applyNumberFormat="1" applyFont="1" applyFill="1" applyBorder="1"/>
    <x:xf numFmtId="0" fontId="12" fillId="37" borderId="133" xfId="0" applyNumberFormat="1" applyFont="1" applyFill="1" applyBorder="1"/>
    <x:xf numFmtId="0" fontId="12" fillId="37" borderId="134" xfId="0" applyNumberFormat="1" applyFont="1" applyFill="1" applyBorder="1"/>
    <x:xf numFmtId="0" fontId="12" fillId="39" borderId="133" xfId="0" applyNumberFormat="1" applyFont="1" applyFill="1" applyBorder="1" applyAlignment="1">
      <x:alignment wrapText="1"/>
    </x:xf>
    <x:xf numFmtId="0" fontId="12" fillId="39" borderId="134" xfId="0" applyNumberFormat="1" applyFont="1" applyFill="1" applyBorder="1" applyAlignment="1">
      <x:alignment wrapText="1"/>
    </x:xf>
    <x:xf numFmtId="0" fontId="12" fillId="39" borderId="133" xfId="0" applyNumberFormat="1" applyFont="1" applyFill="1" applyBorder="1" applyAlignment="1">
      <x:alignment horizontal="center" wrapText="1"/>
    </x:xf>
    <x:xf numFmtId="0" fontId="12" fillId="39" borderId="134" xfId="0" applyNumberFormat="1" applyFont="1" applyFill="1" applyBorder="1" applyAlignment="1">
      <x:alignment horizontal="center" wrapText="1"/>
    </x:xf>
    <x:xf numFmtId="0" fontId="14" fillId="0" borderId="143" xfId="0" applyNumberFormat="1" applyFont="1" applyFill="1" applyBorder="1" applyAlignment="1">
      <x:alignment vertical="top" wrapText="1"/>
    </x:xf>
    <x:xf numFmtId="0" fontId="14" fillId="0" borderId="144" xfId="0" applyNumberFormat="1" applyFont="1" applyFill="1" applyBorder="1" applyAlignment="1">
      <x:alignment vertical="top" wrapText="1"/>
    </x:xf>
    <x:xf numFmtId="0" fontId="14" fillId="0" borderId="140" xfId="0" applyNumberFormat="1" applyFont="1" applyFill="1" applyBorder="1" applyAlignment="1">
      <x:alignment vertical="top"/>
    </x:xf>
    <x:xf numFmtId="0" fontId="14" fillId="0" borderId="141" xfId="0" applyNumberFormat="1" applyFont="1" applyFill="1" applyBorder="1" applyAlignment="1">
      <x:alignment vertical="top"/>
    </x:xf>
    <x:xf numFmtId="0" fontId="14" fillId="0" borderId="142" xfId="0" applyNumberFormat="1" applyFont="1" applyFill="1" applyBorder="1" applyAlignment="1">
      <x:alignment vertical="top"/>
    </x:xf>
    <x:xf numFmtId="0" fontId="14" fillId="0" borderId="135" xfId="0" applyNumberFormat="1" applyFont="1" applyFill="1" applyBorder="1" applyAlignment="1">
      <x:alignment vertical="top"/>
    </x:xf>
    <x:xf numFmtId="0" fontId="14" fillId="0" borderId="137" xfId="0" applyNumberFormat="1" applyFont="1" applyFill="1" applyBorder="1" applyAlignment="1">
      <x:alignment vertical="top"/>
    </x:xf>
    <x:xf numFmtId="0" fontId="14" fillId="0" borderId="138" xfId="0" applyNumberFormat="1" applyFont="1" applyFill="1" applyBorder="1" applyAlignment="1">
      <x:alignment vertical="top"/>
    </x:xf>
    <x:xf numFmtId="0" fontId="14" fillId="0" borderId="139" xfId="0" applyNumberFormat="1" applyFont="1" applyFill="1" applyBorder="1" applyAlignment="1">
      <x:alignment vertical="top"/>
    </x:xf>
    <x:xf numFmtId="0" fontId="22" fillId="2" borderId="0" xfId="0" applyNumberFormat="1" applyFont="1" applyFill="1" applyBorder="1"/>
    <x:xf numFmtId="0" fontId="22" fillId="2" borderId="0" xfId="0" applyNumberFormat="1" applyFont="1" applyFill="1" applyBorder="1" applyAlignment="1">
      <x:alignment horizontal="center"/>
    </x:xf>
    <x:xf numFmtId="0" fontId="13" fillId="4" borderId="0" xfId="0" applyNumberFormat="1" applyFont="1" applyFill="1" applyBorder="1" applyAlignment="1">
      <x:alignment horizontal="center"/>
    </x:xf>
    <x:xf numFmtId="0" fontId="23" fillId="25" borderId="0" xfId="0" applyNumberFormat="1" applyFont="1" applyFill="1" applyBorder="1"/>
    <x:xf numFmtId="0" fontId="23" fillId="25" borderId="0" xfId="0" applyNumberFormat="1" applyFont="1" applyFill="1" applyBorder="1" applyAlignment="1">
      <x:alignment horizontal="center"/>
    </x:xf>
    <x:xf numFmtId="0" fontId="23" fillId="25" borderId="0" xfId="0" applyNumberFormat="1" applyFont="1" applyFill="1" applyBorder="1" applyAlignment="1">
      <x:alignment horizontal="center" vertical="center"/>
    </x:xf>
    <x:xf numFmtId="0" fontId="24" fillId="25" borderId="0" xfId="0" applyNumberFormat="1" applyFont="1" applyFill="1" applyBorder="1"/>
    <x:xf numFmtId="0" fontId="24" fillId="25" borderId="0" xfId="0" applyNumberFormat="1" applyFont="1" applyFill="1" applyBorder="1" applyAlignment="1">
      <x:alignment horizontal="center"/>
    </x:xf>
    <x:xf numFmtId="0" fontId="23" fillId="21" borderId="0" xfId="0" applyNumberFormat="1" applyFont="1" applyFill="1" applyBorder="1"/>
    <x:xf numFmtId="0" fontId="23" fillId="21" borderId="0" xfId="0" applyNumberFormat="1" applyFont="1" applyFill="1" applyBorder="1" applyAlignment="1">
      <x:alignment horizontal="center"/>
    </x:xf>
    <x:xf numFmtId="0" fontId="23" fillId="21" borderId="0" xfId="0" applyNumberFormat="1" applyFont="1" applyFill="1" applyBorder="1" applyAlignment="1">
      <x:alignment horizontal="center" vertical="center"/>
    </x:xf>
    <x:xf numFmtId="0" fontId="24" fillId="21" borderId="0" xfId="0" applyNumberFormat="1" applyFont="1" applyFill="1" applyBorder="1"/>
    <x:xf numFmtId="0" fontId="24" fillId="21" borderId="0" xfId="0" applyNumberFormat="1" applyFont="1" applyFill="1" applyBorder="1" applyAlignment="1">
      <x:alignment horizontal="center"/>
    </x:xf>
    <x:xf numFmtId="0" fontId="23" fillId="20" borderId="0" xfId="0" applyNumberFormat="1" applyFont="1" applyFill="1" applyBorder="1"/>
    <x:xf numFmtId="0" fontId="23" fillId="20" borderId="0" xfId="0" applyNumberFormat="1" applyFont="1" applyFill="1" applyBorder="1" applyAlignment="1">
      <x:alignment horizontal="center"/>
    </x:xf>
    <x:xf numFmtId="0" fontId="23" fillId="20" borderId="0" xfId="0" applyNumberFormat="1" applyFont="1" applyFill="1" applyBorder="1" applyAlignment="1">
      <x:alignment horizontal="center" vertical="center"/>
    </x:xf>
    <x:xf numFmtId="0" fontId="24" fillId="20" borderId="0" xfId="0" applyNumberFormat="1" applyFont="1" applyFill="1" applyBorder="1"/>
    <x:xf numFmtId="0" fontId="24" fillId="20" borderId="0" xfId="0" applyNumberFormat="1" applyFont="1" applyFill="1" applyBorder="1" applyAlignment="1">
      <x:alignment horizontal="center"/>
    </x:xf>
    <x:xf numFmtId="0" fontId="23" fillId="19" borderId="0" xfId="0" applyNumberFormat="1" applyFont="1" applyFill="1" applyBorder="1"/>
    <x:xf numFmtId="0" fontId="23" fillId="19" borderId="0" xfId="0" applyNumberFormat="1" applyFont="1" applyFill="1" applyBorder="1" applyAlignment="1">
      <x:alignment horizontal="center"/>
    </x:xf>
    <x:xf numFmtId="0" fontId="23" fillId="19" borderId="0" xfId="0" applyNumberFormat="1" applyFont="1" applyFill="1" applyBorder="1" applyAlignment="1">
      <x:alignment horizontal="center" vertical="center"/>
    </x:xf>
    <x:xf numFmtId="0" fontId="24" fillId="19" borderId="0" xfId="0" applyNumberFormat="1" applyFont="1" applyFill="1" applyBorder="1"/>
    <x:xf numFmtId="0" fontId="24" fillId="19" borderId="0" xfId="0" applyNumberFormat="1" applyFont="1" applyFill="1" applyBorder="1" applyAlignment="1">
      <x:alignment horizontal="center"/>
    </x:xf>
    <x:xf numFmtId="0" fontId="12" fillId="4" borderId="0" xfId="0" applyNumberFormat="1" applyFont="1" applyFill="1" applyBorder="1"/>
    <x:xf numFmtId="0" fontId="25" fillId="0" borderId="0" xfId="0" applyNumberFormat="1" applyFont="1" applyFill="1" applyBorder="1" applyAlignment="1">
      <x:alignment wrapText="1"/>
    </x:xf>
    <x:xf numFmtId="0" fontId="25" fillId="0" borderId="0" xfId="0" applyNumberFormat="1" applyFont="1" applyFill="1" applyBorder="1" applyAlignment="1">
      <x:alignment vertical="top" wrapText="1"/>
    </x:xf>
    <x:xf numFmtId="0" fontId="15" fillId="25" borderId="0" xfId="0" applyNumberFormat="1" applyFont="1" applyFill="1" applyBorder="1"/>
    <x:xf numFmtId="0" fontId="19" fillId="0" borderId="0" xfId="0" applyNumberFormat="1" applyFont="1" applyFill="1" applyBorder="1" applyAlignment="1">
      <x:alignment wrapText="1"/>
    </x:xf>
    <x:xf numFmtId="0" fontId="19" fillId="0" borderId="0" xfId="0" applyNumberFormat="1" applyFont="1" applyFill="1" applyBorder="1" applyAlignment="1">
      <x:alignment vertical="top" wrapText="1"/>
    </x:xf>
    <x:xf numFmtId="0" fontId="15" fillId="21" borderId="0" xfId="0" applyNumberFormat="1" applyFont="1" applyFill="1" applyBorder="1"/>
    <x:xf numFmtId="0" fontId="12" fillId="4" borderId="0" xfId="0" applyNumberFormat="1" applyFont="1" applyFill="1" applyBorder="1" applyAlignment="1">
      <x:alignment wrapText="1"/>
    </x:xf>
    <x:xf numFmtId="0" fontId="12" fillId="4" borderId="0" xfId="0" applyNumberFormat="1" applyFont="1" applyFill="1" applyBorder="1" applyAlignment="1">
      <x:alignment horizontal="center" wrapText="1"/>
    </x:xf>
    <x:xf numFmtId="0" fontId="0" fillId="43" borderId="0" xfId="0" applyNumberFormat="1" applyFont="1" applyFill="1" applyBorder="1"/>
    <x:xf numFmtId="0" fontId="1" fillId="43" borderId="0" xfId="0" applyNumberFormat="1" applyFont="1" applyFill="1" applyBorder="1"/>
    <x:xf numFmtId="0" fontId="1" fillId="43" borderId="0" xfId="0" applyNumberFormat="1" applyFont="1" applyFill="1" applyBorder="1" applyAlignment="1">
      <x:alignment horizontal="left"/>
    </x:xf>
    <x:xf numFmtId="0" fontId="1" fillId="43" borderId="0" xfId="0" applyNumberFormat="1" applyFont="1" applyFill="1" applyBorder="1" applyAlignment="1">
      <x:alignment horizontal="left" vertical="center"/>
    </x:xf>
    <x:xf numFmtId="0" fontId="0" fillId="44" borderId="0" xfId="0" applyNumberFormat="1" applyFont="1" applyFill="1" applyBorder="1"/>
    <x:xf numFmtId="0" fontId="21" fillId="44" borderId="0" xfId="0" applyNumberFormat="1" applyFont="1" applyFill="1" applyBorder="1"/>
    <x:xf numFmtId="0" fontId="21" fillId="44" borderId="0" xfId="0" applyNumberFormat="1" applyFont="1" applyFill="1" applyBorder="1" applyAlignment="1">
      <x:alignment wrapText="1"/>
    </x:xf>
    <x:xf numFmtId="0" fontId="0" fillId="45" borderId="0" xfId="0" applyNumberFormat="1" applyFont="1" applyFill="1" applyBorder="1"/>
    <x:xf numFmtId="0" fontId="3" fillId="45" borderId="0" xfId="0" applyNumberFormat="1" applyFont="1" applyFill="1" applyBorder="1"/>
    <x:xf numFmtId="0" fontId="3" fillId="45" borderId="145" xfId="0" applyNumberFormat="1" applyFont="1" applyFill="1" applyBorder="1"/>
    <x:xf numFmtId="0" fontId="3" fillId="45" borderId="146" xfId="0" applyNumberFormat="1" applyFont="1" applyFill="1" applyBorder="1"/>
    <x:xf numFmtId="0" fontId="3" fillId="45" borderId="147" xfId="0" applyNumberFormat="1" applyFont="1" applyFill="1" applyBorder="1"/>
    <x:xf numFmtId="0" fontId="3" fillId="45" borderId="145" xfId="0" applyNumberFormat="1" applyFont="1" applyFill="1" applyBorder="1" applyAlignment="1">
      <x:alignment wrapText="1"/>
    </x:xf>
    <x:xf numFmtId="0" fontId="3" fillId="45" borderId="146" xfId="0" applyNumberFormat="1" applyFont="1" applyFill="1" applyBorder="1" applyAlignment="1">
      <x:alignment wrapText="1"/>
    </x:xf>
    <x:xf numFmtId="0" fontId="3" fillId="45" borderId="147" xfId="0" applyNumberFormat="1" applyFont="1" applyFill="1" applyBorder="1" applyAlignment="1">
      <x:alignment wrapText="1"/>
    </x:xf>
    <x:xf numFmtId="0" fontId="3" fillId="45" borderId="145" xfId="0" applyNumberFormat="1" applyFont="1" applyFill="1" applyBorder="1" applyAlignment="1">
      <x:alignment horizontal="center" wrapText="1"/>
    </x:xf>
    <x:xf numFmtId="0" fontId="3" fillId="45" borderId="146" xfId="0" applyNumberFormat="1" applyFont="1" applyFill="1" applyBorder="1" applyAlignment="1">
      <x:alignment horizontal="center" wrapText="1"/>
    </x:xf>
    <x:xf numFmtId="0" fontId="3" fillId="45" borderId="147" xfId="0" applyNumberFormat="1" applyFont="1" applyFill="1" applyBorder="1" applyAlignment="1">
      <x:alignment horizontal="center" wrapText="1"/>
    </x:xf>
    <x:xf numFmtId="0" fontId="3" fillId="45" borderId="145" xfId="0" applyNumberFormat="1" applyFont="1" applyFill="1" applyBorder="1" applyAlignment="1">
      <x:alignment horizontal="center" vertical="center" wrapText="1"/>
    </x:xf>
    <x:xf numFmtId="0" fontId="3" fillId="45" borderId="146" xfId="0" applyNumberFormat="1" applyFont="1" applyFill="1" applyBorder="1" applyAlignment="1">
      <x:alignment horizontal="center" vertical="center" wrapText="1"/>
    </x:xf>
    <x:xf numFmtId="0" fontId="3" fillId="45" borderId="147" xfId="0" applyNumberFormat="1" applyFont="1" applyFill="1" applyBorder="1" applyAlignment="1">
      <x:alignment horizontal="center" vertical="center" wrapText="1"/>
    </x:xf>
    <x:xf numFmtId="0" fontId="14" fillId="0" borderId="148" xfId="0" applyNumberFormat="1" applyFont="1" applyFill="1" applyBorder="1"/>
    <x:xf numFmtId="0" fontId="14" fillId="0" borderId="149" xfId="0" applyNumberFormat="1" applyFont="1" applyFill="1" applyBorder="1"/>
    <x:xf numFmtId="0" fontId="14" fillId="0" borderId="150" xfId="0" applyNumberFormat="1" applyFont="1" applyFill="1" applyBorder="1"/>
    <x:xf numFmtId="0" fontId="14" fillId="0" borderId="151" xfId="0" applyNumberFormat="1" applyFont="1" applyFill="1" applyBorder="1"/>
    <x:xf numFmtId="0" fontId="14" fillId="0" borderId="152" xfId="0" applyNumberFormat="1" applyFont="1" applyFill="1" applyBorder="1"/>
    <x:xf numFmtId="0" fontId="14" fillId="0" borderId="153" xfId="0" applyNumberFormat="1" applyFont="1" applyFill="1" applyBorder="1"/>
    <x:xf numFmtId="0" fontId="14" fillId="0" borderId="154" xfId="0" applyNumberFormat="1" applyFont="1" applyFill="1" applyBorder="1"/>
    <x:xf numFmtId="0" fontId="14" fillId="0" borderId="155" xfId="0" applyNumberFormat="1" applyFont="1" applyFill="1" applyBorder="1"/>
    <x:xf numFmtId="0" fontId="14" fillId="0" borderId="148" xfId="0" applyNumberFormat="1" applyFont="1" applyFill="1" applyBorder="1" applyAlignment="1">
      <x:alignment wrapText="1"/>
    </x:xf>
    <x:xf numFmtId="0" fontId="14" fillId="0" borderId="149" xfId="0" applyNumberFormat="1" applyFont="1" applyFill="1" applyBorder="1" applyAlignment="1">
      <x:alignment wrapText="1"/>
    </x:xf>
    <x:xf numFmtId="0" fontId="14" fillId="0" borderId="150" xfId="0" applyNumberFormat="1" applyFont="1" applyFill="1" applyBorder="1" applyAlignment="1">
      <x:alignment wrapText="1"/>
    </x:xf>
    <x:xf numFmtId="0" fontId="14" fillId="0" borderId="151" xfId="0" applyNumberFormat="1" applyFont="1" applyFill="1" applyBorder="1" applyAlignment="1">
      <x:alignment wrapText="1"/>
    </x:xf>
    <x:xf numFmtId="0" fontId="14" fillId="0" borderId="152" xfId="0" applyNumberFormat="1" applyFont="1" applyFill="1" applyBorder="1" applyAlignment="1">
      <x:alignment wrapText="1"/>
    </x:xf>
    <x:xf numFmtId="0" fontId="14" fillId="0" borderId="153" xfId="0" applyNumberFormat="1" applyFont="1" applyFill="1" applyBorder="1" applyAlignment="1">
      <x:alignment wrapText="1"/>
    </x:xf>
    <x:xf numFmtId="0" fontId="14" fillId="0" borderId="154" xfId="0" applyNumberFormat="1" applyFont="1" applyFill="1" applyBorder="1" applyAlignment="1">
      <x:alignment wrapText="1"/>
    </x:xf>
    <x:xf numFmtId="0" fontId="14" fillId="0" borderId="155" xfId="0" applyNumberFormat="1" applyFont="1" applyFill="1" applyBorder="1" applyAlignment="1">
      <x:alignment wrapText="1"/>
    </x:xf>
    <x:xf numFmtId="0" fontId="14" fillId="0" borderId="148" xfId="0" applyNumberFormat="1" applyFont="1" applyFill="1" applyBorder="1" applyAlignment="1">
      <x:alignment vertical="top" wrapText="1"/>
    </x:xf>
    <x:xf numFmtId="0" fontId="14" fillId="0" borderId="149" xfId="0" applyNumberFormat="1" applyFont="1" applyFill="1" applyBorder="1" applyAlignment="1">
      <x:alignment vertical="top" wrapText="1"/>
    </x:xf>
    <x:xf numFmtId="0" fontId="14" fillId="0" borderId="150" xfId="0" applyNumberFormat="1" applyFont="1" applyFill="1" applyBorder="1" applyAlignment="1">
      <x:alignment vertical="top" wrapText="1"/>
    </x:xf>
    <x:xf numFmtId="0" fontId="14" fillId="0" borderId="151" xfId="0" applyNumberFormat="1" applyFont="1" applyFill="1" applyBorder="1" applyAlignment="1">
      <x:alignment vertical="top" wrapText="1"/>
    </x:xf>
    <x:xf numFmtId="0" fontId="14" fillId="0" borderId="152" xfId="0" applyNumberFormat="1" applyFont="1" applyFill="1" applyBorder="1" applyAlignment="1">
      <x:alignment vertical="top" wrapText="1"/>
    </x:xf>
    <x:xf numFmtId="0" fontId="14" fillId="0" borderId="153" xfId="0" applyNumberFormat="1" applyFont="1" applyFill="1" applyBorder="1" applyAlignment="1">
      <x:alignment vertical="top" wrapText="1"/>
    </x:xf>
    <x:xf numFmtId="0" fontId="14" fillId="0" borderId="154" xfId="0" applyNumberFormat="1" applyFont="1" applyFill="1" applyBorder="1" applyAlignment="1">
      <x:alignment vertical="top" wrapText="1"/>
    </x:xf>
    <x:xf numFmtId="0" fontId="14" fillId="0" borderId="155" xfId="0" applyNumberFormat="1" applyFont="1" applyFill="1" applyBorder="1" applyAlignment="1">
      <x:alignment vertical="top" wrapText="1"/>
    </x:xf>
    <x:xf numFmtId="0" fontId="14" fillId="0" borderId="156" xfId="0" applyNumberFormat="1" applyFont="1" applyFill="1" applyBorder="1" applyAlignment="1">
      <x:alignment vertical="top" wrapText="1"/>
    </x:xf>
    <x:xf numFmtId="0" fontId="14" fillId="0" borderId="157" xfId="0" applyNumberFormat="1" applyFont="1" applyFill="1" applyBorder="1" applyAlignment="1">
      <x:alignment vertical="top" wrapText="1"/>
    </x:xf>
    <x:xf numFmtId="0" fontId="14" fillId="0" borderId="153" xfId="0" applyNumberFormat="1" applyFont="1" applyFill="1" applyBorder="1" applyAlignment="1">
      <x:alignment vertical="top"/>
    </x:xf>
    <x:xf numFmtId="0" fontId="14" fillId="0" borderId="154" xfId="0" applyNumberFormat="1" applyFont="1" applyFill="1" applyBorder="1" applyAlignment="1">
      <x:alignment vertical="top"/>
    </x:xf>
    <x:xf numFmtId="0" fontId="14" fillId="0" borderId="155" xfId="0" applyNumberFormat="1" applyFont="1" applyFill="1" applyBorder="1" applyAlignment="1">
      <x:alignment vertical="top"/>
    </x:xf>
    <x:xf numFmtId="0" fontId="14" fillId="0" borderId="148" xfId="0" applyNumberFormat="1" applyFont="1" applyFill="1" applyBorder="1" applyAlignment="1">
      <x:alignment vertical="top"/>
    </x:xf>
    <x:xf numFmtId="0" fontId="14" fillId="0" borderId="150" xfId="0" applyNumberFormat="1" applyFont="1" applyFill="1" applyBorder="1" applyAlignment="1">
      <x:alignment vertical="top"/>
    </x:xf>
    <x:xf numFmtId="0" fontId="14" fillId="0" borderId="151" xfId="0" applyNumberFormat="1" applyFont="1" applyFill="1" applyBorder="1" applyAlignment="1">
      <x:alignment vertical="top"/>
    </x:xf>
    <x:xf numFmtId="0" fontId="14" fillId="0" borderId="152" xfId="0" applyNumberFormat="1" applyFont="1" applyFill="1" applyBorder="1" applyAlignment="1">
      <x:alignment vertical="top"/>
    </x:xf>
    <x:xf numFmtId="0" fontId="12" fillId="43" borderId="0" xfId="0" applyNumberFormat="1" applyFont="1" applyFill="1" applyBorder="1"/>
    <x:xf numFmtId="0" fontId="12" fillId="43" borderId="145" xfId="0" applyNumberFormat="1" applyFont="1" applyFill="1" applyBorder="1"/>
    <x:xf numFmtId="0" fontId="12" fillId="43" borderId="146" xfId="0" applyNumberFormat="1" applyFont="1" applyFill="1" applyBorder="1"/>
    <x:xf numFmtId="0" fontId="12" fillId="43" borderId="147" xfId="0" applyNumberFormat="1" applyFont="1" applyFill="1" applyBorder="1"/>
    <x:xf numFmtId="0" fontId="0" fillId="46" borderId="0" xfId="0" applyNumberFormat="1" applyFont="1" applyFill="1" applyBorder="1"/>
    <x:xf numFmtId="0" fontId="1" fillId="46" borderId="0" xfId="0" applyNumberFormat="1" applyFont="1" applyFill="1" applyBorder="1"/>
    <x:xf numFmtId="0" fontId="1" fillId="46" borderId="0" xfId="0" applyNumberFormat="1" applyFont="1" applyFill="1" applyBorder="1" applyAlignment="1">
      <x:alignment horizontal="left"/>
    </x:xf>
    <x:xf numFmtId="0" fontId="1" fillId="46" borderId="0" xfId="0" applyNumberFormat="1" applyFont="1" applyFill="1" applyBorder="1" applyAlignment="1">
      <x:alignment horizontal="left" vertical="center"/>
    </x:xf>
    <x:xf numFmtId="0" fontId="0" fillId="47" borderId="0" xfId="0" applyNumberFormat="1" applyFont="1" applyFill="1" applyBorder="1"/>
    <x:xf numFmtId="0" fontId="21" fillId="47" borderId="0" xfId="0" applyNumberFormat="1" applyFont="1" applyFill="1" applyBorder="1"/>
    <x:xf numFmtId="0" fontId="21" fillId="47" borderId="0" xfId="0" applyNumberFormat="1" applyFont="1" applyFill="1" applyBorder="1" applyAlignment="1">
      <x:alignment wrapText="1"/>
    </x:xf>
    <x:xf numFmtId="0" fontId="0" fillId="48" borderId="0" xfId="0" applyNumberFormat="1" applyFont="1" applyFill="1" applyBorder="1"/>
    <x:xf numFmtId="0" fontId="3" fillId="48" borderId="0" xfId="0" applyNumberFormat="1" applyFont="1" applyFill="1" applyBorder="1"/>
    <x:xf numFmtId="0" fontId="3" fillId="48" borderId="158" xfId="0" applyNumberFormat="1" applyFont="1" applyFill="1" applyBorder="1"/>
    <x:xf numFmtId="0" fontId="3" fillId="48" borderId="159" xfId="0" applyNumberFormat="1" applyFont="1" applyFill="1" applyBorder="1"/>
    <x:xf numFmtId="0" fontId="3" fillId="48" borderId="160" xfId="0" applyNumberFormat="1" applyFont="1" applyFill="1" applyBorder="1"/>
    <x:xf numFmtId="0" fontId="3" fillId="48" borderId="158" xfId="0" applyNumberFormat="1" applyFont="1" applyFill="1" applyBorder="1" applyAlignment="1">
      <x:alignment wrapText="1"/>
    </x:xf>
    <x:xf numFmtId="0" fontId="3" fillId="48" borderId="159" xfId="0" applyNumberFormat="1" applyFont="1" applyFill="1" applyBorder="1" applyAlignment="1">
      <x:alignment wrapText="1"/>
    </x:xf>
    <x:xf numFmtId="0" fontId="3" fillId="48" borderId="160" xfId="0" applyNumberFormat="1" applyFont="1" applyFill="1" applyBorder="1" applyAlignment="1">
      <x:alignment wrapText="1"/>
    </x:xf>
    <x:xf numFmtId="0" fontId="3" fillId="48" borderId="158" xfId="0" applyNumberFormat="1" applyFont="1" applyFill="1" applyBorder="1" applyAlignment="1">
      <x:alignment horizontal="center" wrapText="1"/>
    </x:xf>
    <x:xf numFmtId="0" fontId="3" fillId="48" borderId="159" xfId="0" applyNumberFormat="1" applyFont="1" applyFill="1" applyBorder="1" applyAlignment="1">
      <x:alignment horizontal="center" wrapText="1"/>
    </x:xf>
    <x:xf numFmtId="0" fontId="3" fillId="48" borderId="160" xfId="0" applyNumberFormat="1" applyFont="1" applyFill="1" applyBorder="1" applyAlignment="1">
      <x:alignment horizontal="center" wrapText="1"/>
    </x:xf>
    <x:xf numFmtId="0" fontId="3" fillId="48" borderId="158" xfId="0" applyNumberFormat="1" applyFont="1" applyFill="1" applyBorder="1" applyAlignment="1">
      <x:alignment horizontal="center" vertical="center" wrapText="1"/>
    </x:xf>
    <x:xf numFmtId="0" fontId="3" fillId="48" borderId="159" xfId="0" applyNumberFormat="1" applyFont="1" applyFill="1" applyBorder="1" applyAlignment="1">
      <x:alignment horizontal="center" vertical="center" wrapText="1"/>
    </x:xf>
    <x:xf numFmtId="0" fontId="3" fillId="48" borderId="160" xfId="0" applyNumberFormat="1" applyFont="1" applyFill="1" applyBorder="1" applyAlignment="1">
      <x:alignment horizontal="center" vertical="center" wrapText="1"/>
    </x:xf>
    <x:xf numFmtId="0" fontId="14" fillId="0" borderId="161" xfId="0" applyNumberFormat="1" applyFont="1" applyFill="1" applyBorder="1"/>
    <x:xf numFmtId="0" fontId="14" fillId="0" borderId="162" xfId="0" applyNumberFormat="1" applyFont="1" applyFill="1" applyBorder="1"/>
    <x:xf numFmtId="0" fontId="14" fillId="0" borderId="163" xfId="0" applyNumberFormat="1" applyFont="1" applyFill="1" applyBorder="1"/>
    <x:xf numFmtId="0" fontId="14" fillId="0" borderId="164" xfId="0" applyNumberFormat="1" applyFont="1" applyFill="1" applyBorder="1"/>
    <x:xf numFmtId="0" fontId="14" fillId="0" borderId="165" xfId="0" applyNumberFormat="1" applyFont="1" applyFill="1" applyBorder="1"/>
    <x:xf numFmtId="0" fontId="14" fillId="0" borderId="166" xfId="0" applyNumberFormat="1" applyFont="1" applyFill="1" applyBorder="1"/>
    <x:xf numFmtId="0" fontId="14" fillId="0" borderId="167" xfId="0" applyNumberFormat="1" applyFont="1" applyFill="1" applyBorder="1"/>
    <x:xf numFmtId="0" fontId="14" fillId="0" borderId="168" xfId="0" applyNumberFormat="1" applyFont="1" applyFill="1" applyBorder="1"/>
    <x:xf numFmtId="0" fontId="14" fillId="0" borderId="161" xfId="0" applyNumberFormat="1" applyFont="1" applyFill="1" applyBorder="1" applyAlignment="1">
      <x:alignment wrapText="1"/>
    </x:xf>
    <x:xf numFmtId="0" fontId="14" fillId="0" borderId="162" xfId="0" applyNumberFormat="1" applyFont="1" applyFill="1" applyBorder="1" applyAlignment="1">
      <x:alignment wrapText="1"/>
    </x:xf>
    <x:xf numFmtId="0" fontId="14" fillId="0" borderId="163" xfId="0" applyNumberFormat="1" applyFont="1" applyFill="1" applyBorder="1" applyAlignment="1">
      <x:alignment wrapText="1"/>
    </x:xf>
    <x:xf numFmtId="0" fontId="14" fillId="0" borderId="164" xfId="0" applyNumberFormat="1" applyFont="1" applyFill="1" applyBorder="1" applyAlignment="1">
      <x:alignment wrapText="1"/>
    </x:xf>
    <x:xf numFmtId="0" fontId="14" fillId="0" borderId="165" xfId="0" applyNumberFormat="1" applyFont="1" applyFill="1" applyBorder="1" applyAlignment="1">
      <x:alignment wrapText="1"/>
    </x:xf>
    <x:xf numFmtId="0" fontId="14" fillId="0" borderId="166" xfId="0" applyNumberFormat="1" applyFont="1" applyFill="1" applyBorder="1" applyAlignment="1">
      <x:alignment wrapText="1"/>
    </x:xf>
    <x:xf numFmtId="0" fontId="14" fillId="0" borderId="167" xfId="0" applyNumberFormat="1" applyFont="1" applyFill="1" applyBorder="1" applyAlignment="1">
      <x:alignment wrapText="1"/>
    </x:xf>
    <x:xf numFmtId="0" fontId="14" fillId="0" borderId="168" xfId="0" applyNumberFormat="1" applyFont="1" applyFill="1" applyBorder="1" applyAlignment="1">
      <x:alignment wrapText="1"/>
    </x:xf>
    <x:xf numFmtId="0" fontId="14" fillId="0" borderId="161" xfId="0" applyNumberFormat="1" applyFont="1" applyFill="1" applyBorder="1" applyAlignment="1">
      <x:alignment vertical="top" wrapText="1"/>
    </x:xf>
    <x:xf numFmtId="0" fontId="14" fillId="0" borderId="162" xfId="0" applyNumberFormat="1" applyFont="1" applyFill="1" applyBorder="1" applyAlignment="1">
      <x:alignment vertical="top" wrapText="1"/>
    </x:xf>
    <x:xf numFmtId="0" fontId="14" fillId="0" borderId="163" xfId="0" applyNumberFormat="1" applyFont="1" applyFill="1" applyBorder="1" applyAlignment="1">
      <x:alignment vertical="top" wrapText="1"/>
    </x:xf>
    <x:xf numFmtId="0" fontId="14" fillId="0" borderId="164" xfId="0" applyNumberFormat="1" applyFont="1" applyFill="1" applyBorder="1" applyAlignment="1">
      <x:alignment vertical="top" wrapText="1"/>
    </x:xf>
    <x:xf numFmtId="0" fontId="14" fillId="0" borderId="165" xfId="0" applyNumberFormat="1" applyFont="1" applyFill="1" applyBorder="1" applyAlignment="1">
      <x:alignment vertical="top" wrapText="1"/>
    </x:xf>
    <x:xf numFmtId="0" fontId="14" fillId="0" borderId="166" xfId="0" applyNumberFormat="1" applyFont="1" applyFill="1" applyBorder="1" applyAlignment="1">
      <x:alignment vertical="top" wrapText="1"/>
    </x:xf>
    <x:xf numFmtId="0" fontId="14" fillId="0" borderId="167" xfId="0" applyNumberFormat="1" applyFont="1" applyFill="1" applyBorder="1" applyAlignment="1">
      <x:alignment vertical="top" wrapText="1"/>
    </x:xf>
    <x:xf numFmtId="0" fontId="14" fillId="0" borderId="168" xfId="0" applyNumberFormat="1" applyFont="1" applyFill="1" applyBorder="1" applyAlignment="1">
      <x:alignment vertical="top" wrapText="1"/>
    </x:xf>
    <x:xf numFmtId="0" fontId="0" fillId="49" borderId="0" xfId="0" applyNumberFormat="1" applyFont="1" applyFill="1" applyBorder="1"/>
    <x:xf numFmtId="0" fontId="15" fillId="49" borderId="0" xfId="0" applyNumberFormat="1" applyFont="1" applyFill="1" applyBorder="1"/>
    <x:xf numFmtId="0" fontId="15" fillId="49" borderId="158" xfId="0" applyNumberFormat="1" applyFont="1" applyFill="1" applyBorder="1"/>
    <x:xf numFmtId="0" fontId="15" fillId="49" borderId="159" xfId="0" applyNumberFormat="1" applyFont="1" applyFill="1" applyBorder="1"/>
    <x:xf numFmtId="0" fontId="15" fillId="49" borderId="160" xfId="0" applyNumberFormat="1" applyFont="1" applyFill="1" applyBorder="1"/>
    <x:xf numFmtId="0" fontId="15" fillId="49" borderId="158" xfId="0" applyNumberFormat="1" applyFont="1" applyFill="1" applyBorder="1" applyAlignment="1">
      <x:alignment wrapText="1"/>
    </x:xf>
    <x:xf numFmtId="0" fontId="15" fillId="49" borderId="159" xfId="0" applyNumberFormat="1" applyFont="1" applyFill="1" applyBorder="1" applyAlignment="1">
      <x:alignment wrapText="1"/>
    </x:xf>
    <x:xf numFmtId="0" fontId="15" fillId="49" borderId="160" xfId="0" applyNumberFormat="1" applyFont="1" applyFill="1" applyBorder="1" applyAlignment="1">
      <x:alignment wrapText="1"/>
    </x:xf>
    <x:xf numFmtId="0" fontId="14" fillId="0" borderId="169" xfId="0" applyNumberFormat="1" applyFont="1" applyFill="1" applyBorder="1" applyAlignment="1">
      <x:alignment vertical="top" wrapText="1"/>
    </x:xf>
    <x:xf numFmtId="0" fontId="14" fillId="0" borderId="170" xfId="0" applyNumberFormat="1" applyFont="1" applyFill="1" applyBorder="1" applyAlignment="1">
      <x:alignment vertical="top" wrapText="1"/>
    </x:xf>
    <x:xf numFmtId="0" fontId="14" fillId="0" borderId="166" xfId="0" applyNumberFormat="1" applyFont="1" applyFill="1" applyBorder="1" applyAlignment="1">
      <x:alignment vertical="top"/>
    </x:xf>
    <x:xf numFmtId="0" fontId="14" fillId="0" borderId="167" xfId="0" applyNumberFormat="1" applyFont="1" applyFill="1" applyBorder="1" applyAlignment="1">
      <x:alignment vertical="top"/>
    </x:xf>
    <x:xf numFmtId="0" fontId="14" fillId="0" borderId="168" xfId="0" applyNumberFormat="1" applyFont="1" applyFill="1" applyBorder="1" applyAlignment="1">
      <x:alignment vertical="top"/>
    </x:xf>
    <x:xf numFmtId="0" fontId="14" fillId="0" borderId="161" xfId="0" applyNumberFormat="1" applyFont="1" applyFill="1" applyBorder="1" applyAlignment="1">
      <x:alignment vertical="top"/>
    </x:xf>
    <x:xf numFmtId="0" fontId="14" fillId="0" borderId="163" xfId="0" applyNumberFormat="1" applyFont="1" applyFill="1" applyBorder="1" applyAlignment="1">
      <x:alignment vertical="top"/>
    </x:xf>
    <x:xf numFmtId="0" fontId="14" fillId="0" borderId="164" xfId="0" applyNumberFormat="1" applyFont="1" applyFill="1" applyBorder="1" applyAlignment="1">
      <x:alignment vertical="top"/>
    </x:xf>
    <x:xf numFmtId="0" fontId="14" fillId="0" borderId="165" xfId="0" applyNumberFormat="1" applyFont="1" applyFill="1" applyBorder="1" applyAlignment="1">
      <x:alignment vertical="top"/>
    </x:xf>
    <x:xf numFmtId="0" fontId="15" fillId="21" borderId="0" xfId="0" applyNumberFormat="1" applyFont="1" applyFill="1" applyBorder="1" applyAlignment="1">
      <x:alignment wrapText="1"/>
    </x:xf>
    <x:xf numFmtId="0" fontId="0" fillId="50" borderId="0" xfId="0" applyNumberFormat="1" applyFont="1" applyFill="1" applyBorder="1"/>
    <x:xf numFmtId="0" fontId="1" fillId="50" borderId="0" xfId="0" applyNumberFormat="1" applyFont="1" applyFill="1" applyBorder="1"/>
    <x:xf numFmtId="0" fontId="1" fillId="50" borderId="0" xfId="0" applyNumberFormat="1" applyFont="1" applyFill="1" applyBorder="1" applyAlignment="1">
      <x:alignment horizontal="left"/>
    </x:xf>
    <x:xf numFmtId="0" fontId="1" fillId="50" borderId="0" xfId="0" applyNumberFormat="1" applyFont="1" applyFill="1" applyBorder="1" applyAlignment="1">
      <x:alignment horizontal="left" vertical="center"/>
    </x:xf>
    <x:xf numFmtId="0" fontId="0" fillId="51" borderId="0" xfId="0" applyNumberFormat="1" applyFont="1" applyFill="1" applyBorder="1"/>
    <x:xf numFmtId="0" fontId="21" fillId="51" borderId="0" xfId="0" applyNumberFormat="1" applyFont="1" applyFill="1" applyBorder="1"/>
    <x:xf numFmtId="0" fontId="21" fillId="51" borderId="0" xfId="0" applyNumberFormat="1" applyFont="1" applyFill="1" applyBorder="1" applyAlignment="1">
      <x:alignment wrapText="1"/>
    </x:xf>
    <x:xf numFmtId="0" fontId="0" fillId="52" borderId="0" xfId="0" applyNumberFormat="1" applyFont="1" applyFill="1" applyBorder="1"/>
    <x:xf numFmtId="0" fontId="3" fillId="52" borderId="0" xfId="0" applyNumberFormat="1" applyFont="1" applyFill="1" applyBorder="1"/>
    <x:xf numFmtId="0" fontId="3" fillId="52" borderId="171" xfId="0" applyNumberFormat="1" applyFont="1" applyFill="1" applyBorder="1"/>
    <x:xf numFmtId="0" fontId="3" fillId="52" borderId="172" xfId="0" applyNumberFormat="1" applyFont="1" applyFill="1" applyBorder="1"/>
    <x:xf numFmtId="0" fontId="3" fillId="52" borderId="173" xfId="0" applyNumberFormat="1" applyFont="1" applyFill="1" applyBorder="1"/>
    <x:xf numFmtId="0" fontId="3" fillId="52" borderId="171" xfId="0" applyNumberFormat="1" applyFont="1" applyFill="1" applyBorder="1" applyAlignment="1">
      <x:alignment wrapText="1"/>
    </x:xf>
    <x:xf numFmtId="0" fontId="3" fillId="52" borderId="172" xfId="0" applyNumberFormat="1" applyFont="1" applyFill="1" applyBorder="1" applyAlignment="1">
      <x:alignment wrapText="1"/>
    </x:xf>
    <x:xf numFmtId="0" fontId="3" fillId="52" borderId="173" xfId="0" applyNumberFormat="1" applyFont="1" applyFill="1" applyBorder="1" applyAlignment="1">
      <x:alignment wrapText="1"/>
    </x:xf>
    <x:xf numFmtId="0" fontId="3" fillId="52" borderId="171" xfId="0" applyNumberFormat="1" applyFont="1" applyFill="1" applyBorder="1" applyAlignment="1">
      <x:alignment horizontal="center" wrapText="1"/>
    </x:xf>
    <x:xf numFmtId="0" fontId="3" fillId="52" borderId="172" xfId="0" applyNumberFormat="1" applyFont="1" applyFill="1" applyBorder="1" applyAlignment="1">
      <x:alignment horizontal="center" wrapText="1"/>
    </x:xf>
    <x:xf numFmtId="0" fontId="3" fillId="52" borderId="173" xfId="0" applyNumberFormat="1" applyFont="1" applyFill="1" applyBorder="1" applyAlignment="1">
      <x:alignment horizontal="center" wrapText="1"/>
    </x:xf>
    <x:xf numFmtId="0" fontId="3" fillId="52" borderId="171" xfId="0" applyNumberFormat="1" applyFont="1" applyFill="1" applyBorder="1" applyAlignment="1">
      <x:alignment horizontal="center" vertical="center" wrapText="1"/>
    </x:xf>
    <x:xf numFmtId="0" fontId="3" fillId="52" borderId="172" xfId="0" applyNumberFormat="1" applyFont="1" applyFill="1" applyBorder="1" applyAlignment="1">
      <x:alignment horizontal="center" vertical="center" wrapText="1"/>
    </x:xf>
    <x:xf numFmtId="0" fontId="3" fillId="52" borderId="173" xfId="0" applyNumberFormat="1" applyFont="1" applyFill="1" applyBorder="1" applyAlignment="1">
      <x:alignment horizontal="center" vertical="center" wrapText="1"/>
    </x:xf>
    <x:xf numFmtId="0" fontId="14" fillId="0" borderId="174" xfId="0" applyNumberFormat="1" applyFont="1" applyFill="1" applyBorder="1"/>
    <x:xf numFmtId="0" fontId="14" fillId="0" borderId="175" xfId="0" applyNumberFormat="1" applyFont="1" applyFill="1" applyBorder="1"/>
    <x:xf numFmtId="0" fontId="14" fillId="0" borderId="176" xfId="0" applyNumberFormat="1" applyFont="1" applyFill="1" applyBorder="1"/>
    <x:xf numFmtId="0" fontId="14" fillId="0" borderId="177" xfId="0" applyNumberFormat="1" applyFont="1" applyFill="1" applyBorder="1"/>
    <x:xf numFmtId="0" fontId="14" fillId="0" borderId="178" xfId="0" applyNumberFormat="1" applyFont="1" applyFill="1" applyBorder="1"/>
    <x:xf numFmtId="0" fontId="14" fillId="0" borderId="179" xfId="0" applyNumberFormat="1" applyFont="1" applyFill="1" applyBorder="1"/>
    <x:xf numFmtId="0" fontId="14" fillId="0" borderId="180" xfId="0" applyNumberFormat="1" applyFont="1" applyFill="1" applyBorder="1"/>
    <x:xf numFmtId="0" fontId="14" fillId="0" borderId="181" xfId="0" applyNumberFormat="1" applyFont="1" applyFill="1" applyBorder="1"/>
    <x:xf numFmtId="0" fontId="14" fillId="0" borderId="174" xfId="0" applyNumberFormat="1" applyFont="1" applyFill="1" applyBorder="1" applyAlignment="1">
      <x:alignment wrapText="1"/>
    </x:xf>
    <x:xf numFmtId="0" fontId="14" fillId="0" borderId="175" xfId="0" applyNumberFormat="1" applyFont="1" applyFill="1" applyBorder="1" applyAlignment="1">
      <x:alignment wrapText="1"/>
    </x:xf>
    <x:xf numFmtId="0" fontId="14" fillId="0" borderId="176" xfId="0" applyNumberFormat="1" applyFont="1" applyFill="1" applyBorder="1" applyAlignment="1">
      <x:alignment wrapText="1"/>
    </x:xf>
    <x:xf numFmtId="0" fontId="14" fillId="0" borderId="177" xfId="0" applyNumberFormat="1" applyFont="1" applyFill="1" applyBorder="1" applyAlignment="1">
      <x:alignment wrapText="1"/>
    </x:xf>
    <x:xf numFmtId="0" fontId="14" fillId="0" borderId="178" xfId="0" applyNumberFormat="1" applyFont="1" applyFill="1" applyBorder="1" applyAlignment="1">
      <x:alignment wrapText="1"/>
    </x:xf>
    <x:xf numFmtId="0" fontId="14" fillId="0" borderId="179" xfId="0" applyNumberFormat="1" applyFont="1" applyFill="1" applyBorder="1" applyAlignment="1">
      <x:alignment wrapText="1"/>
    </x:xf>
    <x:xf numFmtId="0" fontId="14" fillId="0" borderId="180" xfId="0" applyNumberFormat="1" applyFont="1" applyFill="1" applyBorder="1" applyAlignment="1">
      <x:alignment wrapText="1"/>
    </x:xf>
    <x:xf numFmtId="0" fontId="14" fillId="0" borderId="181" xfId="0" applyNumberFormat="1" applyFont="1" applyFill="1" applyBorder="1" applyAlignment="1">
      <x:alignment wrapText="1"/>
    </x:xf>
    <x:xf numFmtId="0" fontId="14" fillId="0" borderId="174" xfId="0" applyNumberFormat="1" applyFont="1" applyFill="1" applyBorder="1" applyAlignment="1">
      <x:alignment vertical="top" wrapText="1"/>
    </x:xf>
    <x:xf numFmtId="0" fontId="14" fillId="0" borderId="175" xfId="0" applyNumberFormat="1" applyFont="1" applyFill="1" applyBorder="1" applyAlignment="1">
      <x:alignment vertical="top" wrapText="1"/>
    </x:xf>
    <x:xf numFmtId="0" fontId="14" fillId="0" borderId="176" xfId="0" applyNumberFormat="1" applyFont="1" applyFill="1" applyBorder="1" applyAlignment="1">
      <x:alignment vertical="top" wrapText="1"/>
    </x:xf>
    <x:xf numFmtId="0" fontId="14" fillId="0" borderId="177" xfId="0" applyNumberFormat="1" applyFont="1" applyFill="1" applyBorder="1" applyAlignment="1">
      <x:alignment vertical="top" wrapText="1"/>
    </x:xf>
    <x:xf numFmtId="0" fontId="14" fillId="0" borderId="178" xfId="0" applyNumberFormat="1" applyFont="1" applyFill="1" applyBorder="1" applyAlignment="1">
      <x:alignment vertical="top" wrapText="1"/>
    </x:xf>
    <x:xf numFmtId="0" fontId="14" fillId="0" borderId="179" xfId="0" applyNumberFormat="1" applyFont="1" applyFill="1" applyBorder="1" applyAlignment="1">
      <x:alignment vertical="top" wrapText="1"/>
    </x:xf>
    <x:xf numFmtId="0" fontId="14" fillId="0" borderId="180" xfId="0" applyNumberFormat="1" applyFont="1" applyFill="1" applyBorder="1" applyAlignment="1">
      <x:alignment vertical="top" wrapText="1"/>
    </x:xf>
    <x:xf numFmtId="0" fontId="14" fillId="0" borderId="181" xfId="0" applyNumberFormat="1" applyFont="1" applyFill="1" applyBorder="1" applyAlignment="1">
      <x:alignment vertical="top" wrapText="1"/>
    </x:xf>
    <x:xf numFmtId="200" fontId="14" fillId="0" borderId="175" xfId="0" applyNumberFormat="1" applyFont="1" applyFill="1" applyBorder="1" applyAlignment="1">
      <x:alignment vertical="top" wrapText="1"/>
    </x:xf>
    <x:xf numFmtId="200" fontId="14" fillId="0" borderId="180" xfId="0" applyNumberFormat="1" applyFont="1" applyFill="1" applyBorder="1" applyAlignment="1">
      <x:alignment vertical="top" wrapText="1"/>
    </x:xf>
    <x:xf numFmtId="206" fontId="14" fillId="0" borderId="175" xfId="0" applyNumberFormat="1" applyFont="1" applyFill="1" applyBorder="1" applyAlignment="1">
      <x:alignment vertical="top" wrapText="1"/>
    </x:xf>
    <x:xf numFmtId="206" fontId="14" fillId="0" xfId="0" applyNumberFormat="1" applyFont="1" applyFill="1" applyBorder="0" applyAlignment="1">
      <x:alignment vertical="top" wrapText="1"/>
    </x:xf>
    <x:xf numFmtId="206" fontId="14" fillId="0" borderId="180" xfId="0" applyNumberFormat="1" applyFont="1" applyFill="1" applyBorder="1" applyAlignment="1">
      <x:alignment vertical="top" wrapText="1"/>
    </x:xf>
    <x:xf numFmtId="204" fontId="14" fillId="0" borderId="175" xfId="0" applyNumberFormat="1" applyFont="1" applyFill="1" applyBorder="1" applyAlignment="1">
      <x:alignment vertical="top" wrapText="1"/>
    </x:xf>
    <x:xf numFmtId="204" fontId="14" fillId="0" borderId="180" xfId="0" applyNumberFormat="1" applyFont="1" applyFill="1" applyBorder="1" applyAlignment="1">
      <x:alignment vertical="top" wrapText="1"/>
    </x:xf>
    <x:xf numFmtId="207" fontId="14" fillId="0" borderId="180" xfId="0" applyNumberFormat="1" applyFont="1" applyFill="1" applyBorder="1" applyAlignment="1">
      <x:alignment vertical="top" wrapText="1"/>
    </x:xf>
    <x:xf numFmtId="0" fontId="14" fillId="0" borderId="182" xfId="0" applyNumberFormat="1" applyFont="1" applyFill="1" applyBorder="1" applyAlignment="1">
      <x:alignment vertical="top" wrapText="1"/>
    </x:xf>
    <x:xf numFmtId="0" fontId="14" fillId="0" borderId="183" xfId="0" applyNumberFormat="1" applyFont="1" applyFill="1" applyBorder="1" applyAlignment="1">
      <x:alignment vertical="top" wrapText="1"/>
    </x:xf>
    <x:xf numFmtId="0" fontId="14" fillId="0" borderId="179" xfId="0" applyNumberFormat="1" applyFont="1" applyFill="1" applyBorder="1" applyAlignment="1">
      <x:alignment vertical="top"/>
    </x:xf>
    <x:xf numFmtId="0" fontId="14" fillId="0" borderId="180" xfId="0" applyNumberFormat="1" applyFont="1" applyFill="1" applyBorder="1" applyAlignment="1">
      <x:alignment vertical="top"/>
    </x:xf>
    <x:xf numFmtId="0" fontId="14" fillId="0" borderId="181" xfId="0" applyNumberFormat="1" applyFont="1" applyFill="1" applyBorder="1" applyAlignment="1">
      <x:alignment vertical="top"/>
    </x:xf>
    <x:xf numFmtId="0" fontId="14" fillId="0" borderId="174" xfId="0" applyNumberFormat="1" applyFont="1" applyFill="1" applyBorder="1" applyAlignment="1">
      <x:alignment vertical="top"/>
    </x:xf>
    <x:xf numFmtId="0" fontId="14" fillId="0" borderId="176" xfId="0" applyNumberFormat="1" applyFont="1" applyFill="1" applyBorder="1" applyAlignment="1">
      <x:alignment vertical="top"/>
    </x:xf>
    <x:xf numFmtId="0" fontId="14" fillId="0" borderId="177" xfId="0" applyNumberFormat="1" applyFont="1" applyFill="1" applyBorder="1" applyAlignment="1">
      <x:alignment vertical="top"/>
    </x:xf>
    <x:xf numFmtId="0" fontId="14" fillId="0" borderId="178" xfId="0" applyNumberFormat="1" applyFont="1" applyFill="1" applyBorder="1" applyAlignment="1">
      <x:alignment vertical="top"/>
    </x:xf>
    <x:xf numFmtId="206" fontId="14" fillId="0" borderId="0" xfId="0" applyNumberFormat="1" applyFont="1" applyFill="1" applyBorder="1" applyAlignment="1">
      <x:alignment vertical="top" wrapText="1"/>
    </x:xf>
    <x:xf numFmtId="207" fontId="14" fillId="0" borderId="0" xfId="0" applyNumberFormat="1" applyFont="1" applyFill="1" applyBorder="1" applyAlignment="1">
      <x:alignment vertical="top" wrapText="1"/>
    </x:xf>
    <x:xf numFmtId="0" fontId="14" fillId="0" borderId="184" xfId="0" applyNumberFormat="1" applyFont="1" applyFill="1" applyBorder="1" applyAlignment="1">
      <x:alignment vertical="top" wrapText="1"/>
    </x:xf>
    <x:xf numFmtId="0" fontId="14" fillId="0" borderId="185" xfId="0" applyNumberFormat="1" applyFont="1" applyFill="1" applyBorder="1" applyAlignment="1">
      <x:alignment vertical="top" wrapText="1"/>
    </x:xf>
    <x:xf numFmtId="0" fontId="14" fillId="0" borderId="186" xfId="0" applyNumberFormat="1" applyFont="1" applyFill="1" applyBorder="1" applyAlignment="1">
      <x:alignment vertical="top" wrapText="1"/>
    </x:xf>
    <x:xf numFmtId="0" fontId="14" fillId="0" borderId="187" xfId="0" applyNumberFormat="1" applyFont="1" applyFill="1" applyBorder="1" applyAlignment="1">
      <x:alignment vertical="top" wrapText="1"/>
    </x:xf>
    <x:xf numFmtId="0" fontId="14" fillId="0" borderId="188" xfId="0" applyNumberFormat="1" applyFont="1" applyFill="1" applyBorder="1" applyAlignment="1">
      <x:alignment vertical="top" wrapText="1"/>
    </x:xf>
    <x:xf numFmtId="0" fontId="14" fillId="0" borderId="189" xfId="0" applyNumberFormat="1" applyFont="1" applyFill="1" applyBorder="1" applyAlignment="1">
      <x:alignment vertical="top" wrapText="1"/>
    </x:xf>
    <x:xf numFmtId="0" fontId="14" fillId="0" borderId="190" xfId="0" applyNumberFormat="1" applyFont="1" applyFill="1" applyBorder="1" applyAlignment="1">
      <x:alignment vertical="top" wrapText="1"/>
    </x:xf>
    <x:xf numFmtId="0" fontId="14" fillId="0" borderId="191" xfId="0" applyNumberFormat="1" applyFont="1" applyFill="1" applyBorder="1" applyAlignment="1">
      <x:alignment vertical="top" wrapText="1"/>
    </x:xf>
    <x:xf numFmtId="0" fontId="14" fillId="0" borderId="192" xfId="0" applyNumberFormat="1" applyFont="1" applyFill="1" applyBorder="1" applyAlignment="1">
      <x:alignment vertical="top" wrapText="1"/>
    </x:xf>
    <x:xf numFmtId="0" fontId="14" fillId="0" borderId="193" xfId="0" applyNumberFormat="1" applyFont="1" applyFill="1" applyBorder="1" applyAlignment="1">
      <x:alignment vertical="top" wrapText="1"/>
    </x:xf>
    <x:xf numFmtId="0" fontId="14" fillId="0" borderId="187" xfId="0" applyNumberFormat="1" applyFont="1" applyFill="1" applyBorder="1"/>
    <x:xf numFmtId="0" fontId="14" fillId="0" borderId="188" xfId="0" applyNumberFormat="1" applyFont="1" applyFill="1" applyBorder="1"/>
    <x:xf numFmtId="0" fontId="14" fillId="0" borderId="189" xfId="0" applyNumberFormat="1" applyFont="1" applyFill="1" applyBorder="1"/>
    <x:xf numFmtId="0" fontId="14" fillId="0" borderId="190" xfId="0" applyNumberFormat="1" applyFont="1" applyFill="1" applyBorder="1"/>
    <x:xf numFmtId="0" fontId="14" fillId="0" borderId="191" xfId="0" applyNumberFormat="1" applyFont="1" applyFill="1" applyBorder="1"/>
    <x:xf numFmtId="0" fontId="14" fillId="0" borderId="187" xfId="0" applyNumberFormat="1" applyFont="1" applyFill="1" applyBorder="1" applyAlignment="1">
      <x:alignment wrapText="1"/>
    </x:xf>
    <x:xf numFmtId="0" fontId="14" fillId="0" borderId="188" xfId="0" applyNumberFormat="1" applyFont="1" applyFill="1" applyBorder="1" applyAlignment="1">
      <x:alignment wrapText="1"/>
    </x:xf>
    <x:xf numFmtId="0" fontId="14" fillId="0" borderId="189" xfId="0" applyNumberFormat="1" applyFont="1" applyFill="1" applyBorder="1" applyAlignment="1">
      <x:alignment wrapText="1"/>
    </x:xf>
    <x:xf numFmtId="0" fontId="14" fillId="0" borderId="190" xfId="0" applyNumberFormat="1" applyFont="1" applyFill="1" applyBorder="1" applyAlignment="1">
      <x:alignment wrapText="1"/>
    </x:xf>
    <x:xf numFmtId="0" fontId="14" fillId="0" borderId="191" xfId="0" applyNumberFormat="1" applyFont="1" applyFill="1" applyBorder="1" applyAlignment="1">
      <x:alignment wrapText="1"/>
    </x:xf>
    <x:xf numFmtId="0" fontId="0" fillId="53" borderId="0" xfId="0" applyNumberFormat="1" applyFont="1" applyFill="1" applyBorder="1"/>
    <x:xf numFmtId="0" fontId="1" fillId="53" borderId="0" xfId="0" applyNumberFormat="1" applyFont="1" applyFill="1" applyBorder="1"/>
    <x:xf numFmtId="0" fontId="0" fillId="54" borderId="0" xfId="0" applyNumberFormat="1" applyFont="1" applyFill="1" applyBorder="1"/>
    <x:xf numFmtId="0" fontId="26" fillId="54" borderId="0" xfId="0" applyNumberFormat="1" applyFont="1" applyFill="1" applyBorder="1"/>
    <x:xf numFmtId="0" fontId="26" fillId="54" borderId="0" xfId="0" applyNumberFormat="1" applyFont="1" applyFill="1" applyBorder="1" applyAlignment="1">
      <x:alignment wrapText="1"/>
    </x:xf>
    <x:xf numFmtId="0" fontId="0" fillId="55" borderId="0" xfId="0" applyNumberFormat="1" applyFont="1" applyFill="1" applyBorder="1"/>
    <x:xf numFmtId="0" fontId="3" fillId="55" borderId="0" xfId="0" applyNumberFormat="1" applyFont="1" applyFill="1" applyBorder="1"/>
    <x:xf numFmtId="0" fontId="3" fillId="55" borderId="194" xfId="0" applyNumberFormat="1" applyFont="1" applyFill="1" applyBorder="1"/>
    <x:xf numFmtId="0" fontId="3" fillId="55" borderId="195" xfId="0" applyNumberFormat="1" applyFont="1" applyFill="1" applyBorder="1"/>
    <x:xf numFmtId="0" fontId="3" fillId="55" borderId="196" xfId="0" applyNumberFormat="1" applyFont="1" applyFill="1" applyBorder="1"/>
    <x:xf numFmtId="0" fontId="3" fillId="55" borderId="194" xfId="0" applyNumberFormat="1" applyFont="1" applyFill="1" applyBorder="1" applyAlignment="1">
      <x:alignment wrapText="1"/>
    </x:xf>
    <x:xf numFmtId="0" fontId="3" fillId="55" borderId="195" xfId="0" applyNumberFormat="1" applyFont="1" applyFill="1" applyBorder="1" applyAlignment="1">
      <x:alignment wrapText="1"/>
    </x:xf>
    <x:xf numFmtId="0" fontId="3" fillId="55" borderId="196" xfId="0" applyNumberFormat="1" applyFont="1" applyFill="1" applyBorder="1" applyAlignment="1">
      <x:alignment wrapText="1"/>
    </x:xf>
    <x:xf numFmtId="0" fontId="3" fillId="55" borderId="194" xfId="0" applyNumberFormat="1" applyFont="1" applyFill="1" applyBorder="1" applyAlignment="1">
      <x:alignment horizontal="center" wrapText="1"/>
    </x:xf>
    <x:xf numFmtId="0" fontId="3" fillId="55" borderId="195" xfId="0" applyNumberFormat="1" applyFont="1" applyFill="1" applyBorder="1" applyAlignment="1">
      <x:alignment horizontal="center" wrapText="1"/>
    </x:xf>
    <x:xf numFmtId="0" fontId="3" fillId="55" borderId="196" xfId="0" applyNumberFormat="1" applyFont="1" applyFill="1" applyBorder="1" applyAlignment="1">
      <x:alignment horizontal="center" wrapText="1"/>
    </x:xf>
    <x:xf numFmtId="0" fontId="3" fillId="55" borderId="194" xfId="0" applyNumberFormat="1" applyFont="1" applyFill="1" applyBorder="1" applyAlignment="1">
      <x:alignment horizontal="center" vertical="center" wrapText="1"/>
    </x:xf>
    <x:xf numFmtId="0" fontId="3" fillId="55" borderId="195" xfId="0" applyNumberFormat="1" applyFont="1" applyFill="1" applyBorder="1" applyAlignment="1">
      <x:alignment horizontal="center" vertical="center" wrapText="1"/>
    </x:xf>
    <x:xf numFmtId="0" fontId="3" fillId="55" borderId="196" xfId="0" applyNumberFormat="1" applyFont="1" applyFill="1" applyBorder="1" applyAlignment="1">
      <x:alignment horizontal="center" vertical="center" wrapText="1"/>
    </x:xf>
    <x:xf numFmtId="0" fontId="14" fillId="0" borderId="184" xfId="0" applyNumberFormat="1" applyFont="1" applyFill="1" applyBorder="1"/>
    <x:xf numFmtId="0" fontId="14" fillId="0" borderId="185" xfId="0" applyNumberFormat="1" applyFont="1" applyFill="1" applyBorder="1"/>
    <x:xf numFmtId="0" fontId="14" fillId="0" borderId="186" xfId="0" applyNumberFormat="1" applyFont="1" applyFill="1" applyBorder="1"/>
    <x:xf numFmtId="0" fontId="14" fillId="0" borderId="184" xfId="0" applyNumberFormat="1" applyFont="1" applyFill="1" applyBorder="1" applyAlignment="1">
      <x:alignment wrapText="1"/>
    </x:xf>
    <x:xf numFmtId="0" fontId="14" fillId="0" borderId="185" xfId="0" applyNumberFormat="1" applyFont="1" applyFill="1" applyBorder="1" applyAlignment="1">
      <x:alignment wrapText="1"/>
    </x:xf>
    <x:xf numFmtId="0" fontId="14" fillId="0" borderId="186" xfId="0" applyNumberFormat="1" applyFont="1" applyFill="1" applyBorder="1" applyAlignment="1">
      <x:alignment wrapText="1"/>
    </x:xf>
    <x:xf numFmtId="0" fontId="14" fillId="0" borderId="189" xfId="0" applyNumberFormat="1" applyFont="1" applyFill="1" applyBorder="1" applyAlignment="1">
      <x:alignment vertical="top"/>
    </x:xf>
    <x:xf numFmtId="0" fontId="14" fillId="0" borderId="190" xfId="0" applyNumberFormat="1" applyFont="1" applyFill="1" applyBorder="1" applyAlignment="1">
      <x:alignment vertical="top"/>
    </x:xf>
    <x:xf numFmtId="0" fontId="14" fillId="0" borderId="191" xfId="0" applyNumberFormat="1" applyFont="1" applyFill="1" applyBorder="1" applyAlignment="1">
      <x:alignment vertical="top"/>
    </x:xf>
    <x:xf numFmtId="0" fontId="14" fillId="0" borderId="184" xfId="0" applyNumberFormat="1" applyFont="1" applyFill="1" applyBorder="1" applyAlignment="1">
      <x:alignment vertical="top"/>
    </x:xf>
    <x:xf numFmtId="0" fontId="14" fillId="0" borderId="186" xfId="0" applyNumberFormat="1" applyFont="1" applyFill="1" applyBorder="1" applyAlignment="1">
      <x:alignment vertical="top"/>
    </x:xf>
    <x:xf numFmtId="0" fontId="14" fillId="0" borderId="187" xfId="0" applyNumberFormat="1" applyFont="1" applyFill="1" applyBorder="1" applyAlignment="1">
      <x:alignment vertical="top"/>
    </x:xf>
    <x:xf numFmtId="0" fontId="14" fillId="0" borderId="188" xfId="0" applyNumberFormat="1" applyFont="1" applyFill="1" applyBorder="1" applyAlignment="1">
      <x:alignment vertical="top"/>
    </x:xf>
    <x:xf numFmtId="0" fontId="26" fillId="19" borderId="0" xfId="0" applyNumberFormat="1" applyFont="1" applyFill="1" applyBorder="1"/>
    <x:xf numFmtId="0" fontId="26" fillId="19" borderId="0" xfId="0" applyNumberFormat="1" applyFont="1" applyFill="1" applyBorder="1" applyAlignment="1">
      <x:alignment wrapText="1"/>
    </x:xf>
    <x:xf numFmtId="0" fontId="0" fillId="56" borderId="0" xfId="0" applyNumberFormat="1" applyFont="1" applyFill="1" applyBorder="1"/>
    <x:xf numFmtId="0" fontId="1" fillId="56" borderId="0" xfId="0" applyNumberFormat="1" applyFont="1" applyFill="1" applyBorder="1"/>
    <x:xf numFmtId="0" fontId="1" fillId="56" borderId="0" xfId="0" applyNumberFormat="1" applyFont="1" applyFill="1" applyBorder="1" applyAlignment="1">
      <x:alignment horizontal="left"/>
    </x:xf>
    <x:xf numFmtId="0" fontId="1" fillId="56" borderId="0" xfId="0" applyNumberFormat="1" applyFont="1" applyFill="1" applyBorder="1" applyAlignment="1">
      <x:alignment horizontal="left" vertical="center"/>
    </x:xf>
    <x:xf numFmtId="0" fontId="0" fillId="57" borderId="0" xfId="0" applyNumberFormat="1" applyFont="1" applyFill="1" applyBorder="1"/>
    <x:xf numFmtId="0" fontId="21" fillId="57" borderId="0" xfId="0" applyNumberFormat="1" applyFont="1" applyFill="1" applyBorder="1"/>
    <x:xf numFmtId="0" fontId="21" fillId="57" borderId="0" xfId="0" applyNumberFormat="1" applyFont="1" applyFill="1" applyBorder="1" applyAlignment="1">
      <x:alignment wrapText="1"/>
    </x:xf>
    <x:xf numFmtId="0" fontId="0" fillId="58" borderId="0" xfId="0" applyNumberFormat="1" applyFont="1" applyFill="1" applyBorder="1"/>
    <x:xf numFmtId="0" fontId="3" fillId="58" borderId="0" xfId="0" applyNumberFormat="1" applyFont="1" applyFill="1" applyBorder="1"/>
    <x:xf numFmtId="0" fontId="3" fillId="58" borderId="197" xfId="0" applyNumberFormat="1" applyFont="1" applyFill="1" applyBorder="1"/>
    <x:xf numFmtId="0" fontId="3" fillId="58" borderId="198" xfId="0" applyNumberFormat="1" applyFont="1" applyFill="1" applyBorder="1"/>
    <x:xf numFmtId="0" fontId="3" fillId="58" borderId="199" xfId="0" applyNumberFormat="1" applyFont="1" applyFill="1" applyBorder="1"/>
    <x:xf numFmtId="0" fontId="3" fillId="58" borderId="197" xfId="0" applyNumberFormat="1" applyFont="1" applyFill="1" applyBorder="1" applyAlignment="1">
      <x:alignment wrapText="1"/>
    </x:xf>
    <x:xf numFmtId="0" fontId="3" fillId="58" borderId="198" xfId="0" applyNumberFormat="1" applyFont="1" applyFill="1" applyBorder="1" applyAlignment="1">
      <x:alignment wrapText="1"/>
    </x:xf>
    <x:xf numFmtId="0" fontId="3" fillId="58" borderId="199" xfId="0" applyNumberFormat="1" applyFont="1" applyFill="1" applyBorder="1" applyAlignment="1">
      <x:alignment wrapText="1"/>
    </x:xf>
    <x:xf numFmtId="0" fontId="3" fillId="58" borderId="197" xfId="0" applyNumberFormat="1" applyFont="1" applyFill="1" applyBorder="1" applyAlignment="1">
      <x:alignment horizontal="center" wrapText="1"/>
    </x:xf>
    <x:xf numFmtId="0" fontId="3" fillId="58" borderId="198" xfId="0" applyNumberFormat="1" applyFont="1" applyFill="1" applyBorder="1" applyAlignment="1">
      <x:alignment horizontal="center" wrapText="1"/>
    </x:xf>
    <x:xf numFmtId="0" fontId="3" fillId="58" borderId="199" xfId="0" applyNumberFormat="1" applyFont="1" applyFill="1" applyBorder="1" applyAlignment="1">
      <x:alignment horizontal="center" wrapText="1"/>
    </x:xf>
    <x:xf numFmtId="0" fontId="3" fillId="58" borderId="197" xfId="0" applyNumberFormat="1" applyFont="1" applyFill="1" applyBorder="1" applyAlignment="1">
      <x:alignment horizontal="center" vertical="center" wrapText="1"/>
    </x:xf>
    <x:xf numFmtId="0" fontId="3" fillId="58" borderId="198" xfId="0" applyNumberFormat="1" applyFont="1" applyFill="1" applyBorder="1" applyAlignment="1">
      <x:alignment horizontal="center" vertical="center" wrapText="1"/>
    </x:xf>
    <x:xf numFmtId="0" fontId="3" fillId="58" borderId="199" xfId="0" applyNumberFormat="1" applyFont="1" applyFill="1" applyBorder="1" applyAlignment="1">
      <x:alignment horizontal="center" vertical="center" wrapText="1"/>
    </x:xf>
    <x:xf numFmtId="0" fontId="14" fillId="0" borderId="200" xfId="0" applyNumberFormat="1" applyFont="1" applyFill="1" applyBorder="1"/>
    <x:xf numFmtId="0" fontId="14" fillId="0" borderId="201" xfId="0" applyNumberFormat="1" applyFont="1" applyFill="1" applyBorder="1"/>
    <x:xf numFmtId="0" fontId="14" fillId="0" borderId="202" xfId="0" applyNumberFormat="1" applyFont="1" applyFill="1" applyBorder="1"/>
    <x:xf numFmtId="0" fontId="14" fillId="0" borderId="203" xfId="0" applyNumberFormat="1" applyFont="1" applyFill="1" applyBorder="1"/>
    <x:xf numFmtId="0" fontId="14" fillId="0" borderId="204" xfId="0" applyNumberFormat="1" applyFont="1" applyFill="1" applyBorder="1"/>
    <x:xf numFmtId="0" fontId="14" fillId="0" borderId="205" xfId="0" applyNumberFormat="1" applyFont="1" applyFill="1" applyBorder="1"/>
    <x:xf numFmtId="0" fontId="14" fillId="0" borderId="206" xfId="0" applyNumberFormat="1" applyFont="1" applyFill="1" applyBorder="1"/>
    <x:xf numFmtId="0" fontId="14" fillId="0" borderId="207" xfId="0" applyNumberFormat="1" applyFont="1" applyFill="1" applyBorder="1"/>
    <x:xf numFmtId="0" fontId="14" fillId="0" borderId="200" xfId="0" applyNumberFormat="1" applyFont="1" applyFill="1" applyBorder="1" applyAlignment="1">
      <x:alignment wrapText="1"/>
    </x:xf>
    <x:xf numFmtId="0" fontId="14" fillId="0" borderId="201" xfId="0" applyNumberFormat="1" applyFont="1" applyFill="1" applyBorder="1" applyAlignment="1">
      <x:alignment wrapText="1"/>
    </x:xf>
    <x:xf numFmtId="0" fontId="14" fillId="0" borderId="202" xfId="0" applyNumberFormat="1" applyFont="1" applyFill="1" applyBorder="1" applyAlignment="1">
      <x:alignment wrapText="1"/>
    </x:xf>
    <x:xf numFmtId="0" fontId="14" fillId="0" borderId="203" xfId="0" applyNumberFormat="1" applyFont="1" applyFill="1" applyBorder="1" applyAlignment="1">
      <x:alignment wrapText="1"/>
    </x:xf>
    <x:xf numFmtId="0" fontId="14" fillId="0" borderId="204" xfId="0" applyNumberFormat="1" applyFont="1" applyFill="1" applyBorder="1" applyAlignment="1">
      <x:alignment wrapText="1"/>
    </x:xf>
    <x:xf numFmtId="0" fontId="14" fillId="0" borderId="205" xfId="0" applyNumberFormat="1" applyFont="1" applyFill="1" applyBorder="1" applyAlignment="1">
      <x:alignment wrapText="1"/>
    </x:xf>
    <x:xf numFmtId="0" fontId="14" fillId="0" borderId="206" xfId="0" applyNumberFormat="1" applyFont="1" applyFill="1" applyBorder="1" applyAlignment="1">
      <x:alignment wrapText="1"/>
    </x:xf>
    <x:xf numFmtId="0" fontId="14" fillId="0" borderId="207" xfId="0" applyNumberFormat="1" applyFont="1" applyFill="1" applyBorder="1" applyAlignment="1">
      <x:alignment wrapText="1"/>
    </x:xf>
    <x:xf numFmtId="0" fontId="14" fillId="0" borderId="200" xfId="0" applyNumberFormat="1" applyFont="1" applyFill="1" applyBorder="1" applyAlignment="1">
      <x:alignment vertical="top" wrapText="1"/>
    </x:xf>
    <x:xf numFmtId="0" fontId="14" fillId="0" borderId="201" xfId="0" applyNumberFormat="1" applyFont="1" applyFill="1" applyBorder="1" applyAlignment="1">
      <x:alignment vertical="top" wrapText="1"/>
    </x:xf>
    <x:xf numFmtId="0" fontId="14" fillId="0" borderId="202" xfId="0" applyNumberFormat="1" applyFont="1" applyFill="1" applyBorder="1" applyAlignment="1">
      <x:alignment vertical="top" wrapText="1"/>
    </x:xf>
    <x:xf numFmtId="0" fontId="14" fillId="0" borderId="203" xfId="0" applyNumberFormat="1" applyFont="1" applyFill="1" applyBorder="1" applyAlignment="1">
      <x:alignment vertical="top" wrapText="1"/>
    </x:xf>
    <x:xf numFmtId="0" fontId="14" fillId="0" borderId="204" xfId="0" applyNumberFormat="1" applyFont="1" applyFill="1" applyBorder="1" applyAlignment="1">
      <x:alignment vertical="top" wrapText="1"/>
    </x:xf>
    <x:xf numFmtId="0" fontId="14" fillId="0" borderId="205" xfId="0" applyNumberFormat="1" applyFont="1" applyFill="1" applyBorder="1" applyAlignment="1">
      <x:alignment vertical="top" wrapText="1"/>
    </x:xf>
    <x:xf numFmtId="0" fontId="14" fillId="0" borderId="206" xfId="0" applyNumberFormat="1" applyFont="1" applyFill="1" applyBorder="1" applyAlignment="1">
      <x:alignment vertical="top" wrapText="1"/>
    </x:xf>
    <x:xf numFmtId="0" fontId="14" fillId="0" borderId="207" xfId="0" applyNumberFormat="1" applyFont="1" applyFill="1" applyBorder="1" applyAlignment="1">
      <x:alignment vertical="top" wrapText="1"/>
    </x:xf>
    <x:xf numFmtId="0" fontId="14" fillId="0" borderId="208" xfId="0" applyNumberFormat="1" applyFont="1" applyFill="1" applyBorder="1" applyAlignment="1">
      <x:alignment vertical="top" wrapText="1"/>
    </x:xf>
    <x:xf numFmtId="0" fontId="14" fillId="0" borderId="209" xfId="0" applyNumberFormat="1" applyFont="1" applyFill="1" applyBorder="1" applyAlignment="1">
      <x:alignment vertical="top" wrapText="1"/>
    </x:xf>
    <x:xf numFmtId="0" fontId="14" fillId="0" borderId="205" xfId="0" applyNumberFormat="1" applyFont="1" applyFill="1" applyBorder="1" applyAlignment="1">
      <x:alignment vertical="top"/>
    </x:xf>
    <x:xf numFmtId="0" fontId="14" fillId="0" borderId="206" xfId="0" applyNumberFormat="1" applyFont="1" applyFill="1" applyBorder="1" applyAlignment="1">
      <x:alignment vertical="top"/>
    </x:xf>
    <x:xf numFmtId="0" fontId="14" fillId="0" borderId="207" xfId="0" applyNumberFormat="1" applyFont="1" applyFill="1" applyBorder="1" applyAlignment="1">
      <x:alignment vertical="top"/>
    </x:xf>
    <x:xf numFmtId="0" fontId="14" fillId="0" borderId="200" xfId="0" applyNumberFormat="1" applyFont="1" applyFill="1" applyBorder="1" applyAlignment="1">
      <x:alignment vertical="top"/>
    </x:xf>
    <x:xf numFmtId="0" fontId="14" fillId="0" borderId="202" xfId="0" applyNumberFormat="1" applyFont="1" applyFill="1" applyBorder="1" applyAlignment="1">
      <x:alignment vertical="top"/>
    </x:xf>
    <x:xf numFmtId="0" fontId="14" fillId="0" borderId="203" xfId="0" applyNumberFormat="1" applyFont="1" applyFill="1" applyBorder="1" applyAlignment="1">
      <x:alignment vertical="top"/>
    </x:xf>
    <x:xf numFmtId="0" fontId="14" fillId="0" borderId="204" xfId="0" applyNumberFormat="1" applyFont="1" applyFill="1" applyBorder="1" applyAlignment="1">
      <x:alignment vertical="top"/>
    </x:xf>
    <x:xf numFmtId="0" fontId="0" fillId="59" borderId="0" xfId="0" applyNumberFormat="1" applyFont="1" applyFill="1" applyBorder="1"/>
    <x:xf numFmtId="0" fontId="1" fillId="59" borderId="0" xfId="0" applyNumberFormat="1" applyFont="1" applyFill="1" applyBorder="1"/>
    <x:xf numFmtId="0" fontId="1" fillId="59" borderId="0" xfId="0" applyNumberFormat="1" applyFont="1" applyFill="1" applyBorder="1" applyAlignment="1">
      <x:alignment horizontal="left"/>
    </x:xf>
    <x:xf numFmtId="0" fontId="1" fillId="59" borderId="0" xfId="0" applyNumberFormat="1" applyFont="1" applyFill="1" applyBorder="1" applyAlignment="1">
      <x:alignment horizontal="left" vertical="center"/>
    </x:xf>
    <x:xf numFmtId="0" fontId="0" fillId="60" borderId="0" xfId="0" applyNumberFormat="1" applyFont="1" applyFill="1" applyBorder="1"/>
    <x:xf numFmtId="0" fontId="21" fillId="60" borderId="0" xfId="0" applyNumberFormat="1" applyFont="1" applyFill="1" applyBorder="1"/>
    <x:xf numFmtId="0" fontId="21" fillId="60" borderId="0" xfId="0" applyNumberFormat="1" applyFont="1" applyFill="1" applyBorder="1" applyAlignment="1">
      <x:alignment wrapText="1"/>
    </x:xf>
    <x:xf numFmtId="0" fontId="0" fillId="61" borderId="0" xfId="0" applyNumberFormat="1" applyFont="1" applyFill="1" applyBorder="1"/>
    <x:xf numFmtId="0" fontId="3" fillId="61" borderId="0" xfId="0" applyNumberFormat="1" applyFont="1" applyFill="1" applyBorder="1"/>
    <x:xf numFmtId="0" fontId="3" fillId="61" borderId="210" xfId="0" applyNumberFormat="1" applyFont="1" applyFill="1" applyBorder="1"/>
    <x:xf numFmtId="0" fontId="3" fillId="61" borderId="211" xfId="0" applyNumberFormat="1" applyFont="1" applyFill="1" applyBorder="1"/>
    <x:xf numFmtId="0" fontId="3" fillId="61" borderId="212" xfId="0" applyNumberFormat="1" applyFont="1" applyFill="1" applyBorder="1"/>
    <x:xf numFmtId="0" fontId="3" fillId="61" borderId="210" xfId="0" applyNumberFormat="1" applyFont="1" applyFill="1" applyBorder="1" applyAlignment="1">
      <x:alignment wrapText="1"/>
    </x:xf>
    <x:xf numFmtId="0" fontId="3" fillId="61" borderId="211" xfId="0" applyNumberFormat="1" applyFont="1" applyFill="1" applyBorder="1" applyAlignment="1">
      <x:alignment wrapText="1"/>
    </x:xf>
    <x:xf numFmtId="0" fontId="3" fillId="61" borderId="212" xfId="0" applyNumberFormat="1" applyFont="1" applyFill="1" applyBorder="1" applyAlignment="1">
      <x:alignment wrapText="1"/>
    </x:xf>
    <x:xf numFmtId="0" fontId="3" fillId="61" borderId="210" xfId="0" applyNumberFormat="1" applyFont="1" applyFill="1" applyBorder="1" applyAlignment="1">
      <x:alignment horizontal="center" wrapText="1"/>
    </x:xf>
    <x:xf numFmtId="0" fontId="3" fillId="61" borderId="211" xfId="0" applyNumberFormat="1" applyFont="1" applyFill="1" applyBorder="1" applyAlignment="1">
      <x:alignment horizontal="center" wrapText="1"/>
    </x:xf>
    <x:xf numFmtId="0" fontId="3" fillId="61" borderId="212" xfId="0" applyNumberFormat="1" applyFont="1" applyFill="1" applyBorder="1" applyAlignment="1">
      <x:alignment horizontal="center" wrapText="1"/>
    </x:xf>
    <x:xf numFmtId="0" fontId="3" fillId="61" borderId="210" xfId="0" applyNumberFormat="1" applyFont="1" applyFill="1" applyBorder="1" applyAlignment="1">
      <x:alignment horizontal="center" vertical="center" wrapText="1"/>
    </x:xf>
    <x:xf numFmtId="0" fontId="3" fillId="61" borderId="211" xfId="0" applyNumberFormat="1" applyFont="1" applyFill="1" applyBorder="1" applyAlignment="1">
      <x:alignment horizontal="center" vertical="center" wrapText="1"/>
    </x:xf>
    <x:xf numFmtId="0" fontId="3" fillId="61" borderId="212" xfId="0" applyNumberFormat="1" applyFont="1" applyFill="1" applyBorder="1" applyAlignment="1">
      <x:alignment horizontal="center" vertical="center" wrapText="1"/>
    </x:xf>
    <x:xf numFmtId="0" fontId="14" fillId="0" borderId="213" xfId="0" applyNumberFormat="1" applyFont="1" applyFill="1" applyBorder="1"/>
    <x:xf numFmtId="0" fontId="14" fillId="0" borderId="214" xfId="0" applyNumberFormat="1" applyFont="1" applyFill="1" applyBorder="1"/>
    <x:xf numFmtId="0" fontId="14" fillId="0" borderId="215" xfId="0" applyNumberFormat="1" applyFont="1" applyFill="1" applyBorder="1"/>
    <x:xf numFmtId="0" fontId="14" fillId="0" borderId="216" xfId="0" applyNumberFormat="1" applyFont="1" applyFill="1" applyBorder="1"/>
    <x:xf numFmtId="0" fontId="14" fillId="0" borderId="217" xfId="0" applyNumberFormat="1" applyFont="1" applyFill="1" applyBorder="1"/>
    <x:xf numFmtId="0" fontId="14" fillId="0" borderId="218" xfId="0" applyNumberFormat="1" applyFont="1" applyFill="1" applyBorder="1"/>
    <x:xf numFmtId="0" fontId="14" fillId="0" borderId="219" xfId="0" applyNumberFormat="1" applyFont="1" applyFill="1" applyBorder="1"/>
    <x:xf numFmtId="0" fontId="14" fillId="0" borderId="220" xfId="0" applyNumberFormat="1" applyFont="1" applyFill="1" applyBorder="1"/>
    <x:xf numFmtId="0" fontId="14" fillId="0" borderId="213" xfId="0" applyNumberFormat="1" applyFont="1" applyFill="1" applyBorder="1" applyAlignment="1">
      <x:alignment wrapText="1"/>
    </x:xf>
    <x:xf numFmtId="0" fontId="14" fillId="0" borderId="214" xfId="0" applyNumberFormat="1" applyFont="1" applyFill="1" applyBorder="1" applyAlignment="1">
      <x:alignment wrapText="1"/>
    </x:xf>
    <x:xf numFmtId="0" fontId="14" fillId="0" borderId="215" xfId="0" applyNumberFormat="1" applyFont="1" applyFill="1" applyBorder="1" applyAlignment="1">
      <x:alignment wrapText="1"/>
    </x:xf>
    <x:xf numFmtId="0" fontId="14" fillId="0" borderId="216" xfId="0" applyNumberFormat="1" applyFont="1" applyFill="1" applyBorder="1" applyAlignment="1">
      <x:alignment wrapText="1"/>
    </x:xf>
    <x:xf numFmtId="0" fontId="14" fillId="0" borderId="217" xfId="0" applyNumberFormat="1" applyFont="1" applyFill="1" applyBorder="1" applyAlignment="1">
      <x:alignment wrapText="1"/>
    </x:xf>
    <x:xf numFmtId="0" fontId="14" fillId="0" borderId="218" xfId="0" applyNumberFormat="1" applyFont="1" applyFill="1" applyBorder="1" applyAlignment="1">
      <x:alignment wrapText="1"/>
    </x:xf>
    <x:xf numFmtId="0" fontId="14" fillId="0" borderId="219" xfId="0" applyNumberFormat="1" applyFont="1" applyFill="1" applyBorder="1" applyAlignment="1">
      <x:alignment wrapText="1"/>
    </x:xf>
    <x:xf numFmtId="0" fontId="14" fillId="0" borderId="220" xfId="0" applyNumberFormat="1" applyFont="1" applyFill="1" applyBorder="1" applyAlignment="1">
      <x:alignment wrapText="1"/>
    </x:xf>
    <x:xf numFmtId="0" fontId="14" fillId="0" borderId="213" xfId="0" applyNumberFormat="1" applyFont="1" applyFill="1" applyBorder="1" applyAlignment="1">
      <x:alignment vertical="top" wrapText="1"/>
    </x:xf>
    <x:xf numFmtId="0" fontId="14" fillId="0" borderId="214" xfId="0" applyNumberFormat="1" applyFont="1" applyFill="1" applyBorder="1" applyAlignment="1">
      <x:alignment vertical="top" wrapText="1"/>
    </x:xf>
    <x:xf numFmtId="0" fontId="14" fillId="0" borderId="215" xfId="0" applyNumberFormat="1" applyFont="1" applyFill="1" applyBorder="1" applyAlignment="1">
      <x:alignment vertical="top" wrapText="1"/>
    </x:xf>
    <x:xf numFmtId="0" fontId="14" fillId="0" borderId="216" xfId="0" applyNumberFormat="1" applyFont="1" applyFill="1" applyBorder="1" applyAlignment="1">
      <x:alignment vertical="top" wrapText="1"/>
    </x:xf>
    <x:xf numFmtId="0" fontId="14" fillId="0" borderId="217" xfId="0" applyNumberFormat="1" applyFont="1" applyFill="1" applyBorder="1" applyAlignment="1">
      <x:alignment vertical="top" wrapText="1"/>
    </x:xf>
    <x:xf numFmtId="0" fontId="14" fillId="0" borderId="218" xfId="0" applyNumberFormat="1" applyFont="1" applyFill="1" applyBorder="1" applyAlignment="1">
      <x:alignment vertical="top" wrapText="1"/>
    </x:xf>
    <x:xf numFmtId="0" fontId="14" fillId="0" borderId="219" xfId="0" applyNumberFormat="1" applyFont="1" applyFill="1" applyBorder="1" applyAlignment="1">
      <x:alignment vertical="top" wrapText="1"/>
    </x:xf>
    <x:xf numFmtId="0" fontId="14" fillId="0" borderId="220" xfId="0" applyNumberFormat="1" applyFont="1" applyFill="1" applyBorder="1" applyAlignment="1">
      <x:alignment vertical="top" wrapText="1"/>
    </x:xf>
    <x:xf numFmtId="200" fontId="14" fillId="0" borderId="214" xfId="0" applyNumberFormat="1" applyFont="1" applyFill="1" applyBorder="1" applyAlignment="1">
      <x:alignment vertical="top" wrapText="1"/>
    </x:xf>
    <x:xf numFmtId="200" fontId="14" fillId="0" borderId="219" xfId="0" applyNumberFormat="1" applyFont="1" applyFill="1" applyBorder="1" applyAlignment="1">
      <x:alignment vertical="top" wrapText="1"/>
    </x:xf>
    <x:xf numFmtId="0" fontId="14" fillId="0" borderId="221" xfId="0" applyNumberFormat="1" applyFont="1" applyFill="1" applyBorder="1" applyAlignment="1">
      <x:alignment vertical="top" wrapText="1"/>
    </x:xf>
    <x:xf numFmtId="0" fontId="14" fillId="0" borderId="222" xfId="0" applyNumberFormat="1" applyFont="1" applyFill="1" applyBorder="1" applyAlignment="1">
      <x:alignment vertical="top" wrapText="1"/>
    </x:xf>
    <x:xf numFmtId="0" fontId="14" fillId="0" borderId="218" xfId="0" applyNumberFormat="1" applyFont="1" applyFill="1" applyBorder="1" applyAlignment="1">
      <x:alignment vertical="top"/>
    </x:xf>
    <x:xf numFmtId="0" fontId="14" fillId="0" borderId="219" xfId="0" applyNumberFormat="1" applyFont="1" applyFill="1" applyBorder="1" applyAlignment="1">
      <x:alignment vertical="top"/>
    </x:xf>
    <x:xf numFmtId="0" fontId="14" fillId="0" borderId="220" xfId="0" applyNumberFormat="1" applyFont="1" applyFill="1" applyBorder="1" applyAlignment="1">
      <x:alignment vertical="top"/>
    </x:xf>
    <x:xf numFmtId="0" fontId="14" fillId="0" borderId="213" xfId="0" applyNumberFormat="1" applyFont="1" applyFill="1" applyBorder="1" applyAlignment="1">
      <x:alignment vertical="top"/>
    </x:xf>
    <x:xf numFmtId="0" fontId="14" fillId="0" borderId="215" xfId="0" applyNumberFormat="1" applyFont="1" applyFill="1" applyBorder="1" applyAlignment="1">
      <x:alignment vertical="top"/>
    </x:xf>
    <x:xf numFmtId="0" fontId="14" fillId="0" borderId="216" xfId="0" applyNumberFormat="1" applyFont="1" applyFill="1" applyBorder="1" applyAlignment="1">
      <x:alignment vertical="top"/>
    </x:xf>
    <x:xf numFmtId="0" fontId="14" fillId="0" borderId="217" xfId="0" applyNumberFormat="1" applyFont="1" applyFill="1" applyBorder="1" applyAlignment="1">
      <x:alignment vertical="top"/>
    </x:xf>
    <x:xf numFmtId="0" fontId="3" fillId="62" borderId="210" xfId="0" applyNumberFormat="1" applyFont="1" applyFill="1" applyBorder="1" applyAlignment="1">
      <x:alignment horizontal="center" vertical="center" wrapText="1"/>
    </x:xf>
    <x:xf numFmtId="0" fontId="3" fillId="62" borderId="211" xfId="0" applyNumberFormat="1" applyFont="1" applyFill="1" applyBorder="1" applyAlignment="1">
      <x:alignment horizontal="center" vertical="center" wrapText="1"/>
    </x:xf>
    <x:xf numFmtId="0" fontId="3" fillId="62" borderId="212" xfId="0" applyNumberFormat="1" applyFont="1" applyFill="1" applyBorder="1" applyAlignment="1">
      <x:alignment horizontal="center" vertical="center" wrapText="1"/>
    </x:xf>
    <x:xf numFmtId="0" fontId="3" fillId="62" borderId="223" xfId="0" applyNumberFormat="1" applyFont="1" applyFill="1" applyBorder="1" applyAlignment="1">
      <x:alignment horizontal="center" vertical="center" wrapText="1"/>
    </x:xf>
    <x:xf numFmtId="0" fontId="3" fillId="62" borderId="224" xfId="0" applyNumberFormat="1" applyFont="1" applyFill="1" applyBorder="1" applyAlignment="1">
      <x:alignment horizontal="center" vertical="center" wrapText="1"/>
    </x:xf>
    <x:xf numFmtId="0" fontId="3" fillId="62" borderId="225" xfId="0" applyNumberFormat="1" applyFont="1" applyFill="1" applyBorder="1" applyAlignment="1">
      <x:alignment horizontal="center" vertical="center" wrapText="1"/>
    </x:xf>
    <x:xf numFmtId="0" fontId="3" fillId="62" borderId="0" xfId="0" applyNumberFormat="1" applyFont="1" applyFill="1" applyBorder="1" applyAlignment="1">
      <x:alignment horizontal="center" vertical="center" wrapText="1"/>
    </x:xf>
    <x:xf numFmtId="0" fontId="14" fillId="0" borderId="226" xfId="0" applyNumberFormat="1" applyFont="1" applyFill="1" applyBorder="1" applyAlignment="1">
      <x:alignment vertical="top" wrapText="1"/>
    </x:xf>
    <x:xf numFmtId="0" fontId="14" fillId="0" borderId="227" xfId="0" applyNumberFormat="1" applyFont="1" applyFill="1" applyBorder="1" applyAlignment="1">
      <x:alignment vertical="top" wrapText="1"/>
    </x:xf>
    <x:xf numFmtId="200" fontId="14" fillId="0" borderId="227" xfId="0" applyNumberFormat="1" applyFont="1" applyFill="1" applyBorder="1" applyAlignment="1">
      <x:alignment vertical="top" wrapText="1"/>
    </x:xf>
    <x:xf numFmtId="0" fontId="14" fillId="0" borderId="228" xfId="0" applyNumberFormat="1" applyFont="1" applyFill="1" applyBorder="1" applyAlignment="1">
      <x:alignment vertical="top" wrapText="1"/>
    </x:xf>
    <x:xf numFmtId="0" fontId="14" fillId="0" borderId="229" xfId="0" applyNumberFormat="1" applyFont="1" applyFill="1" applyBorder="1" applyAlignment="1">
      <x:alignment vertical="top" wrapText="1"/>
    </x:xf>
    <x:xf numFmtId="0" fontId="14" fillId="0" borderId="230" xfId="0" applyNumberFormat="1" applyFont="1" applyFill="1" applyBorder="1" applyAlignment="1">
      <x:alignment vertical="top" wrapText="1"/>
    </x:xf>
    <x:xf numFmtId="0" fontId="14" fillId="0" borderId="231" xfId="0" applyNumberFormat="1" applyFont="1" applyFill="1" applyBorder="1" applyAlignment="1">
      <x:alignment vertical="top" wrapText="1"/>
    </x:xf>
    <x:xf numFmtId="0" fontId="14" fillId="0" borderId="232" xfId="0" applyNumberFormat="1" applyFont="1" applyFill="1" applyBorder="1" applyAlignment="1">
      <x:alignment vertical="top" wrapText="1"/>
    </x:xf>
    <x:xf numFmtId="0" fontId="14" fillId="0" borderId="233" xfId="0" applyNumberFormat="1" applyFont="1" applyFill="1" applyBorder="1"/>
    <x:xf numFmtId="0" fontId="14" fillId="0" borderId="234" xfId="0" applyNumberFormat="1" applyFont="1" applyFill="1" applyBorder="1"/>
    <x:xf numFmtId="0" fontId="14" fillId="0" borderId="235" xfId="0" applyNumberFormat="1" applyFont="1" applyFill="1" applyBorder="1"/>
    <x:xf numFmtId="0" fontId="14" fillId="0" borderId="233" xfId="0" applyNumberFormat="1" applyFont="1" applyFill="1" applyBorder="1" applyAlignment="1">
      <x:alignment wrapText="1"/>
    </x:xf>
    <x:xf numFmtId="0" fontId="14" fillId="0" borderId="234" xfId="0" applyNumberFormat="1" applyFont="1" applyFill="1" applyBorder="1" applyAlignment="1">
      <x:alignment wrapText="1"/>
    </x:xf>
    <x:xf numFmtId="0" fontId="14" fillId="0" borderId="235" xfId="0" applyNumberFormat="1" applyFont="1" applyFill="1" applyBorder="1" applyAlignment="1">
      <x:alignment wrapText="1"/>
    </x:xf>
    <x:xf numFmtId="0" fontId="14" fillId="0" borderId="233" xfId="0" applyNumberFormat="1" applyFont="1" applyFill="1" applyBorder="1" applyAlignment="1">
      <x:alignment vertical="top" wrapText="1"/>
    </x:xf>
    <x:xf numFmtId="0" fontId="14" fillId="0" borderId="234" xfId="0" applyNumberFormat="1" applyFont="1" applyFill="1" applyBorder="1" applyAlignment="1">
      <x:alignment vertical="top" wrapText="1"/>
    </x:xf>
    <x:xf numFmtId="0" fontId="14" fillId="0" borderId="235" xfId="0" applyNumberFormat="1" applyFont="1" applyFill="1" applyBorder="1" applyAlignment="1">
      <x:alignment vertical="top" wrapText="1"/>
    </x:xf>
    <x:xf numFmtId="200" fontId="14" fillId="0" borderId="234" xfId="0" applyNumberFormat="1" applyFont="1" applyFill="1" applyBorder="1" applyAlignment="1">
      <x:alignment vertical="top" wrapText="1"/>
    </x:xf>
    <x:xf numFmtId="0" fontId="0" fillId="63" borderId="0" xfId="0" applyNumberFormat="1" applyFont="1" applyFill="1" applyBorder="1"/>
    <x:xf numFmtId="0" fontId="1" fillId="63" borderId="0" xfId="0" applyNumberFormat="1" applyFont="1" applyFill="1" applyBorder="1"/>
    <x:xf numFmtId="0" fontId="1" fillId="63" borderId="0" xfId="0" applyNumberFormat="1" applyFont="1" applyFill="1" applyBorder="1" applyAlignment="1">
      <x:alignment horizontal="left"/>
    </x:xf>
    <x:xf numFmtId="0" fontId="1" fillId="63" borderId="0" xfId="0" applyNumberFormat="1" applyFont="1" applyFill="1" applyBorder="1" applyAlignment="1">
      <x:alignment horizontal="left" vertical="center"/>
    </x:xf>
    <x:xf numFmtId="0" fontId="0" fillId="64" borderId="0" xfId="0" applyNumberFormat="1" applyFont="1" applyFill="1" applyBorder="1"/>
    <x:xf numFmtId="0" fontId="21" fillId="64" borderId="0" xfId="0" applyNumberFormat="1" applyFont="1" applyFill="1" applyBorder="1"/>
    <x:xf numFmtId="0" fontId="21" fillId="64" borderId="0" xfId="0" applyNumberFormat="1" applyFont="1" applyFill="1" applyBorder="1" applyAlignment="1">
      <x:alignment wrapText="1"/>
    </x:xf>
    <x:xf numFmtId="0" fontId="0" fillId="62" borderId="0" xfId="0" applyNumberFormat="1" applyFont="1" applyFill="1" applyBorder="1"/>
    <x:xf numFmtId="0" fontId="12" fillId="62" borderId="0" xfId="0" applyNumberFormat="1" applyFont="1" applyFill="1" applyBorder="1"/>
    <x:xf numFmtId="0" fontId="12" fillId="62" borderId="223" xfId="0" applyNumberFormat="1" applyFont="1" applyFill="1" applyBorder="1"/>
    <x:xf numFmtId="0" fontId="12" fillId="62" borderId="224" xfId="0" applyNumberFormat="1" applyFont="1" applyFill="1" applyBorder="1"/>
    <x:xf numFmtId="0" fontId="12" fillId="62" borderId="225" xfId="0" applyNumberFormat="1" applyFont="1" applyFill="1" applyBorder="1"/>
    <x:xf numFmtId="0" fontId="0" fillId="0" borderId="226" xfId="0" applyNumberFormat="1" applyFont="1" applyFill="1" applyBorder="1"/>
    <x:xf numFmtId="0" fontId="0" fillId="0" borderId="227" xfId="0" applyNumberFormat="1" applyFont="1" applyFill="1" applyBorder="1"/>
    <x:xf numFmtId="0" fontId="0" fillId="0" borderId="228" xfId="0" applyNumberFormat="1" applyFont="1" applyFill="1" applyBorder="1"/>
    <x:xf numFmtId="0" fontId="0" fillId="0" borderId="229" xfId="0" applyNumberFormat="1" applyFont="1" applyFill="1" applyBorder="1"/>
    <x:xf numFmtId="0" fontId="0" fillId="0" xfId="0" applyNumberFormat="1" applyFont="1" applyFill="1" applyBorder="0"/>
    <x:xf numFmtId="0" fontId="0" fillId="0" borderId="230" xfId="0" applyNumberFormat="1" applyFont="1" applyFill="1" applyBorder="1"/>
    <x:xf numFmtId="0" fontId="0" fillId="0" borderId="233" xfId="0" applyNumberFormat="1" applyFont="1" applyFill="1" applyBorder="1"/>
    <x:xf numFmtId="0" fontId="0" fillId="0" borderId="234" xfId="0" applyNumberFormat="1" applyFont="1" applyFill="1" applyBorder="1"/>
    <x:xf numFmtId="0" fontId="0" fillId="0" borderId="235" xfId="0" applyNumberFormat="1" applyFont="1" applyFill="1" applyBorder="1"/>
    <x:xf numFmtId="0" fontId="0" fillId="0" borderId="226" xfId="0" applyNumberFormat="1" applyFont="1" applyFill="1" applyBorder="1" applyAlignment="1">
      <x:alignment wrapText="1"/>
    </x:xf>
    <x:xf numFmtId="0" fontId="0" fillId="0" borderId="227" xfId="0" applyNumberFormat="1" applyFont="1" applyFill="1" applyBorder="1" applyAlignment="1">
      <x:alignment wrapText="1"/>
    </x:xf>
    <x:xf numFmtId="0" fontId="0" fillId="0" borderId="228" xfId="0" applyNumberFormat="1" applyFont="1" applyFill="1" applyBorder="1" applyAlignment="1">
      <x:alignment wrapText="1"/>
    </x:xf>
    <x:xf numFmtId="0" fontId="0" fillId="0" borderId="229" xfId="0" applyNumberFormat="1" applyFont="1" applyFill="1" applyBorder="1" applyAlignment="1">
      <x:alignment wrapText="1"/>
    </x:xf>
    <x:xf numFmtId="0" fontId="0" fillId="0" xfId="0" applyNumberFormat="1" applyFont="1" applyFill="1" applyBorder="0" applyAlignment="1">
      <x:alignment wrapText="1"/>
    </x:xf>
    <x:xf numFmtId="0" fontId="0" fillId="0" borderId="230" xfId="0" applyNumberFormat="1" applyFont="1" applyFill="1" applyBorder="1" applyAlignment="1">
      <x:alignment wrapText="1"/>
    </x:xf>
    <x:xf numFmtId="0" fontId="0" fillId="0" borderId="233" xfId="0" applyNumberFormat="1" applyFont="1" applyFill="1" applyBorder="1" applyAlignment="1">
      <x:alignment wrapText="1"/>
    </x:xf>
    <x:xf numFmtId="0" fontId="0" fillId="0" borderId="234" xfId="0" applyNumberFormat="1" applyFont="1" applyFill="1" applyBorder="1" applyAlignment="1">
      <x:alignment wrapText="1"/>
    </x:xf>
    <x:xf numFmtId="0" fontId="0" fillId="0" borderId="235" xfId="0" applyNumberFormat="1" applyFont="1" applyFill="1" applyBorder="1" applyAlignment="1">
      <x:alignment wrapText="1"/>
    </x:xf>
    <x:xf numFmtId="0" fontId="0" fillId="0" borderId="226" xfId="0" applyNumberFormat="1" applyFont="1" applyFill="1" applyBorder="1" applyAlignment="1">
      <x:alignment vertical="top" wrapText="1"/>
    </x:xf>
    <x:xf numFmtId="0" fontId="0" fillId="0" borderId="227" xfId="0" applyNumberFormat="1" applyFont="1" applyFill="1" applyBorder="1" applyAlignment="1">
      <x:alignment vertical="top" wrapText="1"/>
    </x:xf>
    <x:xf numFmtId="0" fontId="0" fillId="0" borderId="228" xfId="0" applyNumberFormat="1" applyFont="1" applyFill="1" applyBorder="1" applyAlignment="1">
      <x:alignment vertical="top" wrapText="1"/>
    </x:xf>
    <x:xf numFmtId="0" fontId="0" fillId="0" borderId="229" xfId="0" applyNumberFormat="1" applyFont="1" applyFill="1" applyBorder="1" applyAlignment="1">
      <x:alignment vertical="top" wrapText="1"/>
    </x:xf>
    <x:xf numFmtId="0" fontId="0" fillId="0" xfId="0" applyNumberFormat="1" applyFont="1" applyFill="1" applyBorder="0" applyAlignment="1">
      <x:alignment vertical="top" wrapText="1"/>
    </x:xf>
    <x:xf numFmtId="0" fontId="0" fillId="0" borderId="230" xfId="0" applyNumberFormat="1" applyFont="1" applyFill="1" applyBorder="1" applyAlignment="1">
      <x:alignment vertical="top" wrapText="1"/>
    </x:xf>
    <x:xf numFmtId="0" fontId="0" fillId="0" borderId="233" xfId="0" applyNumberFormat="1" applyFont="1" applyFill="1" applyBorder="1" applyAlignment="1">
      <x:alignment vertical="top" wrapText="1"/>
    </x:xf>
    <x:xf numFmtId="0" fontId="0" fillId="0" borderId="234" xfId="0" applyNumberFormat="1" applyFont="1" applyFill="1" applyBorder="1" applyAlignment="1">
      <x:alignment vertical="top" wrapText="1"/>
    </x:xf>
    <x:xf numFmtId="0" fontId="0" fillId="0" borderId="235" xfId="0" applyNumberFormat="1" applyFont="1" applyFill="1" applyBorder="1" applyAlignment="1">
      <x:alignment vertical="top" wrapText="1"/>
    </x:xf>
    <x:xf numFmtId="0" fontId="3" fillId="62" borderId="0" xfId="0" applyNumberFormat="1" applyFont="1" applyFill="1" applyBorder="1"/>
    <x:xf numFmtId="0" fontId="3" fillId="62" borderId="223" xfId="0" applyNumberFormat="1" applyFont="1" applyFill="1" applyBorder="1"/>
    <x:xf numFmtId="0" fontId="3" fillId="62" borderId="224" xfId="0" applyNumberFormat="1" applyFont="1" applyFill="1" applyBorder="1"/>
    <x:xf numFmtId="0" fontId="3" fillId="62" borderId="225" xfId="0" applyNumberFormat="1" applyFont="1" applyFill="1" applyBorder="1"/>
    <x:xf numFmtId="0" fontId="3" fillId="62" borderId="223" xfId="0" applyNumberFormat="1" applyFont="1" applyFill="1" applyBorder="1" applyAlignment="1">
      <x:alignment wrapText="1"/>
    </x:xf>
    <x:xf numFmtId="0" fontId="3" fillId="62" borderId="224" xfId="0" applyNumberFormat="1" applyFont="1" applyFill="1" applyBorder="1" applyAlignment="1">
      <x:alignment wrapText="1"/>
    </x:xf>
    <x:xf numFmtId="0" fontId="3" fillId="62" borderId="225" xfId="0" applyNumberFormat="1" applyFont="1" applyFill="1" applyBorder="1" applyAlignment="1">
      <x:alignment wrapText="1"/>
    </x:xf>
    <x:xf numFmtId="0" fontId="3" fillId="62" borderId="223" xfId="0" applyNumberFormat="1" applyFont="1" applyFill="1" applyBorder="1" applyAlignment="1">
      <x:alignment horizontal="center" wrapText="1"/>
    </x:xf>
    <x:xf numFmtId="0" fontId="3" fillId="62" borderId="224" xfId="0" applyNumberFormat="1" applyFont="1" applyFill="1" applyBorder="1" applyAlignment="1">
      <x:alignment horizontal="center" wrapText="1"/>
    </x:xf>
    <x:xf numFmtId="0" fontId="3" fillId="62" borderId="225" xfId="0" applyNumberFormat="1" applyFont="1" applyFill="1" applyBorder="1" applyAlignment="1">
      <x:alignment horizontal="center" wrapText="1"/>
    </x:xf>
    <x:xf numFmtId="0" fontId="14" fillId="0" borderId="226" xfId="0" applyNumberFormat="1" applyFont="1" applyFill="1" applyBorder="1"/>
    <x:xf numFmtId="0" fontId="14" fillId="0" borderId="227" xfId="0" applyNumberFormat="1" applyFont="1" applyFill="1" applyBorder="1"/>
    <x:xf numFmtId="0" fontId="14" fillId="0" borderId="228" xfId="0" applyNumberFormat="1" applyFont="1" applyFill="1" applyBorder="1"/>
    <x:xf numFmtId="0" fontId="14" fillId="0" borderId="229" xfId="0" applyNumberFormat="1" applyFont="1" applyFill="1" applyBorder="1"/>
    <x:xf numFmtId="0" fontId="14" fillId="0" borderId="230" xfId="0" applyNumberFormat="1" applyFont="1" applyFill="1" applyBorder="1"/>
    <x:xf numFmtId="0" fontId="14" fillId="0" borderId="226" xfId="0" applyNumberFormat="1" applyFont="1" applyFill="1" applyBorder="1" applyAlignment="1">
      <x:alignment wrapText="1"/>
    </x:xf>
    <x:xf numFmtId="0" fontId="14" fillId="0" borderId="227" xfId="0" applyNumberFormat="1" applyFont="1" applyFill="1" applyBorder="1" applyAlignment="1">
      <x:alignment wrapText="1"/>
    </x:xf>
    <x:xf numFmtId="0" fontId="14" fillId="0" borderId="228" xfId="0" applyNumberFormat="1" applyFont="1" applyFill="1" applyBorder="1" applyAlignment="1">
      <x:alignment wrapText="1"/>
    </x:xf>
    <x:xf numFmtId="0" fontId="14" fillId="0" borderId="229" xfId="0" applyNumberFormat="1" applyFont="1" applyFill="1" applyBorder="1" applyAlignment="1">
      <x:alignment wrapText="1"/>
    </x:xf>
    <x:xf numFmtId="0" fontId="14" fillId="0" borderId="230" xfId="0" applyNumberFormat="1" applyFont="1" applyFill="1" applyBorder="1" applyAlignment="1">
      <x:alignment wrapText="1"/>
    </x:xf>
    <x:xf numFmtId="0" fontId="14" fillId="0" borderId="233" xfId="0" applyNumberFormat="1" applyFont="1" applyFill="1" applyBorder="1" applyAlignment="1">
      <x:alignment vertical="top"/>
    </x:xf>
    <x:xf numFmtId="0" fontId="14" fillId="0" borderId="234" xfId="0" applyNumberFormat="1" applyFont="1" applyFill="1" applyBorder="1" applyAlignment="1">
      <x:alignment vertical="top"/>
    </x:xf>
    <x:xf numFmtId="0" fontId="14" fillId="0" borderId="235" xfId="0" applyNumberFormat="1" applyFont="1" applyFill="1" applyBorder="1" applyAlignment="1">
      <x:alignment vertical="top"/>
    </x:xf>
    <x:xf numFmtId="0" fontId="14" fillId="0" borderId="226" xfId="0" applyNumberFormat="1" applyFont="1" applyFill="1" applyBorder="1" applyAlignment="1">
      <x:alignment vertical="top"/>
    </x:xf>
    <x:xf numFmtId="0" fontId="14" fillId="0" borderId="228" xfId="0" applyNumberFormat="1" applyFont="1" applyFill="1" applyBorder="1" applyAlignment="1">
      <x:alignment vertical="top"/>
    </x:xf>
    <x:xf numFmtId="0" fontId="14" fillId="0" borderId="229" xfId="0" applyNumberFormat="1" applyFont="1" applyFill="1" applyBorder="1" applyAlignment="1">
      <x:alignment vertical="top"/>
    </x:xf>
    <x:xf numFmtId="0" fontId="14" fillId="0" borderId="230" xfId="0" applyNumberFormat="1" applyFont="1" applyFill="1" applyBorder="1" applyAlignment="1">
      <x:alignment vertical="top"/>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65" borderId="0" xfId="0" applyNumberFormat="1" applyFont="1" applyFill="1" applyBorder="1"/>
    <x:xf numFmtId="0" fontId="1" fillId="65" borderId="0" xfId="0" applyNumberFormat="1" applyFont="1" applyFill="1" applyBorder="1"/>
    <x:xf numFmtId="0" fontId="1" fillId="65" borderId="0" xfId="0" applyNumberFormat="1" applyFont="1" applyFill="1" applyBorder="1" applyAlignment="1">
      <x:alignment horizontal="left"/>
    </x:xf>
    <x:xf numFmtId="0" fontId="1" fillId="65" borderId="0" xfId="0" applyNumberFormat="1" applyFont="1" applyFill="1" applyBorder="1" applyAlignment="1">
      <x:alignment horizontal="left" vertical="center"/>
    </x:xf>
    <x:xf numFmtId="0" fontId="0" fillId="66" borderId="0" xfId="0" applyNumberFormat="1" applyFont="1" applyFill="1" applyBorder="1"/>
    <x:xf numFmtId="0" fontId="21" fillId="66" borderId="0" xfId="0" applyNumberFormat="1" applyFont="1" applyFill="1" applyBorder="1"/>
    <x:xf numFmtId="0" fontId="21" fillId="66" borderId="0" xfId="0" applyNumberFormat="1" applyFont="1" applyFill="1" applyBorder="1" applyAlignment="1">
      <x:alignment wrapText="1"/>
    </x:xf>
    <x:xf numFmtId="0" fontId="0" fillId="67" borderId="0" xfId="0" applyNumberFormat="1" applyFont="1" applyFill="1" applyBorder="1"/>
    <x:xf numFmtId="0" fontId="12" fillId="67" borderId="0" xfId="0" applyNumberFormat="1" applyFont="1" applyFill="1" applyBorder="1"/>
    <x:xf numFmtId="0" fontId="12" fillId="67" borderId="236" xfId="0" applyNumberFormat="1" applyFont="1" applyFill="1" applyBorder="1"/>
    <x:xf numFmtId="0" fontId="12" fillId="67" borderId="237" xfId="0" applyNumberFormat="1" applyFont="1" applyFill="1" applyBorder="1"/>
    <x:xf numFmtId="0" fontId="12" fillId="67" borderId="238" xfId="0" applyNumberFormat="1" applyFont="1" applyFill="1" applyBorder="1"/>
    <x:xf numFmtId="0" fontId="12" fillId="67" borderId="236" xfId="0" applyNumberFormat="1" applyFont="1" applyFill="1" applyBorder="1" applyAlignment="1">
      <x:alignment horizontal="center"/>
    </x:xf>
    <x:xf numFmtId="0" fontId="12" fillId="67" borderId="237" xfId="0" applyNumberFormat="1" applyFont="1" applyFill="1" applyBorder="1" applyAlignment="1">
      <x:alignment horizontal="center"/>
    </x:xf>
    <x:xf numFmtId="0" fontId="12" fillId="67" borderId="238" xfId="0" applyNumberFormat="1" applyFont="1" applyFill="1" applyBorder="1" applyAlignment="1">
      <x:alignment horizontal="center"/>
    </x:xf>
    <x:xf numFmtId="0" fontId="27" fillId="65" borderId="0" xfId="0" applyNumberFormat="1" applyFont="1" applyFill="1" applyBorder="1"/>
    <x:xf numFmtId="0" fontId="27" fillId="65" borderId="239" xfId="0" applyNumberFormat="1" applyFont="1" applyFill="1" applyBorder="1"/>
    <x:xf numFmtId="0" fontId="27" fillId="65" borderId="240" xfId="0" applyNumberFormat="1" applyFont="1" applyFill="1" applyBorder="1"/>
    <x:xf numFmtId="0" fontId="27" fillId="65" borderId="241" xfId="0" applyNumberFormat="1" applyFont="1" applyFill="1" applyBorder="1"/>
    <x:xf numFmtId="0" fontId="27" fillId="65" borderId="242" xfId="0" applyNumberFormat="1" applyFont="1" applyFill="1" applyBorder="1"/>
    <x:xf numFmtId="0" fontId="27" fillId="65" borderId="243" xfId="0" applyNumberFormat="1" applyFont="1" applyFill="1" applyBorder="1"/>
    <x:xf numFmtId="0" fontId="27" fillId="65" borderId="244" xfId="0" applyNumberFormat="1" applyFont="1" applyFill="1" applyBorder="1"/>
    <x:xf numFmtId="0" fontId="27" fillId="65" borderId="239" xfId="0" applyNumberFormat="1" applyFont="1" applyFill="1" applyBorder="1" applyAlignment="1">
      <x:alignment wrapText="1"/>
    </x:xf>
    <x:xf numFmtId="0" fontId="27" fillId="65" borderId="240" xfId="0" applyNumberFormat="1" applyFont="1" applyFill="1" applyBorder="1" applyAlignment="1">
      <x:alignment wrapText="1"/>
    </x:xf>
    <x:xf numFmtId="0" fontId="27" fillId="65" borderId="241" xfId="0" applyNumberFormat="1" applyFont="1" applyFill="1" applyBorder="1" applyAlignment="1">
      <x:alignment wrapText="1"/>
    </x:xf>
    <x:xf numFmtId="0" fontId="27" fillId="65" borderId="242" xfId="0" applyNumberFormat="1" applyFont="1" applyFill="1" applyBorder="1" applyAlignment="1">
      <x:alignment wrapText="1"/>
    </x:xf>
    <x:xf numFmtId="0" fontId="27" fillId="65" borderId="243" xfId="0" applyNumberFormat="1" applyFont="1" applyFill="1" applyBorder="1" applyAlignment="1">
      <x:alignment wrapText="1"/>
    </x:xf>
    <x:xf numFmtId="0" fontId="27" fillId="65" borderId="244" xfId="0" applyNumberFormat="1" applyFont="1" applyFill="1" applyBorder="1" applyAlignment="1">
      <x:alignment wrapText="1"/>
    </x:xf>
    <x:xf numFmtId="0" fontId="27" fillId="65" borderId="239" xfId="0" applyNumberFormat="1" applyFont="1" applyFill="1" applyBorder="1" applyAlignment="1">
      <x:alignment horizontal="left" wrapText="1"/>
    </x:xf>
    <x:xf numFmtId="0" fontId="27" fillId="65" borderId="240" xfId="0" applyNumberFormat="1" applyFont="1" applyFill="1" applyBorder="1" applyAlignment="1">
      <x:alignment horizontal="left" wrapText="1"/>
    </x:xf>
    <x:xf numFmtId="0" fontId="27" fillId="65" borderId="241" xfId="0" applyNumberFormat="1" applyFont="1" applyFill="1" applyBorder="1" applyAlignment="1">
      <x:alignment horizontal="left" wrapText="1"/>
    </x:xf>
    <x:xf numFmtId="0" fontId="27" fillId="65" borderId="242" xfId="0" applyNumberFormat="1" applyFont="1" applyFill="1" applyBorder="1" applyAlignment="1">
      <x:alignment horizontal="left" wrapText="1"/>
    </x:xf>
    <x:xf numFmtId="0" fontId="27" fillId="65" borderId="243" xfId="0" applyNumberFormat="1" applyFont="1" applyFill="1" applyBorder="1" applyAlignment="1">
      <x:alignment horizontal="left" wrapText="1"/>
    </x:xf>
    <x:xf numFmtId="0" fontId="27" fillId="65" borderId="244" xfId="0" applyNumberFormat="1" applyFont="1" applyFill="1" applyBorder="1" applyAlignment="1">
      <x:alignment horizontal="left" wrapText="1"/>
    </x:xf>
    <x:xf numFmtId="0" fontId="27" fillId="65" borderId="239" xfId="0" applyNumberFormat="1" applyFont="1" applyFill="1" applyBorder="1" applyAlignment="1">
      <x:alignment horizontal="left" vertical="center" wrapText="1"/>
    </x:xf>
    <x:xf numFmtId="0" fontId="27" fillId="65" borderId="240" xfId="0" applyNumberFormat="1" applyFont="1" applyFill="1" applyBorder="1" applyAlignment="1">
      <x:alignment horizontal="left" vertical="center" wrapText="1"/>
    </x:xf>
    <x:xf numFmtId="0" fontId="27" fillId="65" borderId="241" xfId="0" applyNumberFormat="1" applyFont="1" applyFill="1" applyBorder="1" applyAlignment="1">
      <x:alignment horizontal="left" vertical="center" wrapText="1"/>
    </x:xf>
    <x:xf numFmtId="0" fontId="27" fillId="65" borderId="242" xfId="0" applyNumberFormat="1" applyFont="1" applyFill="1" applyBorder="1" applyAlignment="1">
      <x:alignment horizontal="left" vertical="center" wrapText="1"/>
    </x:xf>
    <x:xf numFmtId="0" fontId="27" fillId="65" borderId="243" xfId="0" applyNumberFormat="1" applyFont="1" applyFill="1" applyBorder="1" applyAlignment="1">
      <x:alignment horizontal="left" vertical="center" wrapText="1"/>
    </x:xf>
    <x:xf numFmtId="0" fontId="27" fillId="65" borderId="244" xfId="0" applyNumberFormat="1" applyFont="1" applyFill="1" applyBorder="1" applyAlignment="1">
      <x:alignment horizontal="left" vertical="center" wrapText="1"/>
    </x:xf>
    <x:xf numFmtId="0" fontId="28" fillId="66" borderId="0" xfId="0" applyNumberFormat="1" applyFont="1" applyFill="1" applyBorder="1"/>
    <x:xf numFmtId="0" fontId="28" fillId="66" borderId="239" xfId="0" applyNumberFormat="1" applyFont="1" applyFill="1" applyBorder="1"/>
    <x:xf numFmtId="0" fontId="28" fillId="66" borderId="240" xfId="0" applyNumberFormat="1" applyFont="1" applyFill="1" applyBorder="1"/>
    <x:xf numFmtId="0" fontId="28" fillId="66" borderId="241" xfId="0" applyNumberFormat="1" applyFont="1" applyFill="1" applyBorder="1"/>
    <x:xf numFmtId="0" fontId="28" fillId="66" borderId="245" xfId="0" applyNumberFormat="1" applyFont="1" applyFill="1" applyBorder="1"/>
    <x:xf numFmtId="0" fontId="28" fillId="66" xfId="0" applyNumberFormat="1" applyFont="1" applyFill="1" applyBorder="0"/>
    <x:xf numFmtId="0" fontId="28" fillId="66" borderId="246" xfId="0" applyNumberFormat="1" applyFont="1" applyFill="1" applyBorder="1"/>
    <x:xf numFmtId="0" fontId="28" fillId="66" borderId="242" xfId="0" applyNumberFormat="1" applyFont="1" applyFill="1" applyBorder="1"/>
    <x:xf numFmtId="0" fontId="28" fillId="66" borderId="243" xfId="0" applyNumberFormat="1" applyFont="1" applyFill="1" applyBorder="1"/>
    <x:xf numFmtId="0" fontId="28" fillId="66" borderId="244" xfId="0" applyNumberFormat="1" applyFont="1" applyFill="1" applyBorder="1"/>
    <x:xf numFmtId="0" fontId="28" fillId="66" borderId="239" xfId="0" applyNumberFormat="1" applyFont="1" applyFill="1" applyBorder="1" applyAlignment="1">
      <x:alignment wrapText="1"/>
    </x:xf>
    <x:xf numFmtId="0" fontId="28" fillId="66" borderId="240" xfId="0" applyNumberFormat="1" applyFont="1" applyFill="1" applyBorder="1" applyAlignment="1">
      <x:alignment wrapText="1"/>
    </x:xf>
    <x:xf numFmtId="0" fontId="28" fillId="66" borderId="241" xfId="0" applyNumberFormat="1" applyFont="1" applyFill="1" applyBorder="1" applyAlignment="1">
      <x:alignment wrapText="1"/>
    </x:xf>
    <x:xf numFmtId="0" fontId="28" fillId="66" borderId="245" xfId="0" applyNumberFormat="1" applyFont="1" applyFill="1" applyBorder="1" applyAlignment="1">
      <x:alignment wrapText="1"/>
    </x:xf>
    <x:xf numFmtId="0" fontId="28" fillId="66" xfId="0" applyNumberFormat="1" applyFont="1" applyFill="1" applyBorder="0" applyAlignment="1">
      <x:alignment wrapText="1"/>
    </x:xf>
    <x:xf numFmtId="0" fontId="28" fillId="66" borderId="246" xfId="0" applyNumberFormat="1" applyFont="1" applyFill="1" applyBorder="1" applyAlignment="1">
      <x:alignment wrapText="1"/>
    </x:xf>
    <x:xf numFmtId="0" fontId="28" fillId="66" borderId="242" xfId="0" applyNumberFormat="1" applyFont="1" applyFill="1" applyBorder="1" applyAlignment="1">
      <x:alignment wrapText="1"/>
    </x:xf>
    <x:xf numFmtId="0" fontId="28" fillId="66" borderId="243" xfId="0" applyNumberFormat="1" applyFont="1" applyFill="1" applyBorder="1" applyAlignment="1">
      <x:alignment wrapText="1"/>
    </x:xf>
    <x:xf numFmtId="0" fontId="28" fillId="66" borderId="244" xfId="0" applyNumberFormat="1" applyFont="1" applyFill="1" applyBorder="1" applyAlignment="1">
      <x:alignment wrapText="1"/>
    </x:xf>
    <x:xf numFmtId="0" fontId="28" fillId="66" borderId="239" xfId="0" applyNumberFormat="1" applyFont="1" applyFill="1" applyBorder="1" applyAlignment="1">
      <x:alignment horizontal="left" wrapText="1"/>
    </x:xf>
    <x:xf numFmtId="0" fontId="28" fillId="66" borderId="240" xfId="0" applyNumberFormat="1" applyFont="1" applyFill="1" applyBorder="1" applyAlignment="1">
      <x:alignment horizontal="left" wrapText="1"/>
    </x:xf>
    <x:xf numFmtId="0" fontId="28" fillId="66" borderId="241" xfId="0" applyNumberFormat="1" applyFont="1" applyFill="1" applyBorder="1" applyAlignment="1">
      <x:alignment horizontal="left" wrapText="1"/>
    </x:xf>
    <x:xf numFmtId="0" fontId="28" fillId="66" borderId="245" xfId="0" applyNumberFormat="1" applyFont="1" applyFill="1" applyBorder="1" applyAlignment="1">
      <x:alignment horizontal="left" wrapText="1"/>
    </x:xf>
    <x:xf numFmtId="0" fontId="28" fillId="66" xfId="0" applyNumberFormat="1" applyFont="1" applyFill="1" applyBorder="0" applyAlignment="1">
      <x:alignment horizontal="left" wrapText="1"/>
    </x:xf>
    <x:xf numFmtId="0" fontId="28" fillId="66" borderId="246" xfId="0" applyNumberFormat="1" applyFont="1" applyFill="1" applyBorder="1" applyAlignment="1">
      <x:alignment horizontal="left" wrapText="1"/>
    </x:xf>
    <x:xf numFmtId="0" fontId="28" fillId="66" borderId="242" xfId="0" applyNumberFormat="1" applyFont="1" applyFill="1" applyBorder="1" applyAlignment="1">
      <x:alignment horizontal="left" wrapText="1"/>
    </x:xf>
    <x:xf numFmtId="0" fontId="28" fillId="66" borderId="243" xfId="0" applyNumberFormat="1" applyFont="1" applyFill="1" applyBorder="1" applyAlignment="1">
      <x:alignment horizontal="left" wrapText="1"/>
    </x:xf>
    <x:xf numFmtId="0" fontId="28" fillId="66" borderId="244" xfId="0" applyNumberFormat="1" applyFont="1" applyFill="1" applyBorder="1" applyAlignment="1">
      <x:alignment horizontal="left" wrapText="1"/>
    </x:xf>
    <x:xf numFmtId="0" fontId="28" fillId="66" borderId="239" xfId="0" applyNumberFormat="1" applyFont="1" applyFill="1" applyBorder="1" applyAlignment="1">
      <x:alignment horizontal="left" vertical="center" wrapText="1"/>
    </x:xf>
    <x:xf numFmtId="0" fontId="28" fillId="66" borderId="240" xfId="0" applyNumberFormat="1" applyFont="1" applyFill="1" applyBorder="1" applyAlignment="1">
      <x:alignment horizontal="left" vertical="center" wrapText="1"/>
    </x:xf>
    <x:xf numFmtId="0" fontId="28" fillId="66" borderId="241" xfId="0" applyNumberFormat="1" applyFont="1" applyFill="1" applyBorder="1" applyAlignment="1">
      <x:alignment horizontal="left" vertical="center" wrapText="1"/>
    </x:xf>
    <x:xf numFmtId="0" fontId="28" fillId="66" borderId="245" xfId="0" applyNumberFormat="1" applyFont="1" applyFill="1" applyBorder="1" applyAlignment="1">
      <x:alignment horizontal="left" vertical="center" wrapText="1"/>
    </x:xf>
    <x:xf numFmtId="0" fontId="28" fillId="66" xfId="0" applyNumberFormat="1" applyFont="1" applyFill="1" applyBorder="0" applyAlignment="1">
      <x:alignment horizontal="left" vertical="center" wrapText="1"/>
    </x:xf>
    <x:xf numFmtId="0" fontId="28" fillId="66" borderId="246" xfId="0" applyNumberFormat="1" applyFont="1" applyFill="1" applyBorder="1" applyAlignment="1">
      <x:alignment horizontal="left" vertical="center" wrapText="1"/>
    </x:xf>
    <x:xf numFmtId="0" fontId="28" fillId="66" borderId="242" xfId="0" applyNumberFormat="1" applyFont="1" applyFill="1" applyBorder="1" applyAlignment="1">
      <x:alignment horizontal="left" vertical="center" wrapText="1"/>
    </x:xf>
    <x:xf numFmtId="0" fontId="28" fillId="66" borderId="243" xfId="0" applyNumberFormat="1" applyFont="1" applyFill="1" applyBorder="1" applyAlignment="1">
      <x:alignment horizontal="left" vertical="center" wrapText="1"/>
    </x:xf>
    <x:xf numFmtId="0" fontId="28" fillId="66" borderId="244" xfId="0" applyNumberFormat="1" applyFont="1" applyFill="1" applyBorder="1" applyAlignment="1">
      <x:alignment horizontal="left" vertical="center" wrapText="1"/>
    </x:xf>
    <x:xf numFmtId="0" fontId="0" fillId="68" borderId="0" xfId="0" applyNumberFormat="1" applyFont="1" applyFill="1" applyBorder="1"/>
    <x:xf numFmtId="0" fontId="28" fillId="68" borderId="0" xfId="0" applyNumberFormat="1" applyFont="1" applyFill="1" applyBorder="1"/>
    <x:xf numFmtId="0" fontId="28" fillId="68" borderId="239" xfId="0" applyNumberFormat="1" applyFont="1" applyFill="1" applyBorder="1"/>
    <x:xf numFmtId="0" fontId="28" fillId="68" borderId="240" xfId="0" applyNumberFormat="1" applyFont="1" applyFill="1" applyBorder="1"/>
    <x:xf numFmtId="0" fontId="28" fillId="68" borderId="241" xfId="0" applyNumberFormat="1" applyFont="1" applyFill="1" applyBorder="1"/>
    <x:xf numFmtId="0" fontId="28" fillId="68" borderId="245" xfId="0" applyNumberFormat="1" applyFont="1" applyFill="1" applyBorder="1"/>
    <x:xf numFmtId="0" fontId="28" fillId="68" xfId="0" applyNumberFormat="1" applyFont="1" applyFill="1" applyBorder="0"/>
    <x:xf numFmtId="0" fontId="28" fillId="68" borderId="246" xfId="0" applyNumberFormat="1" applyFont="1" applyFill="1" applyBorder="1"/>
    <x:xf numFmtId="0" fontId="28" fillId="68" borderId="242" xfId="0" applyNumberFormat="1" applyFont="1" applyFill="1" applyBorder="1"/>
    <x:xf numFmtId="0" fontId="28" fillId="68" borderId="243" xfId="0" applyNumberFormat="1" applyFont="1" applyFill="1" applyBorder="1"/>
    <x:xf numFmtId="0" fontId="28" fillId="68" borderId="244" xfId="0" applyNumberFormat="1" applyFont="1" applyFill="1" applyBorder="1"/>
    <x:xf numFmtId="0" fontId="28" fillId="68" borderId="239" xfId="0" applyNumberFormat="1" applyFont="1" applyFill="1" applyBorder="1" applyAlignment="1">
      <x:alignment wrapText="1"/>
    </x:xf>
    <x:xf numFmtId="0" fontId="28" fillId="68" borderId="240" xfId="0" applyNumberFormat="1" applyFont="1" applyFill="1" applyBorder="1" applyAlignment="1">
      <x:alignment wrapText="1"/>
    </x:xf>
    <x:xf numFmtId="0" fontId="28" fillId="68" borderId="241" xfId="0" applyNumberFormat="1" applyFont="1" applyFill="1" applyBorder="1" applyAlignment="1">
      <x:alignment wrapText="1"/>
    </x:xf>
    <x:xf numFmtId="0" fontId="28" fillId="68" borderId="245" xfId="0" applyNumberFormat="1" applyFont="1" applyFill="1" applyBorder="1" applyAlignment="1">
      <x:alignment wrapText="1"/>
    </x:xf>
    <x:xf numFmtId="0" fontId="28" fillId="68" xfId="0" applyNumberFormat="1" applyFont="1" applyFill="1" applyBorder="0" applyAlignment="1">
      <x:alignment wrapText="1"/>
    </x:xf>
    <x:xf numFmtId="0" fontId="28" fillId="68" borderId="246" xfId="0" applyNumberFormat="1" applyFont="1" applyFill="1" applyBorder="1" applyAlignment="1">
      <x:alignment wrapText="1"/>
    </x:xf>
    <x:xf numFmtId="0" fontId="28" fillId="68" borderId="242" xfId="0" applyNumberFormat="1" applyFont="1" applyFill="1" applyBorder="1" applyAlignment="1">
      <x:alignment wrapText="1"/>
    </x:xf>
    <x:xf numFmtId="0" fontId="28" fillId="68" borderId="243" xfId="0" applyNumberFormat="1" applyFont="1" applyFill="1" applyBorder="1" applyAlignment="1">
      <x:alignment wrapText="1"/>
    </x:xf>
    <x:xf numFmtId="0" fontId="28" fillId="68" borderId="244" xfId="0" applyNumberFormat="1" applyFont="1" applyFill="1" applyBorder="1" applyAlignment="1">
      <x:alignment wrapText="1"/>
    </x:xf>
    <x:xf numFmtId="0" fontId="28" fillId="68" borderId="239" xfId="0" applyNumberFormat="1" applyFont="1" applyFill="1" applyBorder="1" applyAlignment="1">
      <x:alignment horizontal="left" wrapText="1"/>
    </x:xf>
    <x:xf numFmtId="0" fontId="28" fillId="68" borderId="240" xfId="0" applyNumberFormat="1" applyFont="1" applyFill="1" applyBorder="1" applyAlignment="1">
      <x:alignment horizontal="left" wrapText="1"/>
    </x:xf>
    <x:xf numFmtId="0" fontId="28" fillId="68" borderId="241" xfId="0" applyNumberFormat="1" applyFont="1" applyFill="1" applyBorder="1" applyAlignment="1">
      <x:alignment horizontal="left" wrapText="1"/>
    </x:xf>
    <x:xf numFmtId="0" fontId="28" fillId="68" borderId="245" xfId="0" applyNumberFormat="1" applyFont="1" applyFill="1" applyBorder="1" applyAlignment="1">
      <x:alignment horizontal="left" wrapText="1"/>
    </x:xf>
    <x:xf numFmtId="0" fontId="28" fillId="68" xfId="0" applyNumberFormat="1" applyFont="1" applyFill="1" applyBorder="0" applyAlignment="1">
      <x:alignment horizontal="left" wrapText="1"/>
    </x:xf>
    <x:xf numFmtId="0" fontId="28" fillId="68" borderId="246" xfId="0" applyNumberFormat="1" applyFont="1" applyFill="1" applyBorder="1" applyAlignment="1">
      <x:alignment horizontal="left" wrapText="1"/>
    </x:xf>
    <x:xf numFmtId="0" fontId="28" fillId="68" borderId="242" xfId="0" applyNumberFormat="1" applyFont="1" applyFill="1" applyBorder="1" applyAlignment="1">
      <x:alignment horizontal="left" wrapText="1"/>
    </x:xf>
    <x:xf numFmtId="0" fontId="28" fillId="68" borderId="243" xfId="0" applyNumberFormat="1" applyFont="1" applyFill="1" applyBorder="1" applyAlignment="1">
      <x:alignment horizontal="left" wrapText="1"/>
    </x:xf>
    <x:xf numFmtId="0" fontId="28" fillId="68" borderId="244" xfId="0" applyNumberFormat="1" applyFont="1" applyFill="1" applyBorder="1" applyAlignment="1">
      <x:alignment horizontal="left" wrapText="1"/>
    </x:xf>
    <x:xf numFmtId="0" fontId="28" fillId="68" borderId="239" xfId="0" applyNumberFormat="1" applyFont="1" applyFill="1" applyBorder="1" applyAlignment="1">
      <x:alignment horizontal="left" vertical="center" wrapText="1"/>
    </x:xf>
    <x:xf numFmtId="0" fontId="28" fillId="68" borderId="240" xfId="0" applyNumberFormat="1" applyFont="1" applyFill="1" applyBorder="1" applyAlignment="1">
      <x:alignment horizontal="left" vertical="center" wrapText="1"/>
    </x:xf>
    <x:xf numFmtId="0" fontId="28" fillId="68" borderId="241" xfId="0" applyNumberFormat="1" applyFont="1" applyFill="1" applyBorder="1" applyAlignment="1">
      <x:alignment horizontal="left" vertical="center" wrapText="1"/>
    </x:xf>
    <x:xf numFmtId="0" fontId="28" fillId="68" borderId="245" xfId="0" applyNumberFormat="1" applyFont="1" applyFill="1" applyBorder="1" applyAlignment="1">
      <x:alignment horizontal="left" vertical="center" wrapText="1"/>
    </x:xf>
    <x:xf numFmtId="0" fontId="28" fillId="68" xfId="0" applyNumberFormat="1" applyFont="1" applyFill="1" applyBorder="0" applyAlignment="1">
      <x:alignment horizontal="left" vertical="center" wrapText="1"/>
    </x:xf>
    <x:xf numFmtId="0" fontId="28" fillId="68" borderId="246" xfId="0" applyNumberFormat="1" applyFont="1" applyFill="1" applyBorder="1" applyAlignment="1">
      <x:alignment horizontal="left" vertical="center" wrapText="1"/>
    </x:xf>
    <x:xf numFmtId="0" fontId="28" fillId="68" borderId="242" xfId="0" applyNumberFormat="1" applyFont="1" applyFill="1" applyBorder="1" applyAlignment="1">
      <x:alignment horizontal="left" vertical="center" wrapText="1"/>
    </x:xf>
    <x:xf numFmtId="0" fontId="28" fillId="68" borderId="243" xfId="0" applyNumberFormat="1" applyFont="1" applyFill="1" applyBorder="1" applyAlignment="1">
      <x:alignment horizontal="left" vertical="center" wrapText="1"/>
    </x:xf>
    <x:xf numFmtId="0" fontId="28" fillId="68" borderId="244" xfId="0" applyNumberFormat="1" applyFont="1" applyFill="1" applyBorder="1" applyAlignment="1">
      <x:alignment horizontal="left" vertical="center" wrapText="1"/>
    </x:xf>
    <x:xf numFmtId="0" fontId="0" fillId="69" borderId="0" xfId="0" applyNumberFormat="1" applyFont="1" applyFill="1" applyBorder="1"/>
    <x:xf numFmtId="0" fontId="28" fillId="69" borderId="0" xfId="0" applyNumberFormat="1" applyFont="1" applyFill="1" applyBorder="1"/>
    <x:xf numFmtId="0" fontId="28" fillId="69" borderId="239" xfId="0" applyNumberFormat="1" applyFont="1" applyFill="1" applyBorder="1"/>
    <x:xf numFmtId="0" fontId="28" fillId="69" borderId="240" xfId="0" applyNumberFormat="1" applyFont="1" applyFill="1" applyBorder="1"/>
    <x:xf numFmtId="0" fontId="28" fillId="69" borderId="241" xfId="0" applyNumberFormat="1" applyFont="1" applyFill="1" applyBorder="1"/>
    <x:xf numFmtId="0" fontId="28" fillId="69" borderId="245" xfId="0" applyNumberFormat="1" applyFont="1" applyFill="1" applyBorder="1"/>
    <x:xf numFmtId="0" fontId="28" fillId="69" xfId="0" applyNumberFormat="1" applyFont="1" applyFill="1" applyBorder="0"/>
    <x:xf numFmtId="0" fontId="28" fillId="69" borderId="246" xfId="0" applyNumberFormat="1" applyFont="1" applyFill="1" applyBorder="1"/>
    <x:xf numFmtId="0" fontId="28" fillId="69" borderId="242" xfId="0" applyNumberFormat="1" applyFont="1" applyFill="1" applyBorder="1"/>
    <x:xf numFmtId="0" fontId="28" fillId="69" borderId="243" xfId="0" applyNumberFormat="1" applyFont="1" applyFill="1" applyBorder="1"/>
    <x:xf numFmtId="0" fontId="28" fillId="69" borderId="244" xfId="0" applyNumberFormat="1" applyFont="1" applyFill="1" applyBorder="1"/>
    <x:xf numFmtId="0" fontId="28" fillId="69" borderId="239" xfId="0" applyNumberFormat="1" applyFont="1" applyFill="1" applyBorder="1" applyAlignment="1">
      <x:alignment wrapText="1"/>
    </x:xf>
    <x:xf numFmtId="0" fontId="28" fillId="69" borderId="240" xfId="0" applyNumberFormat="1" applyFont="1" applyFill="1" applyBorder="1" applyAlignment="1">
      <x:alignment wrapText="1"/>
    </x:xf>
    <x:xf numFmtId="0" fontId="28" fillId="69" borderId="241" xfId="0" applyNumberFormat="1" applyFont="1" applyFill="1" applyBorder="1" applyAlignment="1">
      <x:alignment wrapText="1"/>
    </x:xf>
    <x:xf numFmtId="0" fontId="28" fillId="69" borderId="245" xfId="0" applyNumberFormat="1" applyFont="1" applyFill="1" applyBorder="1" applyAlignment="1">
      <x:alignment wrapText="1"/>
    </x:xf>
    <x:xf numFmtId="0" fontId="28" fillId="69" xfId="0" applyNumberFormat="1" applyFont="1" applyFill="1" applyBorder="0" applyAlignment="1">
      <x:alignment wrapText="1"/>
    </x:xf>
    <x:xf numFmtId="0" fontId="28" fillId="69" borderId="246" xfId="0" applyNumberFormat="1" applyFont="1" applyFill="1" applyBorder="1" applyAlignment="1">
      <x:alignment wrapText="1"/>
    </x:xf>
    <x:xf numFmtId="0" fontId="28" fillId="69" borderId="242" xfId="0" applyNumberFormat="1" applyFont="1" applyFill="1" applyBorder="1" applyAlignment="1">
      <x:alignment wrapText="1"/>
    </x:xf>
    <x:xf numFmtId="0" fontId="28" fillId="69" borderId="243" xfId="0" applyNumberFormat="1" applyFont="1" applyFill="1" applyBorder="1" applyAlignment="1">
      <x:alignment wrapText="1"/>
    </x:xf>
    <x:xf numFmtId="0" fontId="28" fillId="69" borderId="244" xfId="0" applyNumberFormat="1" applyFont="1" applyFill="1" applyBorder="1" applyAlignment="1">
      <x:alignment wrapText="1"/>
    </x:xf>
    <x:xf numFmtId="0" fontId="28" fillId="69" borderId="239" xfId="0" applyNumberFormat="1" applyFont="1" applyFill="1" applyBorder="1" applyAlignment="1">
      <x:alignment horizontal="left" wrapText="1"/>
    </x:xf>
    <x:xf numFmtId="0" fontId="28" fillId="69" borderId="240" xfId="0" applyNumberFormat="1" applyFont="1" applyFill="1" applyBorder="1" applyAlignment="1">
      <x:alignment horizontal="left" wrapText="1"/>
    </x:xf>
    <x:xf numFmtId="0" fontId="28" fillId="69" borderId="241" xfId="0" applyNumberFormat="1" applyFont="1" applyFill="1" applyBorder="1" applyAlignment="1">
      <x:alignment horizontal="left" wrapText="1"/>
    </x:xf>
    <x:xf numFmtId="0" fontId="28" fillId="69" borderId="245" xfId="0" applyNumberFormat="1" applyFont="1" applyFill="1" applyBorder="1" applyAlignment="1">
      <x:alignment horizontal="left" wrapText="1"/>
    </x:xf>
    <x:xf numFmtId="0" fontId="28" fillId="69" xfId="0" applyNumberFormat="1" applyFont="1" applyFill="1" applyBorder="0" applyAlignment="1">
      <x:alignment horizontal="left" wrapText="1"/>
    </x:xf>
    <x:xf numFmtId="0" fontId="28" fillId="69" borderId="246" xfId="0" applyNumberFormat="1" applyFont="1" applyFill="1" applyBorder="1" applyAlignment="1">
      <x:alignment horizontal="left" wrapText="1"/>
    </x:xf>
    <x:xf numFmtId="0" fontId="28" fillId="69" borderId="242" xfId="0" applyNumberFormat="1" applyFont="1" applyFill="1" applyBorder="1" applyAlignment="1">
      <x:alignment horizontal="left" wrapText="1"/>
    </x:xf>
    <x:xf numFmtId="0" fontId="28" fillId="69" borderId="243" xfId="0" applyNumberFormat="1" applyFont="1" applyFill="1" applyBorder="1" applyAlignment="1">
      <x:alignment horizontal="left" wrapText="1"/>
    </x:xf>
    <x:xf numFmtId="0" fontId="28" fillId="69" borderId="244" xfId="0" applyNumberFormat="1" applyFont="1" applyFill="1" applyBorder="1" applyAlignment="1">
      <x:alignment horizontal="left" wrapText="1"/>
    </x:xf>
    <x:xf numFmtId="0" fontId="28" fillId="69" borderId="239" xfId="0" applyNumberFormat="1" applyFont="1" applyFill="1" applyBorder="1" applyAlignment="1">
      <x:alignment horizontal="left" vertical="center" wrapText="1"/>
    </x:xf>
    <x:xf numFmtId="0" fontId="28" fillId="69" borderId="240" xfId="0" applyNumberFormat="1" applyFont="1" applyFill="1" applyBorder="1" applyAlignment="1">
      <x:alignment horizontal="left" vertical="center" wrapText="1"/>
    </x:xf>
    <x:xf numFmtId="0" fontId="28" fillId="69" borderId="241" xfId="0" applyNumberFormat="1" applyFont="1" applyFill="1" applyBorder="1" applyAlignment="1">
      <x:alignment horizontal="left" vertical="center" wrapText="1"/>
    </x:xf>
    <x:xf numFmtId="0" fontId="28" fillId="69" borderId="245" xfId="0" applyNumberFormat="1" applyFont="1" applyFill="1" applyBorder="1" applyAlignment="1">
      <x:alignment horizontal="left" vertical="center" wrapText="1"/>
    </x:xf>
    <x:xf numFmtId="0" fontId="28" fillId="69" xfId="0" applyNumberFormat="1" applyFont="1" applyFill="1" applyBorder="0" applyAlignment="1">
      <x:alignment horizontal="left" vertical="center" wrapText="1"/>
    </x:xf>
    <x:xf numFmtId="0" fontId="28" fillId="69" borderId="246" xfId="0" applyNumberFormat="1" applyFont="1" applyFill="1" applyBorder="1" applyAlignment="1">
      <x:alignment horizontal="left" vertical="center" wrapText="1"/>
    </x:xf>
    <x:xf numFmtId="0" fontId="28" fillId="69" borderId="242" xfId="0" applyNumberFormat="1" applyFont="1" applyFill="1" applyBorder="1" applyAlignment="1">
      <x:alignment horizontal="left" vertical="center" wrapText="1"/>
    </x:xf>
    <x:xf numFmtId="0" fontId="28" fillId="69" borderId="243" xfId="0" applyNumberFormat="1" applyFont="1" applyFill="1" applyBorder="1" applyAlignment="1">
      <x:alignment horizontal="left" vertical="center" wrapText="1"/>
    </x:xf>
    <x:xf numFmtId="0" fontId="28" fillId="69" borderId="244" xfId="0" applyNumberFormat="1" applyFont="1" applyFill="1" applyBorder="1" applyAlignment="1">
      <x:alignment horizontal="left" vertical="center" wrapText="1"/>
    </x:xf>
    <x:xf numFmtId="0" fontId="27" fillId="65" borderId="245" xfId="0" applyNumberFormat="1" applyFont="1" applyFill="1" applyBorder="1"/>
    <x:xf numFmtId="0" fontId="27" fillId="65" xfId="0" applyNumberFormat="1" applyFont="1" applyFill="1" applyBorder="0"/>
    <x:xf numFmtId="0" fontId="27" fillId="65" borderId="246" xfId="0" applyNumberFormat="1" applyFont="1" applyFill="1" applyBorder="1"/>
    <x:xf numFmtId="0" fontId="27" fillId="65" borderId="245" xfId="0" applyNumberFormat="1" applyFont="1" applyFill="1" applyBorder="1" applyAlignment="1">
      <x:alignment wrapText="1"/>
    </x:xf>
    <x:xf numFmtId="0" fontId="27" fillId="65" xfId="0" applyNumberFormat="1" applyFont="1" applyFill="1" applyBorder="0" applyAlignment="1">
      <x:alignment wrapText="1"/>
    </x:xf>
    <x:xf numFmtId="0" fontId="27" fillId="65" borderId="246" xfId="0" applyNumberFormat="1" applyFont="1" applyFill="1" applyBorder="1" applyAlignment="1">
      <x:alignment wrapText="1"/>
    </x:xf>
    <x:xf numFmtId="0" fontId="27" fillId="65" borderId="245" xfId="0" applyNumberFormat="1" applyFont="1" applyFill="1" applyBorder="1" applyAlignment="1">
      <x:alignment horizontal="left" wrapText="1"/>
    </x:xf>
    <x:xf numFmtId="0" fontId="27" fillId="65" xfId="0" applyNumberFormat="1" applyFont="1" applyFill="1" applyBorder="0" applyAlignment="1">
      <x:alignment horizontal="left" wrapText="1"/>
    </x:xf>
    <x:xf numFmtId="0" fontId="27" fillId="65" borderId="246" xfId="0" applyNumberFormat="1" applyFont="1" applyFill="1" applyBorder="1" applyAlignment="1">
      <x:alignment horizontal="left" wrapText="1"/>
    </x:xf>
    <x:xf numFmtId="0" fontId="27" fillId="65" borderId="245" xfId="0" applyNumberFormat="1" applyFont="1" applyFill="1" applyBorder="1" applyAlignment="1">
      <x:alignment horizontal="left" vertical="center" wrapText="1"/>
    </x:xf>
    <x:xf numFmtId="0" fontId="27" fillId="65" xfId="0" applyNumberFormat="1" applyFont="1" applyFill="1" applyBorder="0" applyAlignment="1">
      <x:alignment horizontal="left" vertical="center" wrapText="1"/>
    </x:xf>
    <x:xf numFmtId="0" fontId="27" fillId="65" borderId="246" xfId="0" applyNumberFormat="1" applyFont="1" applyFill="1" applyBorder="1" applyAlignment="1">
      <x:alignment horizontal="left" vertical="center" wrapText="1"/>
    </x:xf>
    <x:xf numFmtId="0" fontId="29" fillId="65" borderId="0" xfId="0" applyNumberFormat="1" applyFont="1" applyFill="1" applyBorder="1"/>
    <x:xf numFmtId="0" fontId="29" fillId="65" borderId="239" xfId="0" applyNumberFormat="1" applyFont="1" applyFill="1" applyBorder="1"/>
    <x:xf numFmtId="0" fontId="29" fillId="65" borderId="240" xfId="0" applyNumberFormat="1" applyFont="1" applyFill="1" applyBorder="1"/>
    <x:xf numFmtId="0" fontId="29" fillId="65" borderId="241" xfId="0" applyNumberFormat="1" applyFont="1" applyFill="1" applyBorder="1"/>
    <x:xf numFmtId="0" fontId="29" fillId="65" borderId="242" xfId="0" applyNumberFormat="1" applyFont="1" applyFill="1" applyBorder="1"/>
    <x:xf numFmtId="0" fontId="29" fillId="65" borderId="243" xfId="0" applyNumberFormat="1" applyFont="1" applyFill="1" applyBorder="1"/>
    <x:xf numFmtId="0" fontId="29" fillId="65" borderId="244" xfId="0" applyNumberFormat="1" applyFont="1" applyFill="1" applyBorder="1"/>
    <x:xf numFmtId="0" fontId="29" fillId="65" borderId="239" xfId="0" applyNumberFormat="1" applyFont="1" applyFill="1" applyBorder="1" applyAlignment="1">
      <x:alignment wrapText="1"/>
    </x:xf>
    <x:xf numFmtId="0" fontId="29" fillId="65" borderId="240" xfId="0" applyNumberFormat="1" applyFont="1" applyFill="1" applyBorder="1" applyAlignment="1">
      <x:alignment wrapText="1"/>
    </x:xf>
    <x:xf numFmtId="0" fontId="29" fillId="65" borderId="241" xfId="0" applyNumberFormat="1" applyFont="1" applyFill="1" applyBorder="1" applyAlignment="1">
      <x:alignment wrapText="1"/>
    </x:xf>
    <x:xf numFmtId="0" fontId="29" fillId="65" borderId="242" xfId="0" applyNumberFormat="1" applyFont="1" applyFill="1" applyBorder="1" applyAlignment="1">
      <x:alignment wrapText="1"/>
    </x:xf>
    <x:xf numFmtId="0" fontId="29" fillId="65" borderId="243" xfId="0" applyNumberFormat="1" applyFont="1" applyFill="1" applyBorder="1" applyAlignment="1">
      <x:alignment wrapText="1"/>
    </x:xf>
    <x:xf numFmtId="0" fontId="29" fillId="65" borderId="244" xfId="0" applyNumberFormat="1" applyFont="1" applyFill="1" applyBorder="1" applyAlignment="1">
      <x:alignment wrapText="1"/>
    </x:xf>
    <x:xf numFmtId="0" fontId="29" fillId="65" borderId="239" xfId="0" applyNumberFormat="1" applyFont="1" applyFill="1" applyBorder="1" applyAlignment="1">
      <x:alignment horizontal="left" wrapText="1"/>
    </x:xf>
    <x:xf numFmtId="0" fontId="29" fillId="65" borderId="240" xfId="0" applyNumberFormat="1" applyFont="1" applyFill="1" applyBorder="1" applyAlignment="1">
      <x:alignment horizontal="left" wrapText="1"/>
    </x:xf>
    <x:xf numFmtId="0" fontId="29" fillId="65" borderId="241" xfId="0" applyNumberFormat="1" applyFont="1" applyFill="1" applyBorder="1" applyAlignment="1">
      <x:alignment horizontal="left" wrapText="1"/>
    </x:xf>
    <x:xf numFmtId="0" fontId="29" fillId="65" borderId="242" xfId="0" applyNumberFormat="1" applyFont="1" applyFill="1" applyBorder="1" applyAlignment="1">
      <x:alignment horizontal="left" wrapText="1"/>
    </x:xf>
    <x:xf numFmtId="0" fontId="29" fillId="65" borderId="243" xfId="0" applyNumberFormat="1" applyFont="1" applyFill="1" applyBorder="1" applyAlignment="1">
      <x:alignment horizontal="left" wrapText="1"/>
    </x:xf>
    <x:xf numFmtId="0" fontId="29" fillId="65" borderId="244" xfId="0" applyNumberFormat="1" applyFont="1" applyFill="1" applyBorder="1" applyAlignment="1">
      <x:alignment horizontal="left" wrapText="1"/>
    </x:xf>
    <x:xf numFmtId="0" fontId="29" fillId="65" borderId="239" xfId="0" applyNumberFormat="1" applyFont="1" applyFill="1" applyBorder="1" applyAlignment="1">
      <x:alignment horizontal="left" vertical="center" wrapText="1"/>
    </x:xf>
    <x:xf numFmtId="0" fontId="29" fillId="65" borderId="240" xfId="0" applyNumberFormat="1" applyFont="1" applyFill="1" applyBorder="1" applyAlignment="1">
      <x:alignment horizontal="left" vertical="center" wrapText="1"/>
    </x:xf>
    <x:xf numFmtId="0" fontId="29" fillId="65" borderId="241" xfId="0" applyNumberFormat="1" applyFont="1" applyFill="1" applyBorder="1" applyAlignment="1">
      <x:alignment horizontal="left" vertical="center" wrapText="1"/>
    </x:xf>
    <x:xf numFmtId="0" fontId="29" fillId="65" borderId="242" xfId="0" applyNumberFormat="1" applyFont="1" applyFill="1" applyBorder="1" applyAlignment="1">
      <x:alignment horizontal="left" vertical="center" wrapText="1"/>
    </x:xf>
    <x:xf numFmtId="0" fontId="29" fillId="65" borderId="243" xfId="0" applyNumberFormat="1" applyFont="1" applyFill="1" applyBorder="1" applyAlignment="1">
      <x:alignment horizontal="left" vertical="center" wrapText="1"/>
    </x:xf>
    <x:xf numFmtId="0" fontId="29" fillId="65" borderId="244" xfId="0" applyNumberFormat="1" applyFont="1" applyFill="1" applyBorder="1" applyAlignment="1">
      <x:alignment horizontal="left" vertical="center" wrapText="1"/>
    </x:xf>
    <x:xf numFmtId="0" fontId="14" fillId="66" borderId="0" xfId="0" applyNumberFormat="1" applyFont="1" applyFill="1" applyBorder="1"/>
    <x:xf numFmtId="0" fontId="14" fillId="66" borderId="239" xfId="0" applyNumberFormat="1" applyFont="1" applyFill="1" applyBorder="1"/>
    <x:xf numFmtId="0" fontId="14" fillId="66" borderId="240" xfId="0" applyNumberFormat="1" applyFont="1" applyFill="1" applyBorder="1"/>
    <x:xf numFmtId="0" fontId="14" fillId="66" borderId="241" xfId="0" applyNumberFormat="1" applyFont="1" applyFill="1" applyBorder="1"/>
    <x:xf numFmtId="0" fontId="14" fillId="66" borderId="245" xfId="0" applyNumberFormat="1" applyFont="1" applyFill="1" applyBorder="1"/>
    <x:xf numFmtId="0" fontId="14" fillId="66" xfId="0" applyNumberFormat="1" applyFont="1" applyFill="1" applyBorder="0"/>
    <x:xf numFmtId="0" fontId="14" fillId="66" borderId="246" xfId="0" applyNumberFormat="1" applyFont="1" applyFill="1" applyBorder="1"/>
    <x:xf numFmtId="0" fontId="14" fillId="66" borderId="242" xfId="0" applyNumberFormat="1" applyFont="1" applyFill="1" applyBorder="1"/>
    <x:xf numFmtId="0" fontId="14" fillId="66" borderId="243" xfId="0" applyNumberFormat="1" applyFont="1" applyFill="1" applyBorder="1"/>
    <x:xf numFmtId="0" fontId="14" fillId="66" borderId="244" xfId="0" applyNumberFormat="1" applyFont="1" applyFill="1" applyBorder="1"/>
    <x:xf numFmtId="0" fontId="14" fillId="66" borderId="239" xfId="0" applyNumberFormat="1" applyFont="1" applyFill="1" applyBorder="1" applyAlignment="1">
      <x:alignment wrapText="1"/>
    </x:xf>
    <x:xf numFmtId="0" fontId="14" fillId="66" borderId="240" xfId="0" applyNumberFormat="1" applyFont="1" applyFill="1" applyBorder="1" applyAlignment="1">
      <x:alignment wrapText="1"/>
    </x:xf>
    <x:xf numFmtId="0" fontId="14" fillId="66" borderId="241" xfId="0" applyNumberFormat="1" applyFont="1" applyFill="1" applyBorder="1" applyAlignment="1">
      <x:alignment wrapText="1"/>
    </x:xf>
    <x:xf numFmtId="0" fontId="14" fillId="66" borderId="245" xfId="0" applyNumberFormat="1" applyFont="1" applyFill="1" applyBorder="1" applyAlignment="1">
      <x:alignment wrapText="1"/>
    </x:xf>
    <x:xf numFmtId="0" fontId="14" fillId="66" xfId="0" applyNumberFormat="1" applyFont="1" applyFill="1" applyBorder="0" applyAlignment="1">
      <x:alignment wrapText="1"/>
    </x:xf>
    <x:xf numFmtId="0" fontId="14" fillId="66" borderId="246" xfId="0" applyNumberFormat="1" applyFont="1" applyFill="1" applyBorder="1" applyAlignment="1">
      <x:alignment wrapText="1"/>
    </x:xf>
    <x:xf numFmtId="0" fontId="14" fillId="66" borderId="242" xfId="0" applyNumberFormat="1" applyFont="1" applyFill="1" applyBorder="1" applyAlignment="1">
      <x:alignment wrapText="1"/>
    </x:xf>
    <x:xf numFmtId="0" fontId="14" fillId="66" borderId="243" xfId="0" applyNumberFormat="1" applyFont="1" applyFill="1" applyBorder="1" applyAlignment="1">
      <x:alignment wrapText="1"/>
    </x:xf>
    <x:xf numFmtId="0" fontId="14" fillId="66" borderId="244" xfId="0" applyNumberFormat="1" applyFont="1" applyFill="1" applyBorder="1" applyAlignment="1">
      <x:alignment wrapText="1"/>
    </x:xf>
    <x:xf numFmtId="0" fontId="14" fillId="66" borderId="239" xfId="0" applyNumberFormat="1" applyFont="1" applyFill="1" applyBorder="1" applyAlignment="1">
      <x:alignment horizontal="left" wrapText="1"/>
    </x:xf>
    <x:xf numFmtId="0" fontId="14" fillId="66" borderId="240" xfId="0" applyNumberFormat="1" applyFont="1" applyFill="1" applyBorder="1" applyAlignment="1">
      <x:alignment horizontal="left" wrapText="1"/>
    </x:xf>
    <x:xf numFmtId="0" fontId="14" fillId="66" borderId="241" xfId="0" applyNumberFormat="1" applyFont="1" applyFill="1" applyBorder="1" applyAlignment="1">
      <x:alignment horizontal="left" wrapText="1"/>
    </x:xf>
    <x:xf numFmtId="0" fontId="14" fillId="66" borderId="245" xfId="0" applyNumberFormat="1" applyFont="1" applyFill="1" applyBorder="1" applyAlignment="1">
      <x:alignment horizontal="left" wrapText="1"/>
    </x:xf>
    <x:xf numFmtId="0" fontId="14" fillId="66" xfId="0" applyNumberFormat="1" applyFont="1" applyFill="1" applyBorder="0" applyAlignment="1">
      <x:alignment horizontal="left" wrapText="1"/>
    </x:xf>
    <x:xf numFmtId="0" fontId="14" fillId="66" borderId="246" xfId="0" applyNumberFormat="1" applyFont="1" applyFill="1" applyBorder="1" applyAlignment="1">
      <x:alignment horizontal="left" wrapText="1"/>
    </x:xf>
    <x:xf numFmtId="0" fontId="14" fillId="66" borderId="242" xfId="0" applyNumberFormat="1" applyFont="1" applyFill="1" applyBorder="1" applyAlignment="1">
      <x:alignment horizontal="left" wrapText="1"/>
    </x:xf>
    <x:xf numFmtId="0" fontId="14" fillId="66" borderId="243" xfId="0" applyNumberFormat="1" applyFont="1" applyFill="1" applyBorder="1" applyAlignment="1">
      <x:alignment horizontal="left" wrapText="1"/>
    </x:xf>
    <x:xf numFmtId="0" fontId="14" fillId="66" borderId="244" xfId="0" applyNumberFormat="1" applyFont="1" applyFill="1" applyBorder="1" applyAlignment="1">
      <x:alignment horizontal="left" wrapText="1"/>
    </x:xf>
    <x:xf numFmtId="0" fontId="14" fillId="66" borderId="239" xfId="0" applyNumberFormat="1" applyFont="1" applyFill="1" applyBorder="1" applyAlignment="1">
      <x:alignment horizontal="left" vertical="center" wrapText="1"/>
    </x:xf>
    <x:xf numFmtId="0" fontId="14" fillId="66" borderId="240" xfId="0" applyNumberFormat="1" applyFont="1" applyFill="1" applyBorder="1" applyAlignment="1">
      <x:alignment horizontal="left" vertical="center" wrapText="1"/>
    </x:xf>
    <x:xf numFmtId="0" fontId="14" fillId="66" borderId="241" xfId="0" applyNumberFormat="1" applyFont="1" applyFill="1" applyBorder="1" applyAlignment="1">
      <x:alignment horizontal="left" vertical="center" wrapText="1"/>
    </x:xf>
    <x:xf numFmtId="0" fontId="14" fillId="66" borderId="245" xfId="0" applyNumberFormat="1" applyFont="1" applyFill="1" applyBorder="1" applyAlignment="1">
      <x:alignment horizontal="left" vertical="center" wrapText="1"/>
    </x:xf>
    <x:xf numFmtId="0" fontId="14" fillId="66" xfId="0" applyNumberFormat="1" applyFont="1" applyFill="1" applyBorder="0" applyAlignment="1">
      <x:alignment horizontal="left" vertical="center" wrapText="1"/>
    </x:xf>
    <x:xf numFmtId="0" fontId="14" fillId="66" borderId="246" xfId="0" applyNumberFormat="1" applyFont="1" applyFill="1" applyBorder="1" applyAlignment="1">
      <x:alignment horizontal="left" vertical="center" wrapText="1"/>
    </x:xf>
    <x:xf numFmtId="0" fontId="14" fillId="66" borderId="242" xfId="0" applyNumberFormat="1" applyFont="1" applyFill="1" applyBorder="1" applyAlignment="1">
      <x:alignment horizontal="left" vertical="center" wrapText="1"/>
    </x:xf>
    <x:xf numFmtId="0" fontId="14" fillId="66" borderId="243" xfId="0" applyNumberFormat="1" applyFont="1" applyFill="1" applyBorder="1" applyAlignment="1">
      <x:alignment horizontal="left" vertical="center" wrapText="1"/>
    </x:xf>
    <x:xf numFmtId="0" fontId="14" fillId="66" borderId="244" xfId="0" applyNumberFormat="1" applyFont="1" applyFill="1" applyBorder="1" applyAlignment="1">
      <x:alignment horizontal="left" vertical="center" wrapText="1"/>
    </x:xf>
    <x:xf numFmtId="0" fontId="14" fillId="68" borderId="0" xfId="0" applyNumberFormat="1" applyFont="1" applyFill="1" applyBorder="1"/>
    <x:xf numFmtId="0" fontId="14" fillId="68" borderId="239" xfId="0" applyNumberFormat="1" applyFont="1" applyFill="1" applyBorder="1"/>
    <x:xf numFmtId="0" fontId="14" fillId="68" borderId="240" xfId="0" applyNumberFormat="1" applyFont="1" applyFill="1" applyBorder="1"/>
    <x:xf numFmtId="0" fontId="14" fillId="68" borderId="241" xfId="0" applyNumberFormat="1" applyFont="1" applyFill="1" applyBorder="1"/>
    <x:xf numFmtId="0" fontId="14" fillId="68" borderId="245" xfId="0" applyNumberFormat="1" applyFont="1" applyFill="1" applyBorder="1"/>
    <x:xf numFmtId="0" fontId="14" fillId="68" xfId="0" applyNumberFormat="1" applyFont="1" applyFill="1" applyBorder="0"/>
    <x:xf numFmtId="0" fontId="14" fillId="68" borderId="246" xfId="0" applyNumberFormat="1" applyFont="1" applyFill="1" applyBorder="1"/>
    <x:xf numFmtId="0" fontId="14" fillId="68" borderId="242" xfId="0" applyNumberFormat="1" applyFont="1" applyFill="1" applyBorder="1"/>
    <x:xf numFmtId="0" fontId="14" fillId="68" borderId="243" xfId="0" applyNumberFormat="1" applyFont="1" applyFill="1" applyBorder="1"/>
    <x:xf numFmtId="0" fontId="14" fillId="68" borderId="244" xfId="0" applyNumberFormat="1" applyFont="1" applyFill="1" applyBorder="1"/>
    <x:xf numFmtId="0" fontId="14" fillId="68" borderId="239" xfId="0" applyNumberFormat="1" applyFont="1" applyFill="1" applyBorder="1" applyAlignment="1">
      <x:alignment wrapText="1"/>
    </x:xf>
    <x:xf numFmtId="0" fontId="14" fillId="68" borderId="240" xfId="0" applyNumberFormat="1" applyFont="1" applyFill="1" applyBorder="1" applyAlignment="1">
      <x:alignment wrapText="1"/>
    </x:xf>
    <x:xf numFmtId="0" fontId="14" fillId="68" borderId="241" xfId="0" applyNumberFormat="1" applyFont="1" applyFill="1" applyBorder="1" applyAlignment="1">
      <x:alignment wrapText="1"/>
    </x:xf>
    <x:xf numFmtId="0" fontId="14" fillId="68" borderId="245" xfId="0" applyNumberFormat="1" applyFont="1" applyFill="1" applyBorder="1" applyAlignment="1">
      <x:alignment wrapText="1"/>
    </x:xf>
    <x:xf numFmtId="0" fontId="14" fillId="68" xfId="0" applyNumberFormat="1" applyFont="1" applyFill="1" applyBorder="0" applyAlignment="1">
      <x:alignment wrapText="1"/>
    </x:xf>
    <x:xf numFmtId="0" fontId="14" fillId="68" borderId="246" xfId="0" applyNumberFormat="1" applyFont="1" applyFill="1" applyBorder="1" applyAlignment="1">
      <x:alignment wrapText="1"/>
    </x:xf>
    <x:xf numFmtId="0" fontId="14" fillId="68" borderId="242" xfId="0" applyNumberFormat="1" applyFont="1" applyFill="1" applyBorder="1" applyAlignment="1">
      <x:alignment wrapText="1"/>
    </x:xf>
    <x:xf numFmtId="0" fontId="14" fillId="68" borderId="243" xfId="0" applyNumberFormat="1" applyFont="1" applyFill="1" applyBorder="1" applyAlignment="1">
      <x:alignment wrapText="1"/>
    </x:xf>
    <x:xf numFmtId="0" fontId="14" fillId="68" borderId="244" xfId="0" applyNumberFormat="1" applyFont="1" applyFill="1" applyBorder="1" applyAlignment="1">
      <x:alignment wrapText="1"/>
    </x:xf>
    <x:xf numFmtId="0" fontId="14" fillId="68" borderId="239" xfId="0" applyNumberFormat="1" applyFont="1" applyFill="1" applyBorder="1" applyAlignment="1">
      <x:alignment horizontal="left" wrapText="1"/>
    </x:xf>
    <x:xf numFmtId="0" fontId="14" fillId="68" borderId="240" xfId="0" applyNumberFormat="1" applyFont="1" applyFill="1" applyBorder="1" applyAlignment="1">
      <x:alignment horizontal="left" wrapText="1"/>
    </x:xf>
    <x:xf numFmtId="0" fontId="14" fillId="68" borderId="241" xfId="0" applyNumberFormat="1" applyFont="1" applyFill="1" applyBorder="1" applyAlignment="1">
      <x:alignment horizontal="left" wrapText="1"/>
    </x:xf>
    <x:xf numFmtId="0" fontId="14" fillId="68" borderId="245" xfId="0" applyNumberFormat="1" applyFont="1" applyFill="1" applyBorder="1" applyAlignment="1">
      <x:alignment horizontal="left" wrapText="1"/>
    </x:xf>
    <x:xf numFmtId="0" fontId="14" fillId="68" xfId="0" applyNumberFormat="1" applyFont="1" applyFill="1" applyBorder="0" applyAlignment="1">
      <x:alignment horizontal="left" wrapText="1"/>
    </x:xf>
    <x:xf numFmtId="0" fontId="14" fillId="68" borderId="246" xfId="0" applyNumberFormat="1" applyFont="1" applyFill="1" applyBorder="1" applyAlignment="1">
      <x:alignment horizontal="left" wrapText="1"/>
    </x:xf>
    <x:xf numFmtId="0" fontId="14" fillId="68" borderId="242" xfId="0" applyNumberFormat="1" applyFont="1" applyFill="1" applyBorder="1" applyAlignment="1">
      <x:alignment horizontal="left" wrapText="1"/>
    </x:xf>
    <x:xf numFmtId="0" fontId="14" fillId="68" borderId="243" xfId="0" applyNumberFormat="1" applyFont="1" applyFill="1" applyBorder="1" applyAlignment="1">
      <x:alignment horizontal="left" wrapText="1"/>
    </x:xf>
    <x:xf numFmtId="0" fontId="14" fillId="68" borderId="244" xfId="0" applyNumberFormat="1" applyFont="1" applyFill="1" applyBorder="1" applyAlignment="1">
      <x:alignment horizontal="left" wrapText="1"/>
    </x:xf>
    <x:xf numFmtId="0" fontId="14" fillId="68" borderId="239" xfId="0" applyNumberFormat="1" applyFont="1" applyFill="1" applyBorder="1" applyAlignment="1">
      <x:alignment horizontal="left" vertical="center" wrapText="1"/>
    </x:xf>
    <x:xf numFmtId="0" fontId="14" fillId="68" borderId="240" xfId="0" applyNumberFormat="1" applyFont="1" applyFill="1" applyBorder="1" applyAlignment="1">
      <x:alignment horizontal="left" vertical="center" wrapText="1"/>
    </x:xf>
    <x:xf numFmtId="0" fontId="14" fillId="68" borderId="241" xfId="0" applyNumberFormat="1" applyFont="1" applyFill="1" applyBorder="1" applyAlignment="1">
      <x:alignment horizontal="left" vertical="center" wrapText="1"/>
    </x:xf>
    <x:xf numFmtId="0" fontId="14" fillId="68" borderId="245" xfId="0" applyNumberFormat="1" applyFont="1" applyFill="1" applyBorder="1" applyAlignment="1">
      <x:alignment horizontal="left" vertical="center" wrapText="1"/>
    </x:xf>
    <x:xf numFmtId="0" fontId="14" fillId="68" xfId="0" applyNumberFormat="1" applyFont="1" applyFill="1" applyBorder="0" applyAlignment="1">
      <x:alignment horizontal="left" vertical="center" wrapText="1"/>
    </x:xf>
    <x:xf numFmtId="0" fontId="14" fillId="68" borderId="246" xfId="0" applyNumberFormat="1" applyFont="1" applyFill="1" applyBorder="1" applyAlignment="1">
      <x:alignment horizontal="left" vertical="center" wrapText="1"/>
    </x:xf>
    <x:xf numFmtId="0" fontId="14" fillId="68" borderId="242" xfId="0" applyNumberFormat="1" applyFont="1" applyFill="1" applyBorder="1" applyAlignment="1">
      <x:alignment horizontal="left" vertical="center" wrapText="1"/>
    </x:xf>
    <x:xf numFmtId="0" fontId="14" fillId="68" borderId="243" xfId="0" applyNumberFormat="1" applyFont="1" applyFill="1" applyBorder="1" applyAlignment="1">
      <x:alignment horizontal="left" vertical="center" wrapText="1"/>
    </x:xf>
    <x:xf numFmtId="0" fontId="14" fillId="68" borderId="244" xfId="0" applyNumberFormat="1" applyFont="1" applyFill="1" applyBorder="1" applyAlignment="1">
      <x:alignment horizontal="left" vertical="center" wrapText="1"/>
    </x:xf>
    <x:xf numFmtId="0" fontId="14" fillId="69" borderId="0" xfId="0" applyNumberFormat="1" applyFont="1" applyFill="1" applyBorder="1"/>
    <x:xf numFmtId="0" fontId="14" fillId="69" borderId="239" xfId="0" applyNumberFormat="1" applyFont="1" applyFill="1" applyBorder="1"/>
    <x:xf numFmtId="0" fontId="14" fillId="69" borderId="240" xfId="0" applyNumberFormat="1" applyFont="1" applyFill="1" applyBorder="1"/>
    <x:xf numFmtId="0" fontId="14" fillId="69" borderId="241" xfId="0" applyNumberFormat="1" applyFont="1" applyFill="1" applyBorder="1"/>
    <x:xf numFmtId="0" fontId="14" fillId="69" borderId="245" xfId="0" applyNumberFormat="1" applyFont="1" applyFill="1" applyBorder="1"/>
    <x:xf numFmtId="0" fontId="14" fillId="69" xfId="0" applyNumberFormat="1" applyFont="1" applyFill="1" applyBorder="0"/>
    <x:xf numFmtId="0" fontId="14" fillId="69" borderId="246" xfId="0" applyNumberFormat="1" applyFont="1" applyFill="1" applyBorder="1"/>
    <x:xf numFmtId="0" fontId="14" fillId="69" borderId="242" xfId="0" applyNumberFormat="1" applyFont="1" applyFill="1" applyBorder="1"/>
    <x:xf numFmtId="0" fontId="14" fillId="69" borderId="243" xfId="0" applyNumberFormat="1" applyFont="1" applyFill="1" applyBorder="1"/>
    <x:xf numFmtId="0" fontId="14" fillId="69" borderId="244" xfId="0" applyNumberFormat="1" applyFont="1" applyFill="1" applyBorder="1"/>
    <x:xf numFmtId="0" fontId="14" fillId="69" borderId="239" xfId="0" applyNumberFormat="1" applyFont="1" applyFill="1" applyBorder="1" applyAlignment="1">
      <x:alignment wrapText="1"/>
    </x:xf>
    <x:xf numFmtId="0" fontId="14" fillId="69" borderId="240" xfId="0" applyNumberFormat="1" applyFont="1" applyFill="1" applyBorder="1" applyAlignment="1">
      <x:alignment wrapText="1"/>
    </x:xf>
    <x:xf numFmtId="0" fontId="14" fillId="69" borderId="241" xfId="0" applyNumberFormat="1" applyFont="1" applyFill="1" applyBorder="1" applyAlignment="1">
      <x:alignment wrapText="1"/>
    </x:xf>
    <x:xf numFmtId="0" fontId="14" fillId="69" borderId="245" xfId="0" applyNumberFormat="1" applyFont="1" applyFill="1" applyBorder="1" applyAlignment="1">
      <x:alignment wrapText="1"/>
    </x:xf>
    <x:xf numFmtId="0" fontId="14" fillId="69" xfId="0" applyNumberFormat="1" applyFont="1" applyFill="1" applyBorder="0" applyAlignment="1">
      <x:alignment wrapText="1"/>
    </x:xf>
    <x:xf numFmtId="0" fontId="14" fillId="69" borderId="246" xfId="0" applyNumberFormat="1" applyFont="1" applyFill="1" applyBorder="1" applyAlignment="1">
      <x:alignment wrapText="1"/>
    </x:xf>
    <x:xf numFmtId="0" fontId="14" fillId="69" borderId="242" xfId="0" applyNumberFormat="1" applyFont="1" applyFill="1" applyBorder="1" applyAlignment="1">
      <x:alignment wrapText="1"/>
    </x:xf>
    <x:xf numFmtId="0" fontId="14" fillId="69" borderId="243" xfId="0" applyNumberFormat="1" applyFont="1" applyFill="1" applyBorder="1" applyAlignment="1">
      <x:alignment wrapText="1"/>
    </x:xf>
    <x:xf numFmtId="0" fontId="14" fillId="69" borderId="244" xfId="0" applyNumberFormat="1" applyFont="1" applyFill="1" applyBorder="1" applyAlignment="1">
      <x:alignment wrapText="1"/>
    </x:xf>
    <x:xf numFmtId="0" fontId="14" fillId="69" borderId="239" xfId="0" applyNumberFormat="1" applyFont="1" applyFill="1" applyBorder="1" applyAlignment="1">
      <x:alignment horizontal="left" wrapText="1"/>
    </x:xf>
    <x:xf numFmtId="0" fontId="14" fillId="69" borderId="240" xfId="0" applyNumberFormat="1" applyFont="1" applyFill="1" applyBorder="1" applyAlignment="1">
      <x:alignment horizontal="left" wrapText="1"/>
    </x:xf>
    <x:xf numFmtId="0" fontId="14" fillId="69" borderId="241" xfId="0" applyNumberFormat="1" applyFont="1" applyFill="1" applyBorder="1" applyAlignment="1">
      <x:alignment horizontal="left" wrapText="1"/>
    </x:xf>
    <x:xf numFmtId="0" fontId="14" fillId="69" borderId="245" xfId="0" applyNumberFormat="1" applyFont="1" applyFill="1" applyBorder="1" applyAlignment="1">
      <x:alignment horizontal="left" wrapText="1"/>
    </x:xf>
    <x:xf numFmtId="0" fontId="14" fillId="69" xfId="0" applyNumberFormat="1" applyFont="1" applyFill="1" applyBorder="0" applyAlignment="1">
      <x:alignment horizontal="left" wrapText="1"/>
    </x:xf>
    <x:xf numFmtId="0" fontId="14" fillId="69" borderId="246" xfId="0" applyNumberFormat="1" applyFont="1" applyFill="1" applyBorder="1" applyAlignment="1">
      <x:alignment horizontal="left" wrapText="1"/>
    </x:xf>
    <x:xf numFmtId="0" fontId="14" fillId="69" borderId="242" xfId="0" applyNumberFormat="1" applyFont="1" applyFill="1" applyBorder="1" applyAlignment="1">
      <x:alignment horizontal="left" wrapText="1"/>
    </x:xf>
    <x:xf numFmtId="0" fontId="14" fillId="69" borderId="243" xfId="0" applyNumberFormat="1" applyFont="1" applyFill="1" applyBorder="1" applyAlignment="1">
      <x:alignment horizontal="left" wrapText="1"/>
    </x:xf>
    <x:xf numFmtId="0" fontId="14" fillId="69" borderId="244" xfId="0" applyNumberFormat="1" applyFont="1" applyFill="1" applyBorder="1" applyAlignment="1">
      <x:alignment horizontal="left" wrapText="1"/>
    </x:xf>
    <x:xf numFmtId="0" fontId="14" fillId="69" borderId="239" xfId="0" applyNumberFormat="1" applyFont="1" applyFill="1" applyBorder="1" applyAlignment="1">
      <x:alignment horizontal="left" vertical="center" wrapText="1"/>
    </x:xf>
    <x:xf numFmtId="0" fontId="14" fillId="69" borderId="240" xfId="0" applyNumberFormat="1" applyFont="1" applyFill="1" applyBorder="1" applyAlignment="1">
      <x:alignment horizontal="left" vertical="center" wrapText="1"/>
    </x:xf>
    <x:xf numFmtId="0" fontId="14" fillId="69" borderId="241" xfId="0" applyNumberFormat="1" applyFont="1" applyFill="1" applyBorder="1" applyAlignment="1">
      <x:alignment horizontal="left" vertical="center" wrapText="1"/>
    </x:xf>
    <x:xf numFmtId="0" fontId="14" fillId="69" borderId="245" xfId="0" applyNumberFormat="1" applyFont="1" applyFill="1" applyBorder="1" applyAlignment="1">
      <x:alignment horizontal="left" vertical="center" wrapText="1"/>
    </x:xf>
    <x:xf numFmtId="0" fontId="14" fillId="69" xfId="0" applyNumberFormat="1" applyFont="1" applyFill="1" applyBorder="0" applyAlignment="1">
      <x:alignment horizontal="left" vertical="center" wrapText="1"/>
    </x:xf>
    <x:xf numFmtId="0" fontId="14" fillId="69" borderId="246" xfId="0" applyNumberFormat="1" applyFont="1" applyFill="1" applyBorder="1" applyAlignment="1">
      <x:alignment horizontal="left" vertical="center" wrapText="1"/>
    </x:xf>
    <x:xf numFmtId="0" fontId="14" fillId="69" borderId="242" xfId="0" applyNumberFormat="1" applyFont="1" applyFill="1" applyBorder="1" applyAlignment="1">
      <x:alignment horizontal="left" vertical="center" wrapText="1"/>
    </x:xf>
    <x:xf numFmtId="0" fontId="14" fillId="69" borderId="243" xfId="0" applyNumberFormat="1" applyFont="1" applyFill="1" applyBorder="1" applyAlignment="1">
      <x:alignment horizontal="left" vertical="center" wrapText="1"/>
    </x:xf>
    <x:xf numFmtId="0" fontId="14" fillId="69" borderId="244" xfId="0" applyNumberFormat="1" applyFont="1" applyFill="1" applyBorder="1" applyAlignment="1">
      <x:alignment horizontal="left" vertical="center" wrapText="1"/>
    </x:xf>
    <x:xf numFmtId="0" fontId="29" fillId="65" borderId="245" xfId="0" applyNumberFormat="1" applyFont="1" applyFill="1" applyBorder="1"/>
    <x:xf numFmtId="0" fontId="29" fillId="65" xfId="0" applyNumberFormat="1" applyFont="1" applyFill="1" applyBorder="0"/>
    <x:xf numFmtId="0" fontId="29" fillId="65" borderId="246" xfId="0" applyNumberFormat="1" applyFont="1" applyFill="1" applyBorder="1"/>
    <x:xf numFmtId="0" fontId="29" fillId="65" borderId="245" xfId="0" applyNumberFormat="1" applyFont="1" applyFill="1" applyBorder="1" applyAlignment="1">
      <x:alignment wrapText="1"/>
    </x:xf>
    <x:xf numFmtId="0" fontId="29" fillId="65" xfId="0" applyNumberFormat="1" applyFont="1" applyFill="1" applyBorder="0" applyAlignment="1">
      <x:alignment wrapText="1"/>
    </x:xf>
    <x:xf numFmtId="0" fontId="29" fillId="65" borderId="246" xfId="0" applyNumberFormat="1" applyFont="1" applyFill="1" applyBorder="1" applyAlignment="1">
      <x:alignment wrapText="1"/>
    </x:xf>
    <x:xf numFmtId="0" fontId="29" fillId="65" borderId="245" xfId="0" applyNumberFormat="1" applyFont="1" applyFill="1" applyBorder="1" applyAlignment="1">
      <x:alignment horizontal="left" wrapText="1"/>
    </x:xf>
    <x:xf numFmtId="0" fontId="29" fillId="65" xfId="0" applyNumberFormat="1" applyFont="1" applyFill="1" applyBorder="0" applyAlignment="1">
      <x:alignment horizontal="left" wrapText="1"/>
    </x:xf>
    <x:xf numFmtId="0" fontId="29" fillId="65" borderId="246" xfId="0" applyNumberFormat="1" applyFont="1" applyFill="1" applyBorder="1" applyAlignment="1">
      <x:alignment horizontal="left" wrapText="1"/>
    </x:xf>
    <x:xf numFmtId="0" fontId="29" fillId="65" borderId="245" xfId="0" applyNumberFormat="1" applyFont="1" applyFill="1" applyBorder="1" applyAlignment="1">
      <x:alignment horizontal="left" vertical="center" wrapText="1"/>
    </x:xf>
    <x:xf numFmtId="0" fontId="29" fillId="65" xfId="0" applyNumberFormat="1" applyFont="1" applyFill="1" applyBorder="0" applyAlignment="1">
      <x:alignment horizontal="left" vertical="center" wrapText="1"/>
    </x:xf>
    <x:xf numFmtId="0" fontId="29" fillId="65" borderId="246" xfId="0" applyNumberFormat="1" applyFont="1" applyFill="1" applyBorder="1" applyAlignment="1">
      <x:alignment horizontal="left" vertical="center" wrapText="1"/>
    </x:xf>
    <x:xf numFmtId="0" fontId="3" fillId="67" borderId="0" xfId="0" applyNumberFormat="1" applyFont="1" applyFill="1" applyBorder="1"/>
    <x:xf numFmtId="0" fontId="3" fillId="67" borderId="236" xfId="0" applyNumberFormat="1" applyFont="1" applyFill="1" applyBorder="1"/>
    <x:xf numFmtId="0" fontId="3" fillId="67" borderId="237" xfId="0" applyNumberFormat="1" applyFont="1" applyFill="1" applyBorder="1"/>
    <x:xf numFmtId="0" fontId="3" fillId="67" borderId="238" xfId="0" applyNumberFormat="1" applyFont="1" applyFill="1" applyBorder="1"/>
    <x:xf numFmtId="0" fontId="3" fillId="67" borderId="236" xfId="0" applyNumberFormat="1" applyFont="1" applyFill="1" applyBorder="1" applyAlignment="1">
      <x:alignment wrapText="1"/>
    </x:xf>
    <x:xf numFmtId="0" fontId="3" fillId="67" borderId="237" xfId="0" applyNumberFormat="1" applyFont="1" applyFill="1" applyBorder="1" applyAlignment="1">
      <x:alignment wrapText="1"/>
    </x:xf>
    <x:xf numFmtId="0" fontId="3" fillId="67" borderId="238" xfId="0" applyNumberFormat="1" applyFont="1" applyFill="1" applyBorder="1" applyAlignment="1">
      <x:alignment wrapText="1"/>
    </x:xf>
    <x:xf numFmtId="0" fontId="3" fillId="67" borderId="236" xfId="0" applyNumberFormat="1" applyFont="1" applyFill="1" applyBorder="1" applyAlignment="1">
      <x:alignment horizontal="center" wrapText="1"/>
    </x:xf>
    <x:xf numFmtId="0" fontId="3" fillId="67" borderId="237" xfId="0" applyNumberFormat="1" applyFont="1" applyFill="1" applyBorder="1" applyAlignment="1">
      <x:alignment horizontal="center" wrapText="1"/>
    </x:xf>
    <x:xf numFmtId="0" fontId="3" fillId="67" borderId="238" xfId="0" applyNumberFormat="1" applyFont="1" applyFill="1" applyBorder="1" applyAlignment="1">
      <x:alignment horizontal="center" wrapText="1"/>
    </x:xf>
    <x:xf numFmtId="0" fontId="3" fillId="67" borderId="236" xfId="0" applyNumberFormat="1" applyFont="1" applyFill="1" applyBorder="1" applyAlignment="1">
      <x:alignment horizontal="center" vertical="center" wrapText="1"/>
    </x:xf>
    <x:xf numFmtId="0" fontId="3" fillId="67" borderId="237" xfId="0" applyNumberFormat="1" applyFont="1" applyFill="1" applyBorder="1" applyAlignment="1">
      <x:alignment horizontal="center" vertical="center" wrapText="1"/>
    </x:xf>
    <x:xf numFmtId="0" fontId="3" fillId="67" borderId="238" xfId="0" applyNumberFormat="1" applyFont="1" applyFill="1" applyBorder="1" applyAlignment="1">
      <x:alignment horizontal="center" vertical="center" wrapText="1"/>
    </x:xf>
    <x:xf numFmtId="0" fontId="14" fillId="0" borderId="239" xfId="0" applyNumberFormat="1" applyFont="1" applyFill="1" applyBorder="1"/>
    <x:xf numFmtId="0" fontId="14" fillId="0" borderId="240" xfId="0" applyNumberFormat="1" applyFont="1" applyFill="1" applyBorder="1"/>
    <x:xf numFmtId="0" fontId="14" fillId="0" borderId="241" xfId="0" applyNumberFormat="1" applyFont="1" applyFill="1" applyBorder="1"/>
    <x:xf numFmtId="0" fontId="14" fillId="0" borderId="245" xfId="0" applyNumberFormat="1" applyFont="1" applyFill="1" applyBorder="1"/>
    <x:xf numFmtId="0" fontId="14" fillId="0" borderId="246" xfId="0" applyNumberFormat="1" applyFont="1" applyFill="1" applyBorder="1"/>
    <x:xf numFmtId="0" fontId="14" fillId="0" borderId="242" xfId="0" applyNumberFormat="1" applyFont="1" applyFill="1" applyBorder="1"/>
    <x:xf numFmtId="0" fontId="14" fillId="0" borderId="243" xfId="0" applyNumberFormat="1" applyFont="1" applyFill="1" applyBorder="1"/>
    <x:xf numFmtId="0" fontId="14" fillId="0" borderId="244" xfId="0" applyNumberFormat="1" applyFont="1" applyFill="1" applyBorder="1"/>
    <x:xf numFmtId="0" fontId="14" fillId="0" borderId="239" xfId="0" applyNumberFormat="1" applyFont="1" applyFill="1" applyBorder="1" applyAlignment="1">
      <x:alignment wrapText="1"/>
    </x:xf>
    <x:xf numFmtId="0" fontId="14" fillId="0" borderId="240" xfId="0" applyNumberFormat="1" applyFont="1" applyFill="1" applyBorder="1" applyAlignment="1">
      <x:alignment wrapText="1"/>
    </x:xf>
    <x:xf numFmtId="0" fontId="14" fillId="0" borderId="241" xfId="0" applyNumberFormat="1" applyFont="1" applyFill="1" applyBorder="1" applyAlignment="1">
      <x:alignment wrapText="1"/>
    </x:xf>
    <x:xf numFmtId="0" fontId="14" fillId="0" borderId="245" xfId="0" applyNumberFormat="1" applyFont="1" applyFill="1" applyBorder="1" applyAlignment="1">
      <x:alignment wrapText="1"/>
    </x:xf>
    <x:xf numFmtId="0" fontId="14" fillId="0" borderId="246" xfId="0" applyNumberFormat="1" applyFont="1" applyFill="1" applyBorder="1" applyAlignment="1">
      <x:alignment wrapText="1"/>
    </x:xf>
    <x:xf numFmtId="0" fontId="14" fillId="0" borderId="242" xfId="0" applyNumberFormat="1" applyFont="1" applyFill="1" applyBorder="1" applyAlignment="1">
      <x:alignment wrapText="1"/>
    </x:xf>
    <x:xf numFmtId="0" fontId="14" fillId="0" borderId="243" xfId="0" applyNumberFormat="1" applyFont="1" applyFill="1" applyBorder="1" applyAlignment="1">
      <x:alignment wrapText="1"/>
    </x:xf>
    <x:xf numFmtId="0" fontId="14" fillId="0" borderId="244" xfId="0" applyNumberFormat="1" applyFont="1" applyFill="1" applyBorder="1" applyAlignment="1">
      <x:alignment wrapText="1"/>
    </x:xf>
    <x:xf numFmtId="0" fontId="14" fillId="0" borderId="239" xfId="0" applyNumberFormat="1" applyFont="1" applyFill="1" applyBorder="1" applyAlignment="1">
      <x:alignment vertical="top" wrapText="1"/>
    </x:xf>
    <x:xf numFmtId="0" fontId="14" fillId="0" borderId="240" xfId="0" applyNumberFormat="1" applyFont="1" applyFill="1" applyBorder="1" applyAlignment="1">
      <x:alignment vertical="top" wrapText="1"/>
    </x:xf>
    <x:xf numFmtId="0" fontId="14" fillId="0" borderId="241" xfId="0" applyNumberFormat="1" applyFont="1" applyFill="1" applyBorder="1" applyAlignment="1">
      <x:alignment vertical="top" wrapText="1"/>
    </x:xf>
    <x:xf numFmtId="0" fontId="14" fillId="0" borderId="245" xfId="0" applyNumberFormat="1" applyFont="1" applyFill="1" applyBorder="1" applyAlignment="1">
      <x:alignment vertical="top" wrapText="1"/>
    </x:xf>
    <x:xf numFmtId="0" fontId="14" fillId="0" borderId="246" xfId="0" applyNumberFormat="1" applyFont="1" applyFill="1" applyBorder="1" applyAlignment="1">
      <x:alignment vertical="top" wrapText="1"/>
    </x:xf>
    <x:xf numFmtId="0" fontId="14" fillId="0" borderId="242" xfId="0" applyNumberFormat="1" applyFont="1" applyFill="1" applyBorder="1" applyAlignment="1">
      <x:alignment vertical="top" wrapText="1"/>
    </x:xf>
    <x:xf numFmtId="0" fontId="14" fillId="0" borderId="243" xfId="0" applyNumberFormat="1" applyFont="1" applyFill="1" applyBorder="1" applyAlignment="1">
      <x:alignment vertical="top" wrapText="1"/>
    </x:xf>
    <x:xf numFmtId="0" fontId="14" fillId="0" borderId="244" xfId="0" applyNumberFormat="1" applyFont="1" applyFill="1" applyBorder="1" applyAlignment="1">
      <x:alignment vertical="top" wrapText="1"/>
    </x:xf>
    <x:xf numFmtId="0" fontId="14" fillId="0" borderId="247" xfId="0" applyNumberFormat="1" applyFont="1" applyFill="1" applyBorder="1" applyAlignment="1">
      <x:alignment vertical="top" wrapText="1"/>
    </x:xf>
    <x:xf numFmtId="0" fontId="14" fillId="0" borderId="248" xfId="0" applyNumberFormat="1" applyFont="1" applyFill="1" applyBorder="1" applyAlignment="1">
      <x:alignment vertical="top" wrapText="1"/>
    </x:xf>
    <x:xf numFmtId="0" fontId="14" fillId="0" borderId="242" xfId="0" applyNumberFormat="1" applyFont="1" applyFill="1" applyBorder="1" applyAlignment="1">
      <x:alignment vertical="top"/>
    </x:xf>
    <x:xf numFmtId="0" fontId="14" fillId="0" borderId="243" xfId="0" applyNumberFormat="1" applyFont="1" applyFill="1" applyBorder="1" applyAlignment="1">
      <x:alignment vertical="top"/>
    </x:xf>
    <x:xf numFmtId="0" fontId="14" fillId="0" borderId="244" xfId="0" applyNumberFormat="1" applyFont="1" applyFill="1" applyBorder="1" applyAlignment="1">
      <x:alignment vertical="top"/>
    </x:xf>
    <x:xf numFmtId="0" fontId="14" fillId="0" borderId="239" xfId="0" applyNumberFormat="1" applyFont="1" applyFill="1" applyBorder="1" applyAlignment="1">
      <x:alignment vertical="top"/>
    </x:xf>
    <x:xf numFmtId="0" fontId="14" fillId="0" borderId="241" xfId="0" applyNumberFormat="1" applyFont="1" applyFill="1" applyBorder="1" applyAlignment="1">
      <x:alignment vertical="top"/>
    </x:xf>
    <x:xf numFmtId="0" fontId="14" fillId="0" borderId="245" xfId="0" applyNumberFormat="1" applyFont="1" applyFill="1" applyBorder="1" applyAlignment="1">
      <x:alignment vertical="top"/>
    </x:xf>
    <x:xf numFmtId="0" fontId="14" fillId="0" borderId="246" xfId="0" applyNumberFormat="1" applyFont="1" applyFill="1" applyBorder="1" applyAlignment="1">
      <x:alignment vertical="top"/>
    </x:xf>
    <x:xf numFmtId="0" fontId="12" fillId="4" borderId="0" xfId="0" applyNumberFormat="1" applyFont="1" applyFill="1" applyBorder="1" applyAlignment="1">
      <x:alignment horizontal="center"/>
    </x:xf>
    <x:xf numFmtId="0" fontId="27" fillId="2" borderId="0" xfId="0" applyNumberFormat="1" applyFont="1" applyFill="1" applyBorder="1"/>
    <x:xf numFmtId="0" fontId="27" fillId="2" borderId="0" xfId="0" applyNumberFormat="1" applyFont="1" applyFill="1" applyBorder="1" applyAlignment="1">
      <x:alignment wrapText="1"/>
    </x:xf>
    <x:xf numFmtId="0" fontId="27" fillId="2" borderId="0" xfId="0" applyNumberFormat="1" applyFont="1" applyFill="1" applyBorder="1" applyAlignment="1">
      <x:alignment horizontal="left" wrapText="1"/>
    </x:xf>
    <x:xf numFmtId="0" fontId="27" fillId="2" borderId="0" xfId="0" applyNumberFormat="1" applyFont="1" applyFill="1" applyBorder="1" applyAlignment="1">
      <x:alignment horizontal="left" vertical="center" wrapText="1"/>
    </x:xf>
    <x:xf numFmtId="0" fontId="19" fillId="19" borderId="0" xfId="0" applyNumberFormat="1" applyFont="1" applyFill="1" applyBorder="1"/>
    <x:xf numFmtId="0" fontId="19" fillId="19" xfId="0" applyNumberFormat="1" applyFont="1" applyFill="1" applyBorder="0"/>
    <x:xf numFmtId="0" fontId="19" fillId="19" borderId="0" xfId="0" applyNumberFormat="1" applyFont="1" applyFill="1" applyBorder="1" applyAlignment="1">
      <x:alignment wrapText="1"/>
    </x:xf>
    <x:xf numFmtId="0" fontId="19" fillId="19" xfId="0" applyNumberFormat="1" applyFont="1" applyFill="1" applyBorder="0" applyAlignment="1">
      <x:alignment wrapText="1"/>
    </x:xf>
    <x:xf numFmtId="0" fontId="19" fillId="19" borderId="0" xfId="0" applyNumberFormat="1" applyFont="1" applyFill="1" applyBorder="1" applyAlignment="1">
      <x:alignment horizontal="left" wrapText="1"/>
    </x:xf>
    <x:xf numFmtId="0" fontId="19" fillId="19" xfId="0" applyNumberFormat="1" applyFont="1" applyFill="1" applyBorder="0" applyAlignment="1">
      <x:alignment horizontal="left" wrapText="1"/>
    </x:xf>
    <x:xf numFmtId="0" fontId="19" fillId="19" borderId="0" xfId="0" applyNumberFormat="1" applyFont="1" applyFill="1" applyBorder="1" applyAlignment="1">
      <x:alignment horizontal="left" vertical="center" wrapText="1"/>
    </x:xf>
    <x:xf numFmtId="0" fontId="19" fillId="19" xfId="0" applyNumberFormat="1" applyFont="1" applyFill="1" applyBorder="0" applyAlignment="1">
      <x:alignment horizontal="left" vertical="center" wrapText="1"/>
    </x:xf>
    <x:xf numFmtId="0" fontId="19" fillId="68" borderId="0" xfId="0" applyNumberFormat="1" applyFont="1" applyFill="1" applyBorder="1"/>
    <x:xf numFmtId="0" fontId="19" fillId="68" xfId="0" applyNumberFormat="1" applyFont="1" applyFill="1" applyBorder="0"/>
    <x:xf numFmtId="0" fontId="19" fillId="68" borderId="0" xfId="0" applyNumberFormat="1" applyFont="1" applyFill="1" applyBorder="1" applyAlignment="1">
      <x:alignment wrapText="1"/>
    </x:xf>
    <x:xf numFmtId="0" fontId="19" fillId="68" xfId="0" applyNumberFormat="1" applyFont="1" applyFill="1" applyBorder="0" applyAlignment="1">
      <x:alignment wrapText="1"/>
    </x:xf>
    <x:xf numFmtId="0" fontId="19" fillId="68" borderId="0" xfId="0" applyNumberFormat="1" applyFont="1" applyFill="1" applyBorder="1" applyAlignment="1">
      <x:alignment horizontal="left" wrapText="1"/>
    </x:xf>
    <x:xf numFmtId="0" fontId="19" fillId="68" xfId="0" applyNumberFormat="1" applyFont="1" applyFill="1" applyBorder="0" applyAlignment="1">
      <x:alignment horizontal="left" wrapText="1"/>
    </x:xf>
    <x:xf numFmtId="0" fontId="19" fillId="68" borderId="0" xfId="0" applyNumberFormat="1" applyFont="1" applyFill="1" applyBorder="1" applyAlignment="1">
      <x:alignment horizontal="left" vertical="center" wrapText="1"/>
    </x:xf>
    <x:xf numFmtId="0" fontId="19" fillId="68" xfId="0" applyNumberFormat="1" applyFont="1" applyFill="1" applyBorder="0" applyAlignment="1">
      <x:alignment horizontal="left" vertical="center" wrapText="1"/>
    </x:xf>
    <x:xf numFmtId="0" fontId="19" fillId="27" borderId="0" xfId="0" applyNumberFormat="1" applyFont="1" applyFill="1" applyBorder="1" applyAlignment="1">
      <x:alignment horizontal="left" vertical="center" wrapText="1"/>
    </x:xf>
    <x:xf numFmtId="0" fontId="19" fillId="27" xfId="0" applyNumberFormat="1" applyFont="1" applyFill="1" applyBorder="0" applyAlignment="1">
      <x:alignment horizontal="left" vertical="center" wrapText="1"/>
    </x:xf>
    <x:xf numFmtId="0" fontId="27" fillId="2" xfId="0" applyNumberFormat="1" applyFont="1" applyFill="1" applyBorder="0"/>
    <x:xf numFmtId="0" fontId="27" fillId="2" xfId="0" applyNumberFormat="1" applyFont="1" applyFill="1" applyBorder="0" applyAlignment="1">
      <x:alignment wrapText="1"/>
    </x:xf>
    <x:xf numFmtId="0" fontId="27" fillId="2" xfId="0" applyNumberFormat="1" applyFont="1" applyFill="1" applyBorder="0" applyAlignment="1">
      <x:alignment horizontal="left" wrapText="1"/>
    </x:xf>
    <x:xf numFmtId="0" fontId="27" fillId="2" xfId="0" applyNumberFormat="1" applyFont="1" applyFill="1" applyBorder="0" applyAlignment="1">
      <x:alignment horizontal="left" vertical="center" wrapText="1"/>
    </x:xf>
    <x:xf numFmtId="0" fontId="29" fillId="2" borderId="0" xfId="0" applyNumberFormat="1" applyFont="1" applyFill="1" applyBorder="1"/>
    <x:xf numFmtId="0" fontId="29" fillId="2" borderId="0" xfId="0" applyNumberFormat="1" applyFont="1" applyFill="1" applyBorder="1" applyAlignment="1">
      <x:alignment wrapText="1"/>
    </x:xf>
    <x:xf numFmtId="0" fontId="29" fillId="2" borderId="0" xfId="0" applyNumberFormat="1" applyFont="1" applyFill="1" applyBorder="1" applyAlignment="1">
      <x:alignment horizontal="left" wrapText="1"/>
    </x:xf>
    <x:xf numFmtId="0" fontId="29" fillId="2" borderId="0" xfId="0" applyNumberFormat="1" applyFont="1" applyFill="1" applyBorder="1" applyAlignment="1">
      <x:alignment horizontal="left" vertical="center" wrapText="1"/>
    </x:xf>
    <x:xf numFmtId="0" fontId="14" fillId="19" borderId="0" xfId="0" applyNumberFormat="1" applyFont="1" applyFill="1" applyBorder="1" applyAlignment="1">
      <x:alignment horizontal="left" vertical="center" wrapText="1"/>
    </x:xf>
    <x:xf numFmtId="0" fontId="14" fillId="19" xfId="0" applyNumberFormat="1" applyFont="1" applyFill="1" applyBorder="0" applyAlignment="1">
      <x:alignment horizontal="left" vertical="center" wrapText="1"/>
    </x:xf>
    <x:xf numFmtId="0" fontId="14" fillId="68" borderId="0" xfId="0" applyNumberFormat="1" applyFont="1" applyFill="1" applyBorder="1" applyAlignment="1">
      <x:alignment wrapText="1"/>
    </x:xf>
    <x:xf numFmtId="0" fontId="14" fillId="68" borderId="0" xfId="0" applyNumberFormat="1" applyFont="1" applyFill="1" applyBorder="1" applyAlignment="1">
      <x:alignment horizontal="left" wrapText="1"/>
    </x:xf>
    <x:xf numFmtId="0" fontId="14" fillId="68" borderId="0" xfId="0" applyNumberFormat="1" applyFont="1" applyFill="1" applyBorder="1" applyAlignment="1">
      <x:alignment horizontal="left" vertical="center" wrapText="1"/>
    </x:xf>
    <x:xf numFmtId="0" fontId="14" fillId="27" borderId="0" xfId="0" applyNumberFormat="1" applyFont="1" applyFill="1" applyBorder="1"/>
    <x:xf numFmtId="0" fontId="14" fillId="27" xfId="0" applyNumberFormat="1" applyFont="1" applyFill="1" applyBorder="0"/>
    <x:xf numFmtId="0" fontId="14" fillId="27" borderId="0" xfId="0" applyNumberFormat="1" applyFont="1" applyFill="1" applyBorder="1" applyAlignment="1">
      <x:alignment wrapText="1"/>
    </x:xf>
    <x:xf numFmtId="0" fontId="14" fillId="27" xfId="0" applyNumberFormat="1" applyFont="1" applyFill="1" applyBorder="0" applyAlignment="1">
      <x:alignment wrapText="1"/>
    </x:xf>
    <x:xf numFmtId="0" fontId="14" fillId="27" borderId="0" xfId="0" applyNumberFormat="1" applyFont="1" applyFill="1" applyBorder="1" applyAlignment="1">
      <x:alignment horizontal="left" wrapText="1"/>
    </x:xf>
    <x:xf numFmtId="0" fontId="14" fillId="27" xfId="0" applyNumberFormat="1" applyFont="1" applyFill="1" applyBorder="0" applyAlignment="1">
      <x:alignment horizontal="left" wrapText="1"/>
    </x:xf>
    <x:xf numFmtId="0" fontId="14" fillId="27" borderId="0" xfId="0" applyNumberFormat="1" applyFont="1" applyFill="1" applyBorder="1" applyAlignment="1">
      <x:alignment horizontal="left" vertical="center" wrapText="1"/>
    </x:xf>
    <x:xf numFmtId="0" fontId="14" fillId="27" xfId="0" applyNumberFormat="1" applyFont="1" applyFill="1" applyBorder="0" applyAlignment="1">
      <x:alignment horizontal="left" vertical="center" wrapText="1"/>
    </x:xf>
    <x:xf numFmtId="0" fontId="29" fillId="2" xfId="0" applyNumberFormat="1" applyFont="1" applyFill="1" applyBorder="0"/>
    <x:xf numFmtId="0" fontId="29" fillId="2" xfId="0" applyNumberFormat="1" applyFont="1" applyFill="1" applyBorder="0" applyAlignment="1">
      <x:alignment wrapText="1"/>
    </x:xf>
    <x:xf numFmtId="0" fontId="29" fillId="2" xfId="0" applyNumberFormat="1" applyFont="1" applyFill="1" applyBorder="0" applyAlignment="1">
      <x:alignment horizontal="left" wrapText="1"/>
    </x:xf>
    <x:xf numFmtId="0" fontId="29" fillId="2" xfId="0" applyNumberFormat="1" applyFont="1" applyFill="1" applyBorder="0" applyAlignment="1">
      <x:alignment horizontal="left" vertical="center" wrapText="1"/>
    </x:xf>
    <x:xf numFmtId="0" fontId="0" fillId="70" borderId="0" xfId="0" applyNumberFormat="1" applyFont="1" applyFill="1" applyBorder="1"/>
    <x:xf numFmtId="0" fontId="1" fillId="70" borderId="0" xfId="0" applyNumberFormat="1" applyFont="1" applyFill="1" applyBorder="1"/>
    <x:xf numFmtId="0" fontId="1" fillId="70" borderId="0" xfId="0" applyNumberFormat="1" applyFont="1" applyFill="1" applyBorder="1" applyAlignment="1">
      <x:alignment horizontal="left"/>
    </x:xf>
    <x:xf numFmtId="0" fontId="1" fillId="70" borderId="0" xfId="0" applyNumberFormat="1" applyFont="1" applyFill="1" applyBorder="1" applyAlignment="1">
      <x:alignment horizontal="left" vertical="center"/>
    </x:xf>
    <x:xf numFmtId="0" fontId="0" fillId="71" borderId="0" xfId="0" applyNumberFormat="1" applyFont="1" applyFill="1" applyBorder="1"/>
    <x:xf numFmtId="0" fontId="21" fillId="71" borderId="0" xfId="0" applyNumberFormat="1" applyFont="1" applyFill="1" applyBorder="1"/>
    <x:xf numFmtId="0" fontId="21" fillId="71" borderId="0" xfId="0" applyNumberFormat="1" applyFont="1" applyFill="1" applyBorder="1" applyAlignment="1">
      <x:alignment wrapText="1"/>
    </x:xf>
    <x:xf numFmtId="0" fontId="0" fillId="72" borderId="0" xfId="0" applyNumberFormat="1" applyFont="1" applyFill="1" applyBorder="1"/>
    <x:xf numFmtId="0" fontId="3" fillId="72" borderId="0" xfId="0" applyNumberFormat="1" applyFont="1" applyFill="1" applyBorder="1"/>
    <x:xf numFmtId="0" fontId="3" fillId="72" borderId="249" xfId="0" applyNumberFormat="1" applyFont="1" applyFill="1" applyBorder="1"/>
    <x:xf numFmtId="0" fontId="3" fillId="72" borderId="250" xfId="0" applyNumberFormat="1" applyFont="1" applyFill="1" applyBorder="1"/>
    <x:xf numFmtId="0" fontId="3" fillId="72" borderId="251" xfId="0" applyNumberFormat="1" applyFont="1" applyFill="1" applyBorder="1"/>
    <x:xf numFmtId="0" fontId="3" fillId="72" borderId="249" xfId="0" applyNumberFormat="1" applyFont="1" applyFill="1" applyBorder="1" applyAlignment="1">
      <x:alignment wrapText="1"/>
    </x:xf>
    <x:xf numFmtId="0" fontId="3" fillId="72" borderId="250" xfId="0" applyNumberFormat="1" applyFont="1" applyFill="1" applyBorder="1" applyAlignment="1">
      <x:alignment wrapText="1"/>
    </x:xf>
    <x:xf numFmtId="0" fontId="3" fillId="72" borderId="251" xfId="0" applyNumberFormat="1" applyFont="1" applyFill="1" applyBorder="1" applyAlignment="1">
      <x:alignment wrapText="1"/>
    </x:xf>
    <x:xf numFmtId="0" fontId="3" fillId="72" borderId="249" xfId="0" applyNumberFormat="1" applyFont="1" applyFill="1" applyBorder="1" applyAlignment="1">
      <x:alignment horizontal="center" wrapText="1"/>
    </x:xf>
    <x:xf numFmtId="0" fontId="3" fillId="72" borderId="250" xfId="0" applyNumberFormat="1" applyFont="1" applyFill="1" applyBorder="1" applyAlignment="1">
      <x:alignment horizontal="center" wrapText="1"/>
    </x:xf>
    <x:xf numFmtId="0" fontId="3" fillId="72" borderId="251" xfId="0" applyNumberFormat="1" applyFont="1" applyFill="1" applyBorder="1" applyAlignment="1">
      <x:alignment horizontal="center" wrapText="1"/>
    </x:xf>
    <x:xf numFmtId="0" fontId="3" fillId="72" borderId="249" xfId="0" applyNumberFormat="1" applyFont="1" applyFill="1" applyBorder="1" applyAlignment="1">
      <x:alignment horizontal="center" vertical="center" wrapText="1"/>
    </x:xf>
    <x:xf numFmtId="0" fontId="3" fillId="72" borderId="250" xfId="0" applyNumberFormat="1" applyFont="1" applyFill="1" applyBorder="1" applyAlignment="1">
      <x:alignment horizontal="center" vertical="center" wrapText="1"/>
    </x:xf>
    <x:xf numFmtId="0" fontId="3" fillId="72" borderId="251" xfId="0" applyNumberFormat="1" applyFont="1" applyFill="1" applyBorder="1" applyAlignment="1">
      <x:alignment horizontal="center" vertical="center" wrapText="1"/>
    </x:xf>
    <x:xf numFmtId="0" fontId="14" fillId="0" borderId="252" xfId="0" applyNumberFormat="1" applyFont="1" applyFill="1" applyBorder="1"/>
    <x:xf numFmtId="0" fontId="14" fillId="0" borderId="253" xfId="0" applyNumberFormat="1" applyFont="1" applyFill="1" applyBorder="1"/>
    <x:xf numFmtId="0" fontId="14" fillId="0" borderId="254" xfId="0" applyNumberFormat="1" applyFont="1" applyFill="1" applyBorder="1"/>
    <x:xf numFmtId="0" fontId="14" fillId="0" borderId="255" xfId="0" applyNumberFormat="1" applyFont="1" applyFill="1" applyBorder="1"/>
    <x:xf numFmtId="0" fontId="14" fillId="0" borderId="256" xfId="0" applyNumberFormat="1" applyFont="1" applyFill="1" applyBorder="1"/>
    <x:xf numFmtId="0" fontId="14" fillId="0" borderId="257" xfId="0" applyNumberFormat="1" applyFont="1" applyFill="1" applyBorder="1"/>
    <x:xf numFmtId="0" fontId="14" fillId="0" borderId="258" xfId="0" applyNumberFormat="1" applyFont="1" applyFill="1" applyBorder="1"/>
    <x:xf numFmtId="0" fontId="14" fillId="0" borderId="259" xfId="0" applyNumberFormat="1" applyFont="1" applyFill="1" applyBorder="1"/>
    <x:xf numFmtId="0" fontId="14" fillId="0" borderId="252" xfId="0" applyNumberFormat="1" applyFont="1" applyFill="1" applyBorder="1" applyAlignment="1">
      <x:alignment wrapText="1"/>
    </x:xf>
    <x:xf numFmtId="0" fontId="14" fillId="0" borderId="253" xfId="0" applyNumberFormat="1" applyFont="1" applyFill="1" applyBorder="1" applyAlignment="1">
      <x:alignment wrapText="1"/>
    </x:xf>
    <x:xf numFmtId="0" fontId="14" fillId="0" borderId="254" xfId="0" applyNumberFormat="1" applyFont="1" applyFill="1" applyBorder="1" applyAlignment="1">
      <x:alignment wrapText="1"/>
    </x:xf>
    <x:xf numFmtId="0" fontId="14" fillId="0" borderId="255" xfId="0" applyNumberFormat="1" applyFont="1" applyFill="1" applyBorder="1" applyAlignment="1">
      <x:alignment wrapText="1"/>
    </x:xf>
    <x:xf numFmtId="0" fontId="14" fillId="0" borderId="256" xfId="0" applyNumberFormat="1" applyFont="1" applyFill="1" applyBorder="1" applyAlignment="1">
      <x:alignment wrapText="1"/>
    </x:xf>
    <x:xf numFmtId="0" fontId="14" fillId="0" borderId="257" xfId="0" applyNumberFormat="1" applyFont="1" applyFill="1" applyBorder="1" applyAlignment="1">
      <x:alignment wrapText="1"/>
    </x:xf>
    <x:xf numFmtId="0" fontId="14" fillId="0" borderId="258" xfId="0" applyNumberFormat="1" applyFont="1" applyFill="1" applyBorder="1" applyAlignment="1">
      <x:alignment wrapText="1"/>
    </x:xf>
    <x:xf numFmtId="0" fontId="14" fillId="0" borderId="259" xfId="0" applyNumberFormat="1" applyFont="1" applyFill="1" applyBorder="1" applyAlignment="1">
      <x:alignment wrapText="1"/>
    </x:xf>
    <x:xf numFmtId="0" fontId="14" fillId="0" borderId="252" xfId="0" applyNumberFormat="1" applyFont="1" applyFill="1" applyBorder="1" applyAlignment="1">
      <x:alignment vertical="top" wrapText="1"/>
    </x:xf>
    <x:xf numFmtId="0" fontId="14" fillId="0" borderId="253" xfId="0" applyNumberFormat="1" applyFont="1" applyFill="1" applyBorder="1" applyAlignment="1">
      <x:alignment vertical="top" wrapText="1"/>
    </x:xf>
    <x:xf numFmtId="0" fontId="14" fillId="0" borderId="254" xfId="0" applyNumberFormat="1" applyFont="1" applyFill="1" applyBorder="1" applyAlignment="1">
      <x:alignment vertical="top" wrapText="1"/>
    </x:xf>
    <x:xf numFmtId="0" fontId="14" fillId="0" borderId="255" xfId="0" applyNumberFormat="1" applyFont="1" applyFill="1" applyBorder="1" applyAlignment="1">
      <x:alignment vertical="top" wrapText="1"/>
    </x:xf>
    <x:xf numFmtId="0" fontId="14" fillId="0" borderId="256" xfId="0" applyNumberFormat="1" applyFont="1" applyFill="1" applyBorder="1" applyAlignment="1">
      <x:alignment vertical="top" wrapText="1"/>
    </x:xf>
    <x:xf numFmtId="0" fontId="14" fillId="0" borderId="257" xfId="0" applyNumberFormat="1" applyFont="1" applyFill="1" applyBorder="1" applyAlignment="1">
      <x:alignment vertical="top" wrapText="1"/>
    </x:xf>
    <x:xf numFmtId="0" fontId="14" fillId="0" borderId="258" xfId="0" applyNumberFormat="1" applyFont="1" applyFill="1" applyBorder="1" applyAlignment="1">
      <x:alignment vertical="top" wrapText="1"/>
    </x:xf>
    <x:xf numFmtId="0" fontId="14" fillId="0" borderId="259" xfId="0" applyNumberFormat="1" applyFont="1" applyFill="1" applyBorder="1" applyAlignment="1">
      <x:alignment vertical="top" wrapText="1"/>
    </x:xf>
    <x:xf numFmtId="0" fontId="14" fillId="0" borderId="260" xfId="0" applyNumberFormat="1" applyFont="1" applyFill="1" applyBorder="1" applyAlignment="1">
      <x:alignment vertical="top" wrapText="1"/>
    </x:xf>
    <x:xf numFmtId="0" fontId="14" fillId="0" borderId="261" xfId="0" applyNumberFormat="1" applyFont="1" applyFill="1" applyBorder="1" applyAlignment="1">
      <x:alignment vertical="top" wrapText="1"/>
    </x:xf>
    <x:xf numFmtId="0" fontId="14" fillId="0" borderId="257" xfId="0" applyNumberFormat="1" applyFont="1" applyFill="1" applyBorder="1" applyAlignment="1">
      <x:alignment vertical="top"/>
    </x:xf>
    <x:xf numFmtId="0" fontId="14" fillId="0" borderId="258" xfId="0" applyNumberFormat="1" applyFont="1" applyFill="1" applyBorder="1" applyAlignment="1">
      <x:alignment vertical="top"/>
    </x:xf>
    <x:xf numFmtId="0" fontId="14" fillId="0" borderId="259" xfId="0" applyNumberFormat="1" applyFont="1" applyFill="1" applyBorder="1" applyAlignment="1">
      <x:alignment vertical="top"/>
    </x:xf>
    <x:xf numFmtId="0" fontId="14" fillId="0" borderId="252" xfId="0" applyNumberFormat="1" applyFont="1" applyFill="1" applyBorder="1" applyAlignment="1">
      <x:alignment vertical="top"/>
    </x:xf>
    <x:xf numFmtId="0" fontId="14" fillId="0" borderId="254" xfId="0" applyNumberFormat="1" applyFont="1" applyFill="1" applyBorder="1" applyAlignment="1">
      <x:alignment vertical="top"/>
    </x:xf>
    <x:xf numFmtId="0" fontId="14" fillId="0" borderId="255" xfId="0" applyNumberFormat="1" applyFont="1" applyFill="1" applyBorder="1" applyAlignment="1">
      <x:alignment vertical="top"/>
    </x:xf>
    <x:xf numFmtId="0" fontId="14" fillId="0" borderId="256" xfId="0" applyNumberFormat="1" applyFont="1" applyFill="1" applyBorder="1" applyAlignment="1">
      <x:alignment vertical="top"/>
    </x:xf>
    <x:xf numFmtId="0" fontId="0" fillId="73" borderId="0" xfId="0" applyNumberFormat="1" applyFont="1" applyFill="1" applyBorder="1"/>
    <x:xf numFmtId="0" fontId="1" fillId="73" borderId="0" xfId="0" applyNumberFormat="1" applyFont="1" applyFill="1" applyBorder="1"/>
    <x:xf numFmtId="0" fontId="1" fillId="73" borderId="0" xfId="0" applyNumberFormat="1" applyFont="1" applyFill="1" applyBorder="1" applyAlignment="1">
      <x:alignment horizontal="left"/>
    </x:xf>
    <x:xf numFmtId="0" fontId="1" fillId="73" borderId="0" xfId="0" applyNumberFormat="1" applyFont="1" applyFill="1" applyBorder="1" applyAlignment="1">
      <x:alignment horizontal="left" vertical="center"/>
    </x:xf>
    <x:xf numFmtId="0" fontId="0" fillId="74" borderId="0" xfId="0" applyNumberFormat="1" applyFont="1" applyFill="1" applyBorder="1"/>
    <x:xf numFmtId="0" fontId="21" fillId="74" borderId="0" xfId="0" applyNumberFormat="1" applyFont="1" applyFill="1" applyBorder="1"/>
    <x:xf numFmtId="0" fontId="21" fillId="74" borderId="0" xfId="0" applyNumberFormat="1" applyFont="1" applyFill="1" applyBorder="1" applyAlignment="1">
      <x:alignment wrapText="1"/>
    </x:xf>
    <x:xf numFmtId="0" fontId="0" fillId="75" borderId="0" xfId="0" applyNumberFormat="1" applyFont="1" applyFill="1" applyBorder="1"/>
    <x:xf numFmtId="0" fontId="3" fillId="75" borderId="0" xfId="0" applyNumberFormat="1" applyFont="1" applyFill="1" applyBorder="1"/>
    <x:xf numFmtId="0" fontId="3" fillId="75" borderId="262" xfId="0" applyNumberFormat="1" applyFont="1" applyFill="1" applyBorder="1"/>
    <x:xf numFmtId="0" fontId="3" fillId="75" borderId="263" xfId="0" applyNumberFormat="1" applyFont="1" applyFill="1" applyBorder="1"/>
    <x:xf numFmtId="0" fontId="3" fillId="75" borderId="264" xfId="0" applyNumberFormat="1" applyFont="1" applyFill="1" applyBorder="1"/>
    <x:xf numFmtId="0" fontId="3" fillId="75" borderId="262" xfId="0" applyNumberFormat="1" applyFont="1" applyFill="1" applyBorder="1" applyAlignment="1">
      <x:alignment wrapText="1"/>
    </x:xf>
    <x:xf numFmtId="0" fontId="3" fillId="75" borderId="263" xfId="0" applyNumberFormat="1" applyFont="1" applyFill="1" applyBorder="1" applyAlignment="1">
      <x:alignment wrapText="1"/>
    </x:xf>
    <x:xf numFmtId="0" fontId="3" fillId="75" borderId="264" xfId="0" applyNumberFormat="1" applyFont="1" applyFill="1" applyBorder="1" applyAlignment="1">
      <x:alignment wrapText="1"/>
    </x:xf>
    <x:xf numFmtId="0" fontId="3" fillId="75" borderId="262" xfId="0" applyNumberFormat="1" applyFont="1" applyFill="1" applyBorder="1" applyAlignment="1">
      <x:alignment horizontal="center" wrapText="1"/>
    </x:xf>
    <x:xf numFmtId="0" fontId="3" fillId="75" borderId="263" xfId="0" applyNumberFormat="1" applyFont="1" applyFill="1" applyBorder="1" applyAlignment="1">
      <x:alignment horizontal="center" wrapText="1"/>
    </x:xf>
    <x:xf numFmtId="0" fontId="3" fillId="75" borderId="264" xfId="0" applyNumberFormat="1" applyFont="1" applyFill="1" applyBorder="1" applyAlignment="1">
      <x:alignment horizontal="center" wrapText="1"/>
    </x:xf>
    <x:xf numFmtId="0" fontId="3" fillId="75" borderId="262" xfId="0" applyNumberFormat="1" applyFont="1" applyFill="1" applyBorder="1" applyAlignment="1">
      <x:alignment horizontal="center" vertical="center" wrapText="1"/>
    </x:xf>
    <x:xf numFmtId="0" fontId="3" fillId="75" borderId="263" xfId="0" applyNumberFormat="1" applyFont="1" applyFill="1" applyBorder="1" applyAlignment="1">
      <x:alignment horizontal="center" vertical="center" wrapText="1"/>
    </x:xf>
    <x:xf numFmtId="0" fontId="3" fillId="75" borderId="264" xfId="0" applyNumberFormat="1" applyFont="1" applyFill="1" applyBorder="1" applyAlignment="1">
      <x:alignment horizontal="center" vertical="center" wrapText="1"/>
    </x:xf>
    <x:xf numFmtId="0" fontId="14" fillId="0" borderId="265" xfId="0" applyNumberFormat="1" applyFont="1" applyFill="1" applyBorder="1"/>
    <x:xf numFmtId="0" fontId="14" fillId="0" borderId="266" xfId="0" applyNumberFormat="1" applyFont="1" applyFill="1" applyBorder="1"/>
    <x:xf numFmtId="0" fontId="14" fillId="0" borderId="267" xfId="0" applyNumberFormat="1" applyFont="1" applyFill="1" applyBorder="1"/>
    <x:xf numFmtId="0" fontId="14" fillId="0" borderId="268" xfId="0" applyNumberFormat="1" applyFont="1" applyFill="1" applyBorder="1"/>
    <x:xf numFmtId="0" fontId="14" fillId="0" borderId="269" xfId="0" applyNumberFormat="1" applyFont="1" applyFill="1" applyBorder="1"/>
    <x:xf numFmtId="0" fontId="14" fillId="0" borderId="270" xfId="0" applyNumberFormat="1" applyFont="1" applyFill="1" applyBorder="1"/>
    <x:xf numFmtId="0" fontId="14" fillId="0" borderId="271" xfId="0" applyNumberFormat="1" applyFont="1" applyFill="1" applyBorder="1"/>
    <x:xf numFmtId="0" fontId="14" fillId="0" borderId="272" xfId="0" applyNumberFormat="1" applyFont="1" applyFill="1" applyBorder="1"/>
    <x:xf numFmtId="0" fontId="14" fillId="0" borderId="265" xfId="0" applyNumberFormat="1" applyFont="1" applyFill="1" applyBorder="1" applyAlignment="1">
      <x:alignment wrapText="1"/>
    </x:xf>
    <x:xf numFmtId="0" fontId="14" fillId="0" borderId="266" xfId="0" applyNumberFormat="1" applyFont="1" applyFill="1" applyBorder="1" applyAlignment="1">
      <x:alignment wrapText="1"/>
    </x:xf>
    <x:xf numFmtId="0" fontId="14" fillId="0" borderId="267" xfId="0" applyNumberFormat="1" applyFont="1" applyFill="1" applyBorder="1" applyAlignment="1">
      <x:alignment wrapText="1"/>
    </x:xf>
    <x:xf numFmtId="0" fontId="14" fillId="0" borderId="268" xfId="0" applyNumberFormat="1" applyFont="1" applyFill="1" applyBorder="1" applyAlignment="1">
      <x:alignment wrapText="1"/>
    </x:xf>
    <x:xf numFmtId="0" fontId="14" fillId="0" borderId="269" xfId="0" applyNumberFormat="1" applyFont="1" applyFill="1" applyBorder="1" applyAlignment="1">
      <x:alignment wrapText="1"/>
    </x:xf>
    <x:xf numFmtId="0" fontId="14" fillId="0" borderId="270" xfId="0" applyNumberFormat="1" applyFont="1" applyFill="1" applyBorder="1" applyAlignment="1">
      <x:alignment wrapText="1"/>
    </x:xf>
    <x:xf numFmtId="0" fontId="14" fillId="0" borderId="271" xfId="0" applyNumberFormat="1" applyFont="1" applyFill="1" applyBorder="1" applyAlignment="1">
      <x:alignment wrapText="1"/>
    </x:xf>
    <x:xf numFmtId="0" fontId="14" fillId="0" borderId="272" xfId="0" applyNumberFormat="1" applyFont="1" applyFill="1" applyBorder="1" applyAlignment="1">
      <x:alignment wrapText="1"/>
    </x:xf>
    <x:xf numFmtId="0" fontId="14" fillId="0" borderId="265" xfId="0" applyNumberFormat="1" applyFont="1" applyFill="1" applyBorder="1" applyAlignment="1">
      <x:alignment vertical="top" wrapText="1"/>
    </x:xf>
    <x:xf numFmtId="0" fontId="14" fillId="0" borderId="266" xfId="0" applyNumberFormat="1" applyFont="1" applyFill="1" applyBorder="1" applyAlignment="1">
      <x:alignment vertical="top" wrapText="1"/>
    </x:xf>
    <x:xf numFmtId="0" fontId="14" fillId="0" borderId="267" xfId="0" applyNumberFormat="1" applyFont="1" applyFill="1" applyBorder="1" applyAlignment="1">
      <x:alignment vertical="top" wrapText="1"/>
    </x:xf>
    <x:xf numFmtId="0" fontId="14" fillId="0" borderId="268" xfId="0" applyNumberFormat="1" applyFont="1" applyFill="1" applyBorder="1" applyAlignment="1">
      <x:alignment vertical="top" wrapText="1"/>
    </x:xf>
    <x:xf numFmtId="0" fontId="14" fillId="0" borderId="269" xfId="0" applyNumberFormat="1" applyFont="1" applyFill="1" applyBorder="1" applyAlignment="1">
      <x:alignment vertical="top" wrapText="1"/>
    </x:xf>
    <x:xf numFmtId="0" fontId="14" fillId="0" borderId="270" xfId="0" applyNumberFormat="1" applyFont="1" applyFill="1" applyBorder="1" applyAlignment="1">
      <x:alignment vertical="top" wrapText="1"/>
    </x:xf>
    <x:xf numFmtId="0" fontId="14" fillId="0" borderId="271" xfId="0" applyNumberFormat="1" applyFont="1" applyFill="1" applyBorder="1" applyAlignment="1">
      <x:alignment vertical="top" wrapText="1"/>
    </x:xf>
    <x:xf numFmtId="0" fontId="14" fillId="0" borderId="272" xfId="0" applyNumberFormat="1" applyFont="1" applyFill="1" applyBorder="1" applyAlignment="1">
      <x:alignment vertical="top" wrapText="1"/>
    </x:xf>
    <x:xf numFmtId="203" fontId="14" fillId="0" borderId="266" xfId="0" applyNumberFormat="1" applyFont="1" applyFill="1" applyBorder="1" applyAlignment="1">
      <x:alignment vertical="top" wrapText="1"/>
    </x:xf>
    <x:xf numFmtId="203" fontId="14" fillId="0" borderId="267" xfId="0" applyNumberFormat="1" applyFont="1" applyFill="1" applyBorder="1" applyAlignment="1">
      <x:alignment vertical="top" wrapText="1"/>
    </x:xf>
    <x:xf numFmtId="0" fontId="14" fillId="0" borderId="268" xfId="0" applyNumberFormat="1" applyFont="1" applyFill="1" applyBorder="1" applyAlignment="1">
      <x:alignment vertical="top"/>
    </x:xf>
    <x:xf numFmtId="0" fontId="14" fillId="0" xfId="0" applyNumberFormat="1" applyFont="1" applyFill="1" applyBorder="0" applyAlignment="1">
      <x:alignment vertical="top"/>
    </x:xf>
    <x:xf numFmtId="0" fontId="14" fillId="0" borderId="269" xfId="0" applyNumberFormat="1" applyFont="1" applyFill="1" applyBorder="1" applyAlignment="1">
      <x:alignment vertical="top"/>
    </x:xf>
    <x:xf numFmtId="0" fontId="14" fillId="0" borderId="270" xfId="0" applyNumberFormat="1" applyFont="1" applyFill="1" applyBorder="1" applyAlignment="1">
      <x:alignment vertical="top"/>
    </x:xf>
    <x:xf numFmtId="0" fontId="14" fillId="0" borderId="271" xfId="0" applyNumberFormat="1" applyFont="1" applyFill="1" applyBorder="1" applyAlignment="1">
      <x:alignment vertical="top"/>
    </x:xf>
    <x:xf numFmtId="0" fontId="14" fillId="0" borderId="272" xfId="0" applyNumberFormat="1" applyFont="1" applyFill="1" applyBorder="1" applyAlignment="1">
      <x:alignment vertical="top"/>
    </x:xf>
    <x:xf numFmtId="0" fontId="14" fillId="0" borderId="265" xfId="0" applyNumberFormat="1" applyFont="1" applyFill="1" applyBorder="1" applyAlignment="1">
      <x:alignment vertical="top"/>
    </x:xf>
    <x:xf numFmtId="0" fontId="14" fillId="0" borderId="267" xfId="0" applyNumberFormat="1" applyFont="1" applyFill="1" applyBorder="1" applyAlignment="1">
      <x:alignment vertical="top"/>
    </x:xf>
    <x:xf numFmtId="0" fontId="0" fillId="76" borderId="0" xfId="0" applyNumberFormat="1" applyFont="1" applyFill="1" applyBorder="1"/>
    <x:xf numFmtId="0" fontId="1" fillId="76" borderId="0" xfId="0" applyNumberFormat="1" applyFont="1" applyFill="1" applyBorder="1"/>
    <x:xf numFmtId="0" fontId="0" fillId="77" borderId="0" xfId="0" applyNumberFormat="1" applyFont="1" applyFill="1" applyBorder="1"/>
    <x:xf numFmtId="0" fontId="21" fillId="77" borderId="0" xfId="0" applyNumberFormat="1" applyFont="1" applyFill="1" applyBorder="1"/>
    <x:xf numFmtId="0" fontId="21" fillId="77" borderId="0" xfId="0" applyNumberFormat="1" applyFont="1" applyFill="1" applyBorder="1" applyAlignment="1">
      <x:alignment wrapText="1"/>
    </x:xf>
    <x:xf numFmtId="0" fontId="0" fillId="78" borderId="0" xfId="0" applyNumberFormat="1" applyFont="1" applyFill="1" applyBorder="1"/>
    <x:xf numFmtId="0" fontId="3" fillId="78" borderId="0" xfId="0" applyNumberFormat="1" applyFont="1" applyFill="1" applyBorder="1"/>
    <x:xf numFmtId="0" fontId="3" fillId="78" borderId="273" xfId="0" applyNumberFormat="1" applyFont="1" applyFill="1" applyBorder="1"/>
    <x:xf numFmtId="0" fontId="3" fillId="78" borderId="274" xfId="0" applyNumberFormat="1" applyFont="1" applyFill="1" applyBorder="1"/>
    <x:xf numFmtId="0" fontId="3" fillId="78" borderId="275" xfId="0" applyNumberFormat="1" applyFont="1" applyFill="1" applyBorder="1"/>
    <x:xf numFmtId="0" fontId="3" fillId="78" borderId="273" xfId="0" applyNumberFormat="1" applyFont="1" applyFill="1" applyBorder="1" applyAlignment="1">
      <x:alignment wrapText="1"/>
    </x:xf>
    <x:xf numFmtId="0" fontId="3" fillId="78" borderId="274" xfId="0" applyNumberFormat="1" applyFont="1" applyFill="1" applyBorder="1" applyAlignment="1">
      <x:alignment wrapText="1"/>
    </x:xf>
    <x:xf numFmtId="0" fontId="3" fillId="78" borderId="275" xfId="0" applyNumberFormat="1" applyFont="1" applyFill="1" applyBorder="1" applyAlignment="1">
      <x:alignment wrapText="1"/>
    </x:xf>
    <x:xf numFmtId="0" fontId="3" fillId="78" borderId="273" xfId="0" applyNumberFormat="1" applyFont="1" applyFill="1" applyBorder="1" applyAlignment="1">
      <x:alignment horizontal="center" wrapText="1"/>
    </x:xf>
    <x:xf numFmtId="0" fontId="3" fillId="78" borderId="274" xfId="0" applyNumberFormat="1" applyFont="1" applyFill="1" applyBorder="1" applyAlignment="1">
      <x:alignment horizontal="center" wrapText="1"/>
    </x:xf>
    <x:xf numFmtId="0" fontId="3" fillId="78" borderId="275" xfId="0" applyNumberFormat="1" applyFont="1" applyFill="1" applyBorder="1" applyAlignment="1">
      <x:alignment horizontal="center" wrapText="1"/>
    </x:xf>
    <x:xf numFmtId="0" fontId="3" fillId="78" borderId="273" xfId="0" applyNumberFormat="1" applyFont="1" applyFill="1" applyBorder="1" applyAlignment="1">
      <x:alignment horizontal="center" vertical="center" wrapText="1"/>
    </x:xf>
    <x:xf numFmtId="0" fontId="3" fillId="78" borderId="274" xfId="0" applyNumberFormat="1" applyFont="1" applyFill="1" applyBorder="1" applyAlignment="1">
      <x:alignment horizontal="center" vertical="center" wrapText="1"/>
    </x:xf>
    <x:xf numFmtId="0" fontId="3" fillId="78" borderId="275" xfId="0" applyNumberFormat="1" applyFont="1" applyFill="1" applyBorder="1" applyAlignment="1">
      <x:alignment horizontal="center" vertical="center" wrapText="1"/>
    </x:xf>
    <x:xf numFmtId="0" fontId="14" fillId="0" borderId="276" xfId="0" applyNumberFormat="1" applyFont="1" applyFill="1" applyBorder="1"/>
    <x:xf numFmtId="0" fontId="14" fillId="0" borderId="277" xfId="0" applyNumberFormat="1" applyFont="1" applyFill="1" applyBorder="1"/>
    <x:xf numFmtId="0" fontId="14" fillId="0" borderId="278" xfId="0" applyNumberFormat="1" applyFont="1" applyFill="1" applyBorder="1"/>
    <x:xf numFmtId="0" fontId="14" fillId="0" borderId="279" xfId="0" applyNumberFormat="1" applyFont="1" applyFill="1" applyBorder="1"/>
    <x:xf numFmtId="0" fontId="14" fillId="0" borderId="280" xfId="0" applyNumberFormat="1" applyFont="1" applyFill="1" applyBorder="1"/>
    <x:xf numFmtId="0" fontId="14" fillId="0" borderId="281" xfId="0" applyNumberFormat="1" applyFont="1" applyFill="1" applyBorder="1"/>
    <x:xf numFmtId="0" fontId="14" fillId="0" borderId="282" xfId="0" applyNumberFormat="1" applyFont="1" applyFill="1" applyBorder="1"/>
    <x:xf numFmtId="0" fontId="14" fillId="0" borderId="283" xfId="0" applyNumberFormat="1" applyFont="1" applyFill="1" applyBorder="1"/>
    <x:xf numFmtId="0" fontId="14" fillId="0" borderId="276" xfId="0" applyNumberFormat="1" applyFont="1" applyFill="1" applyBorder="1" applyAlignment="1">
      <x:alignment wrapText="1"/>
    </x:xf>
    <x:xf numFmtId="0" fontId="14" fillId="0" borderId="277" xfId="0" applyNumberFormat="1" applyFont="1" applyFill="1" applyBorder="1" applyAlignment="1">
      <x:alignment wrapText="1"/>
    </x:xf>
    <x:xf numFmtId="0" fontId="14" fillId="0" borderId="278" xfId="0" applyNumberFormat="1" applyFont="1" applyFill="1" applyBorder="1" applyAlignment="1">
      <x:alignment wrapText="1"/>
    </x:xf>
    <x:xf numFmtId="0" fontId="14" fillId="0" borderId="279" xfId="0" applyNumberFormat="1" applyFont="1" applyFill="1" applyBorder="1" applyAlignment="1">
      <x:alignment wrapText="1"/>
    </x:xf>
    <x:xf numFmtId="0" fontId="14" fillId="0" borderId="280" xfId="0" applyNumberFormat="1" applyFont="1" applyFill="1" applyBorder="1" applyAlignment="1">
      <x:alignment wrapText="1"/>
    </x:xf>
    <x:xf numFmtId="0" fontId="14" fillId="0" borderId="281" xfId="0" applyNumberFormat="1" applyFont="1" applyFill="1" applyBorder="1" applyAlignment="1">
      <x:alignment wrapText="1"/>
    </x:xf>
    <x:xf numFmtId="0" fontId="14" fillId="0" borderId="282" xfId="0" applyNumberFormat="1" applyFont="1" applyFill="1" applyBorder="1" applyAlignment="1">
      <x:alignment wrapText="1"/>
    </x:xf>
    <x:xf numFmtId="0" fontId="14" fillId="0" borderId="283" xfId="0" applyNumberFormat="1" applyFont="1" applyFill="1" applyBorder="1" applyAlignment="1">
      <x:alignment wrapText="1"/>
    </x:xf>
    <x:xf numFmtId="0" fontId="14" fillId="0" borderId="276" xfId="0" applyNumberFormat="1" applyFont="1" applyFill="1" applyBorder="1" applyAlignment="1">
      <x:alignment vertical="top" wrapText="1"/>
    </x:xf>
    <x:xf numFmtId="0" fontId="14" fillId="0" borderId="277" xfId="0" applyNumberFormat="1" applyFont="1" applyFill="1" applyBorder="1" applyAlignment="1">
      <x:alignment vertical="top" wrapText="1"/>
    </x:xf>
    <x:xf numFmtId="0" fontId="14" fillId="0" borderId="278" xfId="0" applyNumberFormat="1" applyFont="1" applyFill="1" applyBorder="1" applyAlignment="1">
      <x:alignment vertical="top" wrapText="1"/>
    </x:xf>
    <x:xf numFmtId="0" fontId="14" fillId="0" borderId="279" xfId="0" applyNumberFormat="1" applyFont="1" applyFill="1" applyBorder="1" applyAlignment="1">
      <x:alignment vertical="top" wrapText="1"/>
    </x:xf>
    <x:xf numFmtId="0" fontId="14" fillId="0" borderId="280" xfId="0" applyNumberFormat="1" applyFont="1" applyFill="1" applyBorder="1" applyAlignment="1">
      <x:alignment vertical="top" wrapText="1"/>
    </x:xf>
    <x:xf numFmtId="0" fontId="14" fillId="0" borderId="281" xfId="0" applyNumberFormat="1" applyFont="1" applyFill="1" applyBorder="1" applyAlignment="1">
      <x:alignment vertical="top" wrapText="1"/>
    </x:xf>
    <x:xf numFmtId="0" fontId="14" fillId="0" borderId="282" xfId="0" applyNumberFormat="1" applyFont="1" applyFill="1" applyBorder="1" applyAlignment="1">
      <x:alignment vertical="top" wrapText="1"/>
    </x:xf>
    <x:xf numFmtId="0" fontId="14" fillId="0" borderId="283" xfId="0" applyNumberFormat="1" applyFont="1" applyFill="1" applyBorder="1" applyAlignment="1">
      <x:alignment vertical="top" wrapText="1"/>
    </x:xf>
    <x:xf numFmtId="0" fontId="14" fillId="0" borderId="284" xfId="0" applyNumberFormat="1" applyFont="1" applyFill="1" applyBorder="1" applyAlignment="1">
      <x:alignment vertical="top" wrapText="1"/>
    </x:xf>
    <x:xf numFmtId="0" fontId="14" fillId="0" borderId="285" xfId="0" applyNumberFormat="1" applyFont="1" applyFill="1" applyBorder="1" applyAlignment="1">
      <x:alignment vertical="top" wrapText="1"/>
    </x:xf>
    <x:xf numFmtId="0" fontId="14" fillId="0" borderId="281" xfId="0" applyNumberFormat="1" applyFont="1" applyFill="1" applyBorder="1" applyAlignment="1">
      <x:alignment vertical="top"/>
    </x:xf>
    <x:xf numFmtId="0" fontId="14" fillId="0" borderId="282" xfId="0" applyNumberFormat="1" applyFont="1" applyFill="1" applyBorder="1" applyAlignment="1">
      <x:alignment vertical="top"/>
    </x:xf>
    <x:xf numFmtId="0" fontId="14" fillId="0" borderId="283" xfId="0" applyNumberFormat="1" applyFont="1" applyFill="1" applyBorder="1" applyAlignment="1">
      <x:alignment vertical="top"/>
    </x:xf>
    <x:xf numFmtId="0" fontId="14" fillId="0" borderId="276" xfId="0" applyNumberFormat="1" applyFont="1" applyFill="1" applyBorder="1" applyAlignment="1">
      <x:alignment vertical="top"/>
    </x:xf>
    <x:xf numFmtId="0" fontId="14" fillId="0" borderId="278" xfId="0" applyNumberFormat="1" applyFont="1" applyFill="1" applyBorder="1" applyAlignment="1">
      <x:alignment vertical="top"/>
    </x:xf>
    <x:xf numFmtId="0" fontId="14" fillId="0" borderId="279" xfId="0" applyNumberFormat="1" applyFont="1" applyFill="1" applyBorder="1" applyAlignment="1">
      <x:alignment vertical="top"/>
    </x:xf>
    <x:xf numFmtId="0" fontId="14" fillId="0" borderId="280" xfId="0" applyNumberFormat="1" applyFont="1" applyFill="1" applyBorder="1" applyAlignment="1">
      <x:alignment vertical="top"/>
    </x:xf>
    <x:xf numFmtId="0" fontId="0" fillId="0" xfId="0" applyNumberFormat="1" applyFont="1" applyFill="1" applyBorder="0" applyAlignment="1">
      <x:alignment vertical="top"/>
    </x:xf>
    <x:xf numFmtId="0" fontId="0" fillId="79" borderId="0" xfId="0" applyNumberFormat="1" applyFont="1" applyFill="1" applyBorder="1"/>
    <x:xf numFmtId="0" fontId="30" fillId="79" borderId="0" xfId="0" applyNumberFormat="1" applyFont="1" applyFill="1" applyBorder="1"/>
    <x:xf numFmtId="0" fontId="30" fillId="79" borderId="0" xfId="0" applyNumberFormat="1" applyFont="1" applyFill="1" applyBorder="1" applyAlignment="1">
      <x:alignment wrapText="1"/>
    </x:xf>
    <x:xf numFmtId="0" fontId="30" fillId="79" borderId="0" xfId="0" applyNumberFormat="1" applyFont="1" applyFill="1" applyBorder="1" applyAlignment="1">
      <x:alignment vertical="center" wrapText="1"/>
    </x:xf>
    <x:xf numFmtId="0" fontId="0" fillId="80" borderId="0" xfId="0" applyNumberFormat="1" applyFont="1" applyFill="1" applyBorder="1"/>
    <x:xf numFmtId="0" fontId="12" fillId="80" borderId="0" xfId="0" applyNumberFormat="1" applyFont="1" applyFill="1" applyBorder="1"/>
    <x:xf numFmtId="0" fontId="12" fillId="80" xfId="0" applyNumberFormat="1" applyFont="1" applyFill="1" applyBorder="0"/>
    <x:xf numFmtId="0" fontId="12" fillId="80" xfId="0" applyNumberFormat="1" applyFont="1" applyFill="1" applyBorder="0" applyAlignment="1">
      <x:alignment wrapText="1"/>
    </x:xf>
    <x:xf numFmtId="0" fontId="12" fillId="80" xfId="0" applyNumberFormat="1" applyFont="1" applyFill="1" applyBorder="0" applyAlignment="1">
      <x:alignment horizontal="center" wrapText="1"/>
    </x:xf>
    <x:xf numFmtId="0" fontId="12" fillId="80" xfId="0" applyNumberFormat="1" applyFont="1" applyFill="1" applyBorder="0" applyAlignment="1">
      <x:alignment horizontal="center" vertical="center" wrapText="1"/>
    </x:xf>
    <x:xf numFmtId="0" fontId="0" fillId="81" borderId="0" xfId="0" applyNumberFormat="1" applyFont="1" applyFill="1" applyBorder="1"/>
    <x:xf numFmtId="0" fontId="31" fillId="81" borderId="0" xfId="0" applyNumberFormat="1" applyFont="1" applyFill="1" applyBorder="1"/>
    <x:xf numFmtId="0" fontId="31" fillId="81" borderId="0" xfId="0" applyNumberFormat="1" applyFont="1" applyFill="1" applyBorder="1" applyAlignment="1">
      <x:alignment wrapText="1"/>
    </x:xf>
    <x:xf numFmtId="0" fontId="31" fillId="81" borderId="0" xfId="0" applyNumberFormat="1" applyFont="1" applyFill="1" applyBorder="1" applyAlignment="1">
      <x:alignment vertical="top" wrapText="1"/>
    </x:xf>
    <x:xf numFmtId="0" fontId="0" fillId="82" borderId="0" xfId="0" applyNumberFormat="1" applyFont="1" applyFill="1" applyBorder="1"/>
    <x:xf numFmtId="0" fontId="22" fillId="82" borderId="0" xfId="0" applyNumberFormat="1" applyFont="1" applyFill="1" applyBorder="1"/>
    <x:xf numFmtId="0" fontId="22" fillId="82" borderId="0" xfId="0" applyNumberFormat="1" applyFont="1" applyFill="1" applyBorder="1" applyAlignment="1">
      <x:alignment horizontal="left"/>
    </x:xf>
    <x:xf numFmtId="0" fontId="22" fillId="82" borderId="0" xfId="0" applyNumberFormat="1" applyFont="1" applyFill="1" applyBorder="1" applyAlignment="1">
      <x:alignment horizontal="left" vertical="center"/>
    </x:xf>
    <x:xf numFmtId="0" fontId="31" fillId="8" borderId="0" xfId="0" applyNumberFormat="1" applyFont="1" applyFill="1" applyBorder="1"/>
    <x:xf numFmtId="0" fontId="31" fillId="8" borderId="0" xfId="0" applyNumberFormat="1" applyFont="1" applyFill="1" applyBorder="1" applyAlignment="1">
      <x:alignment wrapText="1"/>
    </x:xf>
    <x:xf numFmtId="0" fontId="31" fillId="8" borderId="0" xfId="0" applyNumberFormat="1" applyFont="1" applyFill="1" applyBorder="1" applyAlignment="1">
      <x:alignment vertical="top" wrapText="1"/>
    </x:xf>
    <x:xf numFmtId="0" fontId="0" fillId="83" borderId="0" xfId="0" applyNumberFormat="1" applyFont="1" applyFill="1" applyBorder="1"/>
    <x:xf numFmtId="0" fontId="22" fillId="83" borderId="0" xfId="0" applyNumberFormat="1" applyFont="1" applyFill="1" applyBorder="1"/>
    <x:xf numFmtId="0" fontId="22" fillId="83" borderId="0" xfId="0" applyNumberFormat="1" applyFont="1" applyFill="1" applyBorder="1" applyAlignment="1">
      <x:alignment horizontal="left"/>
    </x:xf>
    <x:xf numFmtId="0" fontId="22" fillId="83" borderId="0" xfId="0" applyNumberFormat="1" applyFont="1" applyFill="1" applyBorder="1" applyAlignment="1">
      <x:alignment horizontal="left" vertical="center"/>
    </x:xf>
    <x:xf numFmtId="0" fontId="0" fillId="84" borderId="0" xfId="0" applyNumberFormat="1" applyFont="1" applyFill="1" applyBorder="1"/>
    <x:xf numFmtId="0" fontId="32" fillId="84" borderId="0" xfId="0" applyNumberFormat="1" applyFont="1" applyFill="1" applyBorder="1"/>
    <x:xf numFmtId="0" fontId="32" fillId="84" borderId="0" xfId="0" applyNumberFormat="1" applyFont="1" applyFill="1" applyBorder="1" applyAlignment="1">
      <x:alignment wrapText="1"/>
    </x:xf>
    <x:xf numFmtId="0" fontId="32" fillId="84" borderId="0" xfId="0" applyNumberFormat="1" applyFont="1" applyFill="1" applyBorder="1" applyAlignment="1">
      <x:alignment vertical="top" wrapText="1"/>
    </x:xf>
    <x:xf numFmtId="0" fontId="0" fillId="85" borderId="0" xfId="0" applyNumberFormat="1" applyFont="1" applyFill="1" applyBorder="1"/>
    <x:xf numFmtId="0" fontId="12" fillId="85" borderId="0" xfId="0" applyNumberFormat="1" applyFont="1" applyFill="1" applyBorder="1"/>
    <x:xf numFmtId="0" fontId="12" fillId="85" xfId="0" applyNumberFormat="1" applyFont="1" applyFill="1" applyBorder="0"/>
    <x:xf numFmtId="0" fontId="12" fillId="85" xfId="0" applyNumberFormat="1" applyFont="1" applyFill="1" applyBorder="0" applyAlignment="1">
      <x:alignment wrapText="1"/>
    </x:xf>
    <x:xf numFmtId="0" fontId="12" fillId="85" xfId="0" applyNumberFormat="1" applyFont="1" applyFill="1" applyBorder="0" applyAlignment="1">
      <x:alignment horizontal="center" wrapText="1"/>
    </x:xf>
    <x:xf numFmtId="0" fontId="12" fillId="85" xfId="0" applyNumberFormat="1" applyFont="1" applyFill="1" applyBorder="0" applyAlignment="1">
      <x:alignment horizontal="center" vertical="center" wrapText="1"/>
    </x:xf>
    <x:xf numFmtId="0" fontId="0" fillId="86" borderId="0" xfId="0" applyNumberFormat="1" applyFont="1" applyFill="1" applyBorder="1"/>
    <x:xf numFmtId="0" fontId="0" fillId="86" xfId="0" applyNumberFormat="1" applyFont="1" applyFill="1" applyBorder="0"/>
    <x:xf numFmtId="0" fontId="0" fillId="86" xfId="0" applyNumberFormat="1" applyFont="1" applyFill="1" applyBorder="0" applyAlignment="1">
      <x:alignment wrapText="1"/>
    </x:xf>
    <x:xf numFmtId="0" fontId="0" fillId="86" xfId="0" applyNumberFormat="1" applyFont="1" applyFill="1" applyBorder="0" applyAlignment="1">
      <x:alignment vertical="top" wrapText="1"/>
    </x:xf>
    <x:xf numFmtId="0" fontId="0" fillId="87" borderId="0" xfId="0" applyNumberFormat="1" applyFont="1" applyFill="1" applyBorder="1"/>
    <x:xf numFmtId="0" fontId="0" fillId="87" xfId="0" applyNumberFormat="1" applyFont="1" applyFill="1" applyBorder="0"/>
    <x:xf numFmtId="0" fontId="0" fillId="87" xfId="0" applyNumberFormat="1" applyFont="1" applyFill="1" applyBorder="0" applyAlignment="1">
      <x:alignment wrapText="1"/>
    </x:xf>
    <x:xf numFmtId="0" fontId="0" fillId="87" xfId="0" applyNumberFormat="1" applyFont="1" applyFill="1" applyBorder="0" applyAlignment="1">
      <x:alignment vertical="top" wrapText="1"/>
    </x:xf>
    <x:xf numFmtId="0" fontId="0" fillId="88" borderId="0" xfId="0" applyNumberFormat="1" applyFont="1" applyFill="1" applyBorder="1"/>
    <x:xf numFmtId="0" fontId="33" fillId="88" borderId="0" xfId="0" applyNumberFormat="1" applyFont="1" applyFill="1" applyBorder="1"/>
    <x:xf numFmtId="0" fontId="33" fillId="88" borderId="0" xfId="0" applyNumberFormat="1" applyFont="1" applyFill="1" applyBorder="1" applyAlignment="1">
      <x:alignment wrapText="1"/>
    </x:xf>
    <x:xf numFmtId="0" fontId="33" fillId="88" borderId="0" xfId="0" applyNumberFormat="1" applyFont="1" applyFill="1" applyBorder="1" applyAlignment="1">
      <x:alignment vertical="top" wrapText="1"/>
    </x:xf>
    <x:xf numFmtId="0" fontId="32" fillId="8" borderId="0" xfId="0" applyNumberFormat="1" applyFont="1" applyFill="1" applyBorder="1"/>
    <x:xf numFmtId="0" fontId="32" fillId="8" borderId="0" xfId="0" applyNumberFormat="1" applyFont="1" applyFill="1" applyBorder="1" applyAlignment="1">
      <x:alignment wrapText="1"/>
    </x:xf>
    <x:xf numFmtId="0" fontId="32" fillId="8" borderId="0" xfId="0" applyNumberFormat="1" applyFont="1" applyFill="1" applyBorder="1" applyAlignment="1">
      <x:alignment vertical="top" wrapText="1"/>
    </x:xf>
    <x:xf numFmtId="0" fontId="0" fillId="21" xfId="0" applyNumberFormat="1" applyFont="1" applyFill="1" applyBorder="0"/>
    <x:xf numFmtId="0" fontId="0" fillId="21" xfId="0" applyNumberFormat="1" applyFont="1" applyFill="1" applyBorder="0" applyAlignment="1">
      <x:alignment wrapText="1"/>
    </x:xf>
    <x:xf numFmtId="0" fontId="0" fillId="21" xfId="0" applyNumberFormat="1" applyFont="1" applyFill="1" applyBorder="0" applyAlignment="1">
      <x:alignment vertical="top" wrapText="1"/>
    </x:xf>
    <x:xf numFmtId="0" fontId="0" fillId="79" xfId="0" applyNumberFormat="1" applyFont="1" applyFill="1" applyBorder="0"/>
    <x:xf numFmtId="0" fontId="0" fillId="79" xfId="0" applyNumberFormat="1" applyFont="1" applyFill="1" applyBorder="0" applyAlignment="1">
      <x:alignment wrapText="1"/>
    </x:xf>
    <x:xf numFmtId="0" fontId="0" fillId="79" xfId="0" applyNumberFormat="1" applyFont="1" applyFill="1" applyBorder="0" applyAlignment="1">
      <x:alignment vertical="top" wrapText="1"/>
    </x:xf>
    <x:xf numFmtId="0" fontId="0" fillId="89" xfId="0" applyNumberFormat="1" applyFont="1" applyFill="1" applyBorder="0" applyAlignment="1">
      <x:alignment vertical="top" wrapText="1"/>
    </x:xf>
    <x:xf numFmtId="0" fontId="0" fillId="90" xfId="0" applyNumberFormat="1" applyFont="1" applyFill="1" applyBorder="0" applyAlignment="1">
      <x:alignment vertical="top" wrapText="1"/>
    </x:xf>
  </x:cellXfs>
  <x:cellStyles count="1">
    <x:cellStyle name="Normal" xfId="0"/>
  </x:cellStyles>
  <x:dxfs count="35">
    <x:dxf>
      <x:fill>
        <x:patternFill>
          <x:bgColor rgb="FFFFF2CC"/>
        </x:patternFill>
      </x:fill>
    </x:dxf>
    <x:dxf>
      <x:fill>
        <x:patternFill>
          <x:bgColor rgb="FFE2F0D9"/>
        </x:patternFill>
      </x:fill>
    </x:dxf>
    <x:dxf>
      <x:fill>
        <x:patternFill>
          <x:bgColor rgb="FFF4CCCC"/>
        </x:patternFill>
      </x:fill>
    </x:dxf>
    <x:dxf>
      <x:fill>
        <x:patternFill>
          <x:bgColor rgb="FFD9EAD3"/>
        </x:patternFill>
      </x:fill>
    </x:dxf>
    <x:dxf>
      <x:fill>
        <x:patternFill>
          <x:bgColor rgb="FFE2F0D9"/>
        </x:patternFill>
      </x:fill>
    </x:dxf>
    <x:dxf>
      <x:fill>
        <x:patternFill>
          <x:bgColor rgb="FFFFF2CC"/>
        </x:patternFill>
      </x:fill>
    </x:dxf>
    <x:dxf>
      <x:font>
        <x:b/>
      </x:font>
      <x:fill>
        <x:patternFill>
          <x:bgColor rgb="FFF4CCCC"/>
        </x:patternFill>
      </x:fill>
    </x:dxf>
    <x:dxf>
      <x:font>
        <x:b/>
      </x:font>
      <x:fill>
        <x:patternFill>
          <x:bgColor rgb="FFFCE4D6"/>
        </x:patternFill>
      </x:fill>
    </x:dxf>
    <x:dxf>
      <x:fill>
        <x:patternFill>
          <x:bgColor rgb="FFFFF2CC"/>
        </x:patternFill>
      </x:fill>
    </x:dxf>
    <x:dxf>
      <x:font>
        <x:b/>
      </x:font>
      <x:fill>
        <x:patternFill>
          <x:bgColor rgb="FFD9EAD3"/>
        </x:patternFill>
      </x:fill>
    </x:dxf>
    <x:dxf>
      <x:font>
        <x:b/>
      </x:font>
      <x:fill>
        <x:patternFill>
          <x:bgColor rgb="FFFFF2CC"/>
        </x:patternFill>
      </x:fill>
    </x:dxf>
    <x:dxf>
      <x:font>
        <x:b/>
      </x:font>
      <x:fill>
        <x:patternFill>
          <x:bgColor rgb="FFF4CCCC"/>
        </x:patternFill>
      </x:fill>
    </x:dxf>
    <x:dxf>
      <x:fill>
        <x:patternFill>
          <x:bgColor rgb="FFD9EAD3"/>
        </x:patternFill>
      </x:fill>
    </x:dxf>
    <x:dxf>
      <x:fill>
        <x:patternFill>
          <x:bgColor rgb="FFFFF2CC"/>
        </x:patternFill>
      </x:fill>
    </x:dxf>
    <x:dxf>
      <x:fill>
        <x:patternFill>
          <x:bgColor rgb="FFF4CCCC"/>
        </x:patternFill>
      </x:fill>
    </x:dxf>
    <x:dxf>
      <x:fill>
        <x:patternFill>
          <x:bgColor rgb="FFD9EAD3"/>
        </x:patternFill>
      </x:fill>
    </x:dxf>
    <x:dxf>
      <x:fill>
        <x:patternFill>
          <x:bgColor rgb="FFFFF2CC"/>
        </x:patternFill>
      </x:fill>
    </x:dxf>
    <x:dxf>
      <x:fill>
        <x:patternFill>
          <x:bgColor rgb="FFF4CCCC"/>
        </x:patternFill>
      </x:fill>
    </x:dxf>
    <x:dxf>
      <x:fill>
        <x:patternFill>
          <x:bgColor rgb="FFD9EAD3"/>
        </x:patternFill>
      </x:fill>
    </x:dxf>
    <x:dxf>
      <x:fill>
        <x:patternFill>
          <x:bgColor rgb="FFF4CCCC"/>
        </x:patternFill>
      </x:fill>
    </x:dxf>
    <x:dxf>
      <x:fill>
        <x:patternFill>
          <x:bgColor rgb="FFF4CCCC"/>
        </x:patternFill>
      </x:fill>
    </x:dxf>
    <x:dxf>
      <x:fill>
        <x:patternFill>
          <x:bgColor rgb="FFD9EAD3"/>
        </x:patternFill>
      </x:fill>
    </x:dxf>
    <x:dxf>
      <x:fill>
        <x:patternFill>
          <x:bgColor rgb="FFFFF2CC"/>
        </x:patternFill>
      </x:fill>
    </x:dxf>
    <x:dxf>
      <x:fill>
        <x:patternFill>
          <x:bgColor rgb="FFF4CCCC"/>
        </x:patternFill>
      </x:fill>
    </x:dxf>
    <x:dxf>
      <x:fill>
        <x:patternFill>
          <x:bgColor rgb="FFD9EAD3"/>
        </x:patternFill>
      </x:fill>
    </x:dxf>
    <x:dxf>
      <x:fill>
        <x:patternFill>
          <x:bgColor rgb="FFFFF2CC"/>
        </x:patternFill>
      </x:fill>
    </x:dxf>
    <x:dxf>
      <x:fill>
        <x:patternFill>
          <x:bgColor rgb="FFF4CCCC"/>
        </x:patternFill>
      </x:fill>
    </x:dxf>
    <x:dxf>
      <x:fill>
        <x:patternFill>
          <x:bgColor rgb="FFD9EAD3"/>
        </x:patternFill>
      </x:fill>
    </x:dxf>
    <x:dxf>
      <x:fill>
        <x:patternFill>
          <x:bgColor rgb="FFFFF2CC"/>
        </x:patternFill>
      </x:fill>
    </x:dxf>
    <x:dxf>
      <x:fill>
        <x:patternFill>
          <x:bgColor rgb="FFF4CCCC"/>
        </x:patternFill>
      </x:fill>
    </x:dxf>
    <x:dxf>
      <x:fill>
        <x:patternFill>
          <x:bgColor rgb="FFD9EAD3"/>
        </x:patternFill>
      </x:fill>
    </x:dxf>
    <x:dxf>
      <x:fill>
        <x:patternFill>
          <x:bgColor rgb="FFFFF2CC"/>
        </x:patternFill>
      </x:fill>
    </x:dxf>
    <x:dxf>
      <x:fill>
        <x:patternFill>
          <x:bgColor rgb="FFF4CCCC"/>
        </x:patternFill>
      </x:fill>
    </x:dxf>
    <x:dxf>
      <x:fill>
        <x:patternFill>
          <x:bgColor rgb="FFD9EAD3"/>
        </x:patternFill>
      </x:fill>
    </x:dxf>
    <x:dxf>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bf4912f5d7f48d8" /><Relationship Type="http://schemas.openxmlformats.org/officeDocument/2006/relationships/theme" Target="/xl/theme/theme1.xml" Id="R3d8c4931245342f7" /><Relationship Type="http://schemas.openxmlformats.org/officeDocument/2006/relationships/sharedStrings" Target="/xl/sharedStrings.xml" Id="R9d2552ff56a34ffe" /><Relationship Type="http://schemas.openxmlformats.org/officeDocument/2006/relationships/worksheet" Target="/xl/worksheets/sheet1.xml" Id="R6cb30b7711e64db6" /><Relationship Type="http://schemas.openxmlformats.org/officeDocument/2006/relationships/worksheet" Target="/xl/worksheets/sheet2.xml" Id="R6c83726a6fa3424f" /><Relationship Type="http://schemas.openxmlformats.org/officeDocument/2006/relationships/worksheet" Target="/xl/worksheets/sheet3.xml" Id="R356e201ae2b7420b" /><Relationship Type="http://schemas.openxmlformats.org/officeDocument/2006/relationships/worksheet" Target="/xl/worksheets/sheet4.xml" Id="R6352d7c0fd694115" /><Relationship Type="http://schemas.openxmlformats.org/officeDocument/2006/relationships/worksheet" Target="/xl/worksheets/sheet5.xml" Id="R5d9cb5a36e1d4c25" /><Relationship Type="http://schemas.openxmlformats.org/officeDocument/2006/relationships/worksheet" Target="/xl/worksheets/sheet6.xml" Id="R04f5b1fb499d4a08" /><Relationship Type="http://schemas.openxmlformats.org/officeDocument/2006/relationships/worksheet" Target="/xl/worksheets/sheet7.xml" Id="Rad37287dfabb4d2b" /><Relationship Type="http://schemas.openxmlformats.org/officeDocument/2006/relationships/worksheet" Target="/xl/worksheets/sheet8.xml" Id="R7084a3c2fde047d0" /><Relationship Type="http://schemas.openxmlformats.org/officeDocument/2006/relationships/worksheet" Target="/xl/worksheets/sheet9.xml" Id="Rab0b16607d9540ad" /><Relationship Type="http://schemas.openxmlformats.org/officeDocument/2006/relationships/worksheet" Target="/xl/worksheets/sheet10.xml" Id="Rfb5b48ec412644a8" /><Relationship Type="http://schemas.openxmlformats.org/officeDocument/2006/relationships/worksheet" Target="/xl/worksheets/sheet11.xml" Id="R6e69595ee6864eab" /><Relationship Type="http://schemas.openxmlformats.org/officeDocument/2006/relationships/worksheet" Target="/xl/worksheets/sheet12.xml" Id="R28a83e130fba4f14" /><Relationship Type="http://schemas.openxmlformats.org/officeDocument/2006/relationships/worksheet" Target="/xl/worksheets/sheet13.xml" Id="R496bea65b9524cd0" /><Relationship Type="http://schemas.openxmlformats.org/officeDocument/2006/relationships/worksheet" Target="/xl/worksheets/sheet14.xml" Id="R773ffd614b0d4f50" /><Relationship Type="http://schemas.openxmlformats.org/officeDocument/2006/relationships/worksheet" Target="/xl/worksheets/sheet15.xml" Id="R3363b3d97c0f4f6a" /><Relationship Type="http://schemas.openxmlformats.org/officeDocument/2006/relationships/worksheet" Target="/xl/worksheets/sheet16.xml" Id="R5f876a4b50694710" /><Relationship Type="http://schemas.openxmlformats.org/officeDocument/2006/relationships/worksheet" Target="/xl/worksheets/sheet17.xml" Id="R7cf2ecc33a1a457a" /><Relationship Type="http://schemas.openxmlformats.org/officeDocument/2006/relationships/worksheet" Target="/xl/worksheets/sheet18.xml" Id="R2379e6cc12ac4da7" /><Relationship Type="http://schemas.openxmlformats.org/officeDocument/2006/relationships/worksheet" Target="/xl/worksheets/sheet19.xml" Id="R161626fddc0c4dc4" /><Relationship Type="http://schemas.openxmlformats.org/officeDocument/2006/relationships/worksheet" Target="/xl/worksheets/sheet20.xml" Id="R72bd24b0fea44d19" /><Relationship Type="http://schemas.openxmlformats.org/officeDocument/2006/relationships/worksheet" Target="/xl/worksheets/sheet21.xml" Id="R7c88db80f1624977" /><Relationship Type="http://schemas.openxmlformats.org/officeDocument/2006/relationships/worksheet" Target="/xl/worksheets/sheet22.xml" Id="Rf05a48d5351d440b" /><Relationship Type="http://schemas.openxmlformats.org/officeDocument/2006/relationships/worksheet" Target="/xl/worksheets/sheet23.xml" Id="Ra69a29eae0cd4235" /><Relationship Type="http://schemas.openxmlformats.org/officeDocument/2006/relationships/worksheet" Target="/xl/worksheets/sheet24.xml" Id="R6ed2f0a8b92a4569" /><Relationship Type="http://schemas.openxmlformats.org/officeDocument/2006/relationships/worksheet" Target="/xl/worksheets/sheet25.xml" Id="R45efa46f1bbe49ec" /><Relationship Type="http://schemas.openxmlformats.org/officeDocument/2006/relationships/worksheet" Target="/xl/worksheets/sheet26.xml" Id="R6decfe15ce7944f5" /><Relationship Type="http://schemas.openxmlformats.org/officeDocument/2006/relationships/worksheet" Target="/xl/worksheets/sheet27.xml" Id="R43cfc2ddaea94137" /><Relationship Type="http://schemas.openxmlformats.org/officeDocument/2006/relationships/worksheet" Target="/xl/worksheets/sheet28.xml" Id="R69e55711c5884a2c" /><Relationship Type="http://schemas.openxmlformats.org/officeDocument/2006/relationships/worksheet" Target="/xl/worksheets/sheet29.xml" Id="Rab15dec73fa84c59" /><Relationship Type="http://schemas.openxmlformats.org/officeDocument/2006/relationships/worksheet" Target="/xl/worksheets/sheet30.xml" Id="R5d46c80da14044fb" /><Relationship Type="http://schemas.openxmlformats.org/officeDocument/2006/relationships/worksheet" Target="/xl/worksheets/sheet31.xml" Id="R6e127c83109949c8" /><Relationship Type="http://schemas.openxmlformats.org/officeDocument/2006/relationships/worksheet" Target="/xl/worksheets/sheet32.xml" Id="Ra87bd25365ce4b43" /><Relationship Type="http://schemas.openxmlformats.org/officeDocument/2006/relationships/worksheet" Target="/xl/worksheets/sheet33.xml" Id="Rb91ce211a6ab47eb" /><Relationship Type="http://schemas.openxmlformats.org/officeDocument/2006/relationships/worksheet" Target="/xl/worksheets/sheet34.xml" Id="R6ffdc4b7a6e6479d" /><Relationship Type="http://schemas.openxmlformats.org/officeDocument/2006/relationships/worksheet" Target="/xl/worksheets/sheet35.xml" Id="R6025b56525f14b5e" /><Relationship Type="http://schemas.openxmlformats.org/officeDocument/2006/relationships/worksheet" Target="/xl/worksheets/sheet36.xml" Id="Re2e00e59c90e42ec" /><Relationship Type="http://schemas.openxmlformats.org/officeDocument/2006/relationships/worksheet" Target="/xl/worksheets/sheet37.xml" Id="R07a5d307e62849d0" /><Relationship Type="http://schemas.openxmlformats.org/officeDocument/2006/relationships/worksheet" Target="/xl/worksheets/sheet38.xml" Id="Re3537ec113224df4" /><Relationship Type="http://schemas.openxmlformats.org/officeDocument/2006/relationships/worksheet" Target="/xl/worksheets/sheet39.xml" Id="R8b3dc13f08434431" /><Relationship Type="http://schemas.openxmlformats.org/officeDocument/2006/relationships/worksheet" Target="/xl/worksheets/sheet40.xml" Id="R2e54e70ef5c14a67" /><Relationship Type="http://schemas.openxmlformats.org/officeDocument/2006/relationships/worksheet" Target="/xl/worksheets/sheet41.xml" Id="R21ae422f19824ddd" /><Relationship Type="http://schemas.openxmlformats.org/officeDocument/2006/relationships/worksheet" Target="/xl/worksheets/sheet42.xml" Id="Re8f0f486a7694e71" /><Relationship Type="http://schemas.openxmlformats.org/officeDocument/2006/relationships/worksheet" Target="/xl/worksheets/sheet43.xml" Id="Rfa8cdecd9f314e53" /><Relationship Type="http://schemas.openxmlformats.org/officeDocument/2006/relationships/worksheet" Target="/xl/worksheets/sheet44.xml" Id="Rea4c5763b5714361" /><Relationship Type="http://schemas.openxmlformats.org/officeDocument/2006/relationships/worksheet" Target="/xl/worksheets/sheet45.xml" Id="R419c6a6158314a7f" /><Relationship Type="http://schemas.openxmlformats.org/officeDocument/2006/relationships/worksheet" Target="/xl/worksheets/sheet46.xml" Id="R5dbb5b503a3e4645" /><Relationship Type="http://schemas.openxmlformats.org/officeDocument/2006/relationships/worksheet" Target="/xl/worksheets/sheet47.xml" Id="R30eb1d17f57147dc" /><Relationship Type="http://schemas.openxmlformats.org/officeDocument/2006/relationships/worksheet" Target="/xl/worksheets/sheet48.xml" Id="R4770430e299e4dab" /><Relationship Type="http://schemas.openxmlformats.org/officeDocument/2006/relationships/worksheet" Target="/xl/worksheets/sheet49.xml" Id="Rca5cb1206cfb4c96" /><Relationship Type="http://schemas.openxmlformats.org/officeDocument/2006/relationships/worksheet" Target="/xl/worksheets/sheet50.xml" Id="R3079b01ef0704374" /><Relationship Type="http://schemas.openxmlformats.org/officeDocument/2006/relationships/worksheet" Target="/xl/worksheets/sheet51.xml" Id="Rc45d22361b444237" /><Relationship Type="http://schemas.openxmlformats.org/officeDocument/2006/relationships/worksheet" Target="/xl/worksheets/sheet52.xml" Id="Rd5b10406747946f8" /><Relationship Type="http://schemas.openxmlformats.org/officeDocument/2006/relationships/worksheet" Target="/xl/worksheets/sheet53.xml" Id="R212a396417264aa3" /><Relationship Type="http://schemas.openxmlformats.org/officeDocument/2006/relationships/worksheet" Target="/xl/worksheets/sheet54.xml" Id="Rcb512e50395b4f9f" /><Relationship Type="http://schemas.openxmlformats.org/officeDocument/2006/relationships/worksheet" Target="/xl/worksheets/sheet55.xml" Id="R6aac867867614075" /><Relationship Type="http://schemas.openxmlformats.org/officeDocument/2006/relationships/worksheet" Target="/xl/worksheets/sheet56.xml" Id="Rf622a73f307f4ebe" /><Relationship Type="http://schemas.openxmlformats.org/officeDocument/2006/relationships/worksheet" Target="/xl/worksheets/sheet57.xml" Id="R2f04511389e54bd5" /><Relationship Type="http://schemas.openxmlformats.org/officeDocument/2006/relationships/worksheet" Target="/xl/worksheets/sheet58.xml" Id="R92293905d87347e8" /><Relationship Type="http://schemas.openxmlformats.org/officeDocument/2006/relationships/worksheet" Target="/xl/worksheets/sheet59.xml" Id="R0cd67a3dc31b4713" /><Relationship Type="http://schemas.openxmlformats.org/officeDocument/2006/relationships/worksheet" Target="/xl/worksheets/sheet60.xml" Id="R9ef1a2ab260c4daa" /><Relationship Type="http://schemas.openxmlformats.org/officeDocument/2006/relationships/worksheet" Target="/xl/worksheets/sheet61.xml" Id="Race4a6120f334c1f" /><Relationship Type="http://schemas.openxmlformats.org/officeDocument/2006/relationships/worksheet" Target="/xl/worksheets/sheet62.xml" Id="R643d2f4b49c3458b" /><Relationship Type="http://schemas.openxmlformats.org/officeDocument/2006/relationships/worksheet" Target="/xl/worksheets/sheet63.xml" Id="Rd1fe773e088e4393" /><Relationship Type="http://schemas.openxmlformats.org/officeDocument/2006/relationships/worksheet" Target="/xl/worksheets/sheet64.xml" Id="R23a6704886444232" /><Relationship Type="http://schemas.openxmlformats.org/officeDocument/2006/relationships/worksheet" Target="/xl/worksheets/sheet65.xml" Id="R7b67389efccb4516" /><Relationship Type="http://schemas.openxmlformats.org/officeDocument/2006/relationships/worksheet" Target="/xl/worksheets/sheet66.xml" Id="Rb20017ae71404c06" /><Relationship Type="http://schemas.openxmlformats.org/officeDocument/2006/relationships/worksheet" Target="/xl/worksheets/sheet67.xml" Id="R39dc3c06f8ca4063" /><Relationship Type="http://schemas.openxmlformats.org/officeDocument/2006/relationships/worksheet" Target="/xl/worksheets/sheet68.xml" Id="Ree39a3b782a74293" /><Relationship Type="http://schemas.openxmlformats.org/officeDocument/2006/relationships/worksheet" Target="/xl/worksheets/sheet69.xml" Id="R58d75231d6bf436b" /><Relationship Type="http://schemas.openxmlformats.org/officeDocument/2006/relationships/worksheet" Target="/xl/worksheets/sheet70.xml" Id="R92942104b6e24561" /><Relationship Type="http://schemas.openxmlformats.org/officeDocument/2006/relationships/worksheet" Target="/xl/worksheets/sheet71.xml" Id="R5e4ba685d2f04a43" /><Relationship Type="http://schemas.openxmlformats.org/officeDocument/2006/relationships/worksheet" Target="/xl/worksheets/sheet72.xml" Id="Rd1625b74c7d84a61" /><Relationship Type="http://schemas.openxmlformats.org/officeDocument/2006/relationships/worksheet" Target="/xl/worksheets/sheet73.xml" Id="Rcc4aee7f866b48da" /><Relationship Type="http://schemas.openxmlformats.org/officeDocument/2006/relationships/worksheet" Target="/xl/worksheets/sheet74.xml" Id="R71c215e4e1fc4e24" /><Relationship Type="http://schemas.openxmlformats.org/officeDocument/2006/relationships/worksheet" Target="/xl/worksheets/sheet75.xml" Id="Rfee41140db094b0b" /><Relationship Type="http://schemas.openxmlformats.org/officeDocument/2006/relationships/worksheet" Target="/xl/worksheets/sheet76.xml" Id="R00cb93dad5fc4e10" /><Relationship Type="http://schemas.openxmlformats.org/officeDocument/2006/relationships/worksheet" Target="/xl/worksheets/sheet77.xml" Id="R19e32a25bc5e4d6e" /><Relationship Type="http://schemas.openxmlformats.org/officeDocument/2006/relationships/worksheet" Target="/xl/worksheets/sheet78.xml" Id="R65675cf0e60d4871" /><Relationship Type="http://schemas.openxmlformats.org/officeDocument/2006/relationships/worksheet" Target="/xl/worksheets/sheet79.xml" Id="R101d991897614ff6" /><Relationship Type="http://schemas.openxmlformats.org/officeDocument/2006/relationships/worksheet" Target="/xl/worksheets/sheet80.xml" Id="Racaa9a4606ca41a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2" hidden="0" customWidth="1"/>
    <x:col min="2" max="2" width="78" hidden="0" customWidth="1"/>
  </x:cols>
  <x:sheetData>
    <x:row r="1" ht="28" customHeight="1">
      <x:c r="A1" s="116" t="str">
        <x:v>Energy Doctor LP自己診断・採点設計 Version0.1</x:v>
      </x:c>
      <x:c r="B1" s="116"/>
      <x:c r="C1" s="116"/>
      <x:c r="D1" s="116"/>
      <x:c r="E1" s="116"/>
      <x:c r="F1" s="116"/>
      <x:c r="G1" s="116"/>
      <x:c r="H1" s="116"/>
      <x:c r="I1" s="117"/>
      <x:c r="J1" s="117"/>
      <x:c r="K1" s="117"/>
      <x:c r="L1" s="117"/>
      <x:c r="M1" s="117"/>
      <x:c r="N1" s="117"/>
      <x:c r="O1" s="117"/>
      <x:c r="P1" s="117"/>
      <x:c r="Q1" s="117"/>
      <x:c r="R1" s="117"/>
      <x:c r="S1" s="117"/>
      <x:c r="T1" s="117"/>
      <x:c r="U1" s="117"/>
      <x:c r="V1" s="117"/>
      <x:c r="W1" s="117"/>
      <x:c r="X1" s="117"/>
      <x:c r="Y1" s="117"/>
      <x:c r="Z1" s="117"/>
    </x:row>
    <x:row r="2" ht="34" customHeight="1">
      <x:c r="A2" s="118" t="str">
        <x:v>A3横2ページの診断レポート出力から逆算し、質問・判定・Evidence・コメントコードを一元管理する設計台帳。</x:v>
      </x:c>
      <x:c r="B2" s="118"/>
      <x:c r="C2" s="118"/>
      <x:c r="D2" s="118"/>
      <x:c r="E2" s="118"/>
      <x:c r="F2" s="118"/>
      <x:c r="G2" s="118"/>
      <x:c r="H2" s="118"/>
      <x:c r="I2" s="117"/>
      <x:c r="J2" s="117"/>
      <x:c r="K2" s="117"/>
      <x:c r="L2" s="117"/>
      <x:c r="M2" s="117"/>
      <x:c r="N2" s="117"/>
      <x:c r="O2" s="117"/>
      <x:c r="P2" s="117"/>
      <x:c r="Q2" s="117"/>
      <x:c r="R2" s="117"/>
      <x:c r="S2" s="117"/>
      <x:c r="T2" s="117"/>
      <x:c r="U2" s="117"/>
      <x:c r="V2" s="117"/>
      <x:c r="W2" s="117"/>
      <x:c r="X2" s="117"/>
      <x:c r="Y2" s="117"/>
      <x:c r="Z2" s="117"/>
    </x:row>
    <x:row r="3">
      <x:c r="A3" s="117"/>
      <x:c r="B3" s="117"/>
      <x:c r="C3" s="117"/>
      <x:c r="D3" s="117"/>
      <x:c r="E3" s="117"/>
      <x:c r="F3" s="117"/>
      <x:c r="G3" s="117"/>
      <x:c r="H3" s="117"/>
      <x:c r="I3" s="117"/>
      <x:c r="J3" s="117"/>
      <x:c r="K3" s="117"/>
      <x:c r="L3" s="117"/>
      <x:c r="M3" s="117"/>
      <x:c r="N3" s="117"/>
      <x:c r="O3" s="117"/>
      <x:c r="P3" s="117"/>
      <x:c r="Q3" s="117"/>
      <x:c r="R3" s="117"/>
      <x:c r="S3" s="117"/>
      <x:c r="T3" s="117"/>
      <x:c r="U3" s="117"/>
      <x:c r="V3" s="117"/>
      <x:c r="W3" s="117"/>
      <x:c r="X3" s="117"/>
      <x:c r="Y3" s="117"/>
      <x:c r="Z3" s="117"/>
    </x:row>
    <x:row r="4" ht="34" customHeight="1">
      <x:c r="A4" s="119" t="str">
        <x:v>項目</x:v>
      </x:c>
      <x:c r="B4" s="120" t="str">
        <x:v>Version0.1 方針</x:v>
      </x:c>
      <x:c r="C4" s="117"/>
      <x:c r="D4" s="117"/>
      <x:c r="E4" s="117"/>
      <x:c r="F4" s="117"/>
      <x:c r="G4" s="117"/>
      <x:c r="H4" s="117"/>
      <x:c r="I4" s="117"/>
      <x:c r="J4" s="117"/>
      <x:c r="K4" s="117"/>
      <x:c r="L4" s="117"/>
      <x:c r="M4" s="117"/>
      <x:c r="N4" s="117"/>
      <x:c r="O4" s="117"/>
      <x:c r="P4" s="117"/>
      <x:c r="Q4" s="117"/>
      <x:c r="R4" s="117"/>
      <x:c r="S4" s="117"/>
      <x:c r="T4" s="117"/>
      <x:c r="U4" s="117"/>
      <x:c r="V4" s="117"/>
      <x:c r="W4" s="117"/>
      <x:c r="X4" s="117"/>
      <x:c r="Y4" s="117"/>
      <x:c r="Z4" s="117"/>
    </x:row>
    <x:row r="5">
      <x:c r="A5" s="49" t="str">
        <x:v>成果物の起点</x:v>
      </x:c>
      <x:c r="B5" s="50" t="str">
        <x:v>08_レポート可変項目定義を起点とし、各出力項目から必要質問、判定、Evidence、コメントコードを逆算する。</x:v>
      </x:c>
      <x:c r="C5" s="117"/>
      <x:c r="D5" s="117"/>
      <x:c r="E5" s="117"/>
      <x:c r="F5" s="117"/>
      <x:c r="G5" s="117"/>
      <x:c r="H5" s="117"/>
      <x:c r="I5" s="117"/>
      <x:c r="J5" s="117"/>
      <x:c r="K5" s="117"/>
      <x:c r="L5" s="117"/>
      <x:c r="M5" s="117"/>
      <x:c r="N5" s="117"/>
      <x:c r="O5" s="117"/>
      <x:c r="P5" s="117"/>
      <x:c r="Q5" s="117"/>
      <x:c r="R5" s="117"/>
      <x:c r="S5" s="117"/>
      <x:c r="T5" s="117"/>
      <x:c r="U5" s="117"/>
      <x:c r="V5" s="117"/>
      <x:c r="W5" s="117"/>
      <x:c r="X5" s="117"/>
      <x:c r="Y5" s="117"/>
      <x:c r="Z5" s="117"/>
    </x:row>
    <x:row r="6">
      <x:c r="A6" s="51" t="str">
        <x:v>レポート仕様</x:v>
      </x:c>
      <x:c r="B6" s="52" t="str">
        <x:v>A3横・2ページ。1ページ目はExecutive Dashboard、2ページ目は指標詳細・診断所見。</x:v>
      </x:c>
      <x:c r="C6" s="117"/>
      <x:c r="D6" s="117"/>
      <x:c r="E6" s="117"/>
      <x:c r="F6" s="117"/>
      <x:c r="G6" s="117"/>
      <x:c r="H6" s="117"/>
      <x:c r="I6" s="117"/>
      <x:c r="J6" s="117"/>
      <x:c r="K6" s="117"/>
      <x:c r="L6" s="117"/>
      <x:c r="M6" s="117"/>
      <x:c r="N6" s="117"/>
      <x:c r="O6" s="117"/>
      <x:c r="P6" s="117"/>
      <x:c r="Q6" s="117"/>
      <x:c r="R6" s="117"/>
      <x:c r="S6" s="117"/>
      <x:c r="T6" s="117"/>
      <x:c r="U6" s="117"/>
      <x:c r="V6" s="117"/>
      <x:c r="W6" s="117"/>
      <x:c r="X6" s="117"/>
      <x:c r="Y6" s="117"/>
      <x:c r="Z6" s="117"/>
    </x:row>
    <x:row r="7">
      <x:c r="A7" s="51" t="str">
        <x:v>KPI</x:v>
      </x:c>
      <x:c r="B7" s="52" t="str">
        <x:v>EDI・DRI・EPI・診断信頼度・情報充足率は独立指標とし、単一の総合点へ統合しない。</x:v>
      </x:c>
      <x:c r="C7" s="117"/>
      <x:c r="D7" s="117"/>
      <x:c r="E7" s="117"/>
      <x:c r="F7" s="117"/>
      <x:c r="G7" s="117"/>
      <x:c r="H7" s="117"/>
      <x:c r="I7" s="117"/>
      <x:c r="J7" s="117"/>
      <x:c r="K7" s="117"/>
      <x:c r="L7" s="117"/>
      <x:c r="M7" s="117"/>
      <x:c r="N7" s="117"/>
      <x:c r="O7" s="117"/>
      <x:c r="P7" s="117"/>
      <x:c r="Q7" s="117"/>
      <x:c r="R7" s="117"/>
      <x:c r="S7" s="117"/>
      <x:c r="T7" s="117"/>
      <x:c r="U7" s="117"/>
      <x:c r="V7" s="117"/>
      <x:c r="W7" s="117"/>
      <x:c r="X7" s="117"/>
      <x:c r="Y7" s="117"/>
      <x:c r="Z7" s="117"/>
    </x:row>
    <x:row r="8">
      <x:c r="A8" s="51" t="str">
        <x:v>診断原則</x:v>
      </x:c>
      <x:c r="B8" s="52" t="str">
        <x:v>点数より根拠を優先する。</x:v>
      </x:c>
      <x:c r="C8" s="117"/>
      <x:c r="D8" s="117"/>
      <x:c r="E8" s="117"/>
      <x:c r="F8" s="117"/>
      <x:c r="G8" s="117"/>
      <x:c r="H8" s="117"/>
      <x:c r="I8" s="117"/>
      <x:c r="J8" s="117"/>
      <x:c r="K8" s="117"/>
      <x:c r="L8" s="117"/>
      <x:c r="M8" s="117"/>
      <x:c r="N8" s="117"/>
      <x:c r="O8" s="117"/>
      <x:c r="P8" s="117"/>
      <x:c r="Q8" s="117"/>
      <x:c r="R8" s="117"/>
      <x:c r="S8" s="117"/>
      <x:c r="T8" s="117"/>
      <x:c r="U8" s="117"/>
      <x:c r="V8" s="117"/>
      <x:c r="W8" s="117"/>
      <x:c r="X8" s="117"/>
      <x:c r="Y8" s="117"/>
      <x:c r="Z8" s="117"/>
    </x:row>
    <x:row r="9">
      <x:c r="A9" s="51" t="str">
        <x:v>AIの役割</x:v>
      </x:c>
      <x:c r="B9" s="52" t="str">
        <x:v>AIは診断を行わない。承認済みコメント部品を、意味を変えずに接続・整文する。</x:v>
      </x:c>
      <x:c r="C9" s="117"/>
      <x:c r="D9" s="117"/>
      <x:c r="E9" s="117"/>
      <x:c r="F9" s="117"/>
      <x:c r="G9" s="117"/>
      <x:c r="H9" s="117"/>
      <x:c r="I9" s="117"/>
      <x:c r="J9" s="117"/>
      <x:c r="K9" s="117"/>
      <x:c r="L9" s="117"/>
      <x:c r="M9" s="117"/>
      <x:c r="N9" s="117"/>
      <x:c r="O9" s="117"/>
      <x:c r="P9" s="117"/>
      <x:c r="Q9" s="117"/>
      <x:c r="R9" s="117"/>
      <x:c r="S9" s="117"/>
      <x:c r="T9" s="117"/>
      <x:c r="U9" s="117"/>
      <x:c r="V9" s="117"/>
      <x:c r="W9" s="117"/>
      <x:c r="X9" s="117"/>
      <x:c r="Y9" s="117"/>
      <x:c r="Z9" s="117"/>
    </x:row>
    <x:row r="10">
      <x:c r="A10" s="51" t="str">
        <x:v>断定レベル</x:v>
      </x:c>
      <x:c r="B10" s="52" t="str">
        <x:v>L3：Evidence確認済み、L2：自己申告のみ、L1：情報不足、L0：矛盾・判定停止。</x:v>
      </x:c>
      <x:c r="C10" s="117"/>
      <x:c r="D10" s="117"/>
      <x:c r="E10" s="117"/>
      <x:c r="F10" s="117"/>
      <x:c r="G10" s="117"/>
      <x:c r="H10" s="117"/>
      <x:c r="I10" s="117"/>
      <x:c r="J10" s="117"/>
      <x:c r="K10" s="117"/>
      <x:c r="L10" s="117"/>
      <x:c r="M10" s="117"/>
      <x:c r="N10" s="117"/>
      <x:c r="O10" s="117"/>
      <x:c r="P10" s="117"/>
      <x:c r="Q10" s="117"/>
      <x:c r="R10" s="117"/>
      <x:c r="S10" s="117"/>
      <x:c r="T10" s="117"/>
      <x:c r="U10" s="117"/>
      <x:c r="V10" s="117"/>
      <x:c r="W10" s="117"/>
      <x:c r="X10" s="117"/>
      <x:c r="Y10" s="117"/>
      <x:c r="Z10" s="117"/>
    </x:row>
    <x:row r="11">
      <x:c r="A11" s="51" t="str">
        <x:v>Guardrail</x:v>
      </x:c>
      <x:c r="B11" s="52" t="str">
        <x:v>安全・法令・EOL・BCP・期限・顧客要求は、KPI点数に埋没させず独立警告する。</x:v>
      </x:c>
      <x:c r="C11" s="117"/>
      <x:c r="D11" s="117"/>
      <x:c r="E11" s="117"/>
      <x:c r="F11" s="117"/>
      <x:c r="G11" s="117"/>
      <x:c r="H11" s="117"/>
      <x:c r="I11" s="117"/>
      <x:c r="J11" s="117"/>
      <x:c r="K11" s="117"/>
      <x:c r="L11" s="117"/>
      <x:c r="M11" s="117"/>
      <x:c r="N11" s="117"/>
      <x:c r="O11" s="117"/>
      <x:c r="P11" s="117"/>
      <x:c r="Q11" s="117"/>
      <x:c r="R11" s="117"/>
      <x:c r="S11" s="117"/>
      <x:c r="T11" s="117"/>
      <x:c r="U11" s="117"/>
      <x:c r="V11" s="117"/>
      <x:c r="W11" s="117"/>
      <x:c r="X11" s="117"/>
      <x:c r="Y11" s="117"/>
      <x:c r="Z11" s="117"/>
    </x:row>
    <x:row r="12">
      <x:c r="A12" s="51" t="str">
        <x:v>対象範囲</x:v>
      </x:c>
      <x:c r="B12" s="52" t="str">
        <x:v>工場全体の簡易診断を入口とし、受変電設備・電力使用・建屋課題・設備更新管理を中心とする。</x:v>
      </x:c>
      <x:c r="C12" s="117"/>
      <x:c r="D12" s="117"/>
      <x:c r="E12" s="117"/>
      <x:c r="F12" s="117"/>
      <x:c r="G12" s="117"/>
      <x:c r="H12" s="117"/>
      <x:c r="I12" s="117"/>
      <x:c r="J12" s="117"/>
      <x:c r="K12" s="117"/>
      <x:c r="L12" s="117"/>
      <x:c r="M12" s="117"/>
      <x:c r="N12" s="117"/>
      <x:c r="O12" s="117"/>
      <x:c r="P12" s="117"/>
      <x:c r="Q12" s="117"/>
      <x:c r="R12" s="117"/>
      <x:c r="S12" s="117"/>
      <x:c r="T12" s="117"/>
      <x:c r="U12" s="117"/>
      <x:c r="V12" s="117"/>
      <x:c r="W12" s="117"/>
      <x:c r="X12" s="117"/>
      <x:c r="Y12" s="117"/>
      <x:c r="Z12" s="117"/>
    </x:row>
    <x:row r="13">
      <x:c r="A13" s="53" t="str">
        <x:v>開発順序</x:v>
      </x:c>
      <x:c r="B13" s="54" t="str">
        <x:v>Dashboard mockup → Review → Iterate → Freeze → Specification</x:v>
      </x:c>
      <x:c r="C13" s="117"/>
      <x:c r="D13" s="117"/>
      <x:c r="E13" s="117"/>
      <x:c r="F13" s="117"/>
      <x:c r="G13" s="117"/>
      <x:c r="H13" s="117"/>
      <x:c r="I13" s="117"/>
      <x:c r="J13" s="117"/>
      <x:c r="K13" s="117"/>
      <x:c r="L13" s="117"/>
      <x:c r="M13" s="117"/>
      <x:c r="N13" s="117"/>
      <x:c r="O13" s="117"/>
      <x:c r="P13" s="117"/>
      <x:c r="Q13" s="117"/>
      <x:c r="R13" s="117"/>
      <x:c r="S13" s="117"/>
      <x:c r="T13" s="117"/>
      <x:c r="U13" s="117"/>
      <x:c r="V13" s="117"/>
      <x:c r="W13" s="117"/>
      <x:c r="X13" s="117"/>
      <x:c r="Y13" s="117"/>
      <x:c r="Z13" s="117"/>
    </x:row>
    <x:row r="14">
      <x:c r="A14" s="117"/>
      <x:c r="B14" s="117"/>
      <x:c r="C14" s="117"/>
      <x:c r="D14" s="117"/>
      <x:c r="E14" s="117"/>
      <x:c r="F14" s="117"/>
      <x:c r="G14" s="117"/>
      <x:c r="H14" s="117"/>
      <x:c r="I14" s="117"/>
      <x:c r="J14" s="117"/>
      <x:c r="K14" s="117"/>
      <x:c r="L14" s="117"/>
      <x:c r="M14" s="117"/>
      <x:c r="N14" s="117"/>
      <x:c r="O14" s="117"/>
      <x:c r="P14" s="117"/>
      <x:c r="Q14" s="117"/>
      <x:c r="R14" s="117"/>
      <x:c r="S14" s="117"/>
      <x:c r="T14" s="117"/>
      <x:c r="U14" s="117"/>
      <x:c r="V14" s="117"/>
      <x:c r="W14" s="117"/>
      <x:c r="X14" s="117"/>
      <x:c r="Y14" s="117"/>
      <x:c r="Z14" s="117"/>
    </x:row>
    <x:row r="15">
      <x:c r="A15" s="222" t="str">
        <x:v>算定式凍結</x:v>
      </x:c>
      <x:c r="B15" s="224" t="str">
        <x:v>EDI・DRI・EPIの正式算定式、評価帯、Guardrail順位、TOP5順位ロジックをVersion0.3で凍結。</x:v>
      </x:c>
      <x:c r="C15" s="117"/>
      <x:c r="D15" s="117"/>
      <x:c r="E15" s="117"/>
      <x:c r="F15" s="117"/>
      <x:c r="G15" s="117"/>
      <x:c r="H15" s="117"/>
      <x:c r="I15" s="117"/>
      <x:c r="J15" s="117"/>
      <x:c r="K15" s="117"/>
      <x:c r="L15" s="117"/>
      <x:c r="M15" s="117"/>
      <x:c r="N15" s="117"/>
      <x:c r="O15" s="117"/>
      <x:c r="P15" s="117"/>
      <x:c r="Q15" s="117"/>
      <x:c r="R15" s="117"/>
      <x:c r="S15" s="117"/>
      <x:c r="T15" s="117"/>
      <x:c r="U15" s="117"/>
      <x:c r="V15" s="117"/>
      <x:c r="W15" s="117"/>
      <x:c r="X15" s="117"/>
      <x:c r="Y15" s="117"/>
      <x:c r="Z15" s="117"/>
    </x:row>
    <x:row r="16">
      <x:c r="A16" s="225" t="str">
        <x:v>KPI方向</x:v>
      </x:c>
      <x:c r="B16" s="226" t="str">
        <x:v>EDI・DRIは高いほど良好。EPIは高いほど早期対応が必要。</x:v>
      </x:c>
      <x:c r="C16" s="117"/>
      <x:c r="D16" s="117"/>
      <x:c r="E16" s="117"/>
      <x:c r="F16" s="117"/>
      <x:c r="G16" s="117"/>
      <x:c r="H16" s="117"/>
      <x:c r="I16" s="117"/>
      <x:c r="J16" s="117"/>
      <x:c r="K16" s="117"/>
      <x:c r="L16" s="117"/>
      <x:c r="M16" s="117"/>
      <x:c r="N16" s="117"/>
      <x:c r="O16" s="117"/>
      <x:c r="P16" s="117"/>
      <x:c r="Q16" s="117"/>
      <x:c r="R16" s="117"/>
      <x:c r="S16" s="117"/>
      <x:c r="T16" s="117"/>
      <x:c r="U16" s="117"/>
      <x:c r="V16" s="117"/>
      <x:c r="W16" s="117"/>
      <x:c r="X16" s="117"/>
      <x:c r="Y16" s="117"/>
      <x:c r="Z16" s="117"/>
    </x:row>
    <x:row r="17">
      <x:c r="A17" s="225" t="str">
        <x:v>Guardrail表示</x:v>
      </x:c>
      <x:c r="B17" s="226" t="str">
        <x:v>KPI点数から独立し、最大3件を1ページ目へ表示。L0矛盾は最上位確認事項。</x:v>
      </x:c>
      <x:c r="C17" s="117"/>
      <x:c r="D17" s="117"/>
      <x:c r="E17" s="117"/>
      <x:c r="F17" s="117"/>
      <x:c r="G17" s="117"/>
      <x:c r="H17" s="117"/>
      <x:c r="I17" s="117"/>
      <x:c r="J17" s="117"/>
      <x:c r="K17" s="117"/>
      <x:c r="L17" s="117"/>
      <x:c r="M17" s="117"/>
      <x:c r="N17" s="117"/>
      <x:c r="O17" s="117"/>
      <x:c r="P17" s="117"/>
      <x:c r="Q17" s="117"/>
      <x:c r="R17" s="117"/>
      <x:c r="S17" s="117"/>
      <x:c r="T17" s="117"/>
      <x:c r="U17" s="117"/>
      <x:c r="V17" s="117"/>
      <x:c r="W17" s="117"/>
      <x:c r="X17" s="117"/>
      <x:c r="Y17" s="117"/>
      <x:c r="Z17" s="117"/>
    </x:row>
    <x:row r="18">
      <x:c r="A18" s="225" t="str">
        <x:v>TOP5</x:v>
      </x:c>
      <x:c r="B18" s="226" t="str">
        <x:v>最大5件。B以上を基本とし、分野偏重を抑制。重大安全・法令は例外。</x:v>
      </x:c>
      <x:c r="C18" s="117"/>
      <x:c r="D18" s="117"/>
      <x:c r="E18" s="117"/>
      <x:c r="F18" s="117"/>
      <x:c r="G18" s="117"/>
      <x:c r="H18" s="117"/>
      <x:c r="I18" s="117"/>
      <x:c r="J18" s="117"/>
      <x:c r="K18" s="117"/>
      <x:c r="L18" s="117"/>
      <x:c r="M18" s="117"/>
      <x:c r="N18" s="117"/>
      <x:c r="O18" s="117"/>
      <x:c r="P18" s="117"/>
      <x:c r="Q18" s="117"/>
      <x:c r="R18" s="117"/>
      <x:c r="S18" s="117"/>
      <x:c r="T18" s="117"/>
      <x:c r="U18" s="117"/>
      <x:c r="V18" s="117"/>
      <x:c r="W18" s="117"/>
      <x:c r="X18" s="117"/>
      <x:c r="Y18" s="117"/>
      <x:c r="Z18" s="117"/>
    </x:row>
    <x:row r="19">
      <x:c r="A19" s="225" t="str">
        <x:v>根拠優先</x:v>
      </x:c>
      <x:c r="B19" s="226" t="str">
        <x:v>個別コメントの断定レベルは個別Evidenceに従い、KPI点数で上書きしない。</x:v>
      </x:c>
      <x:c r="C19" s="117"/>
      <x:c r="D19" s="117"/>
      <x:c r="E19" s="117"/>
      <x:c r="F19" s="117"/>
      <x:c r="G19" s="117"/>
      <x:c r="H19" s="117"/>
      <x:c r="I19" s="117"/>
      <x:c r="J19" s="117"/>
      <x:c r="K19" s="117"/>
      <x:c r="L19" s="117"/>
      <x:c r="M19" s="117"/>
      <x:c r="N19" s="117"/>
      <x:c r="O19" s="117"/>
      <x:c r="P19" s="117"/>
      <x:c r="Q19" s="117"/>
      <x:c r="R19" s="117"/>
      <x:c r="S19" s="117"/>
      <x:c r="T19" s="117"/>
      <x:c r="U19" s="117"/>
      <x:c r="V19" s="117"/>
      <x:c r="W19" s="117"/>
      <x:c r="X19" s="117"/>
      <x:c r="Y19" s="117"/>
      <x:c r="Z19" s="117"/>
    </x:row>
    <x:row r="20">
      <x:c r="A20" s="227" t="str">
        <x:v>参照シート</x:v>
      </x:c>
      <x:c r="B20" s="229" t="str">
        <x:v>詳細は13_算定式・順位ロジックを正とする。</x:v>
      </x:c>
      <x:c r="C20" s="117"/>
      <x:c r="D20" s="117"/>
      <x:c r="E20" s="117"/>
      <x:c r="F20" s="117"/>
      <x:c r="G20" s="117"/>
      <x:c r="H20" s="117"/>
      <x:c r="I20" s="117"/>
      <x:c r="J20" s="117"/>
      <x:c r="K20" s="117"/>
      <x:c r="L20" s="117"/>
      <x:c r="M20" s="117"/>
      <x:c r="N20" s="117"/>
      <x:c r="O20" s="117"/>
      <x:c r="P20" s="117"/>
      <x:c r="Q20" s="117"/>
      <x:c r="R20" s="117"/>
      <x:c r="S20" s="117"/>
      <x:c r="T20" s="117"/>
      <x:c r="U20" s="117"/>
      <x:c r="V20" s="117"/>
      <x:c r="W20" s="117"/>
      <x:c r="X20" s="117"/>
      <x:c r="Y20" s="117"/>
      <x:c r="Z20" s="117"/>
    </x:row>
    <x:row r="21">
      <x:c r="A21" s="297" t="str">
        <x:v>診断品質凍結</x:v>
      </x:c>
      <x:c r="B21" s="299" t="str">
        <x:v>診断信頼度と情報充足率の正式算定式をVersion0.4で定義。</x:v>
      </x:c>
      <x:c r="C21" s="117"/>
      <x:c r="D21" s="117"/>
      <x:c r="E21" s="117"/>
      <x:c r="F21" s="117"/>
      <x:c r="G21" s="117"/>
      <x:c r="H21" s="117"/>
      <x:c r="I21" s="117"/>
      <x:c r="J21" s="117"/>
      <x:c r="K21" s="117"/>
      <x:c r="L21" s="117"/>
      <x:c r="M21" s="117"/>
      <x:c r="N21" s="117"/>
      <x:c r="O21" s="117"/>
      <x:c r="P21" s="117"/>
      <x:c r="Q21" s="117"/>
      <x:c r="R21" s="117"/>
      <x:c r="S21" s="117"/>
      <x:c r="T21" s="117"/>
      <x:c r="U21" s="117"/>
      <x:c r="V21" s="117"/>
      <x:c r="W21" s="117"/>
      <x:c r="X21" s="117"/>
      <x:c r="Y21" s="117"/>
      <x:c r="Z21" s="117"/>
    </x:row>
    <x:row r="22">
      <x:c r="A22" s="300" t="str">
        <x:v>信頼度</x:v>
      </x:c>
      <x:c r="B22" s="301" t="str">
        <x:v>Evidence品質40%、対象一致20%、鮮度15%、確認主体15%、整合性10%。</x:v>
      </x:c>
      <x:c r="C22" s="117"/>
      <x:c r="D22" s="117"/>
      <x:c r="E22" s="117"/>
      <x:c r="F22" s="117"/>
      <x:c r="G22" s="117"/>
      <x:c r="H22" s="117"/>
      <x:c r="I22" s="117"/>
      <x:c r="J22" s="117"/>
      <x:c r="K22" s="117"/>
      <x:c r="L22" s="117"/>
      <x:c r="M22" s="117"/>
      <x:c r="N22" s="117"/>
      <x:c r="O22" s="117"/>
      <x:c r="P22" s="117"/>
      <x:c r="Q22" s="117"/>
      <x:c r="R22" s="117"/>
      <x:c r="S22" s="117"/>
      <x:c r="T22" s="117"/>
      <x:c r="U22" s="117"/>
      <x:c r="V22" s="117"/>
      <x:c r="W22" s="117"/>
      <x:c r="X22" s="117"/>
      <x:c r="Y22" s="117"/>
      <x:c r="Z22" s="117"/>
    </x:row>
    <x:row r="23">
      <x:c r="A23" s="300" t="str">
        <x:v>充足率</x:v>
      </x:c>
      <x:c r="B23" s="301" t="str">
        <x:v>必須質問回答率50%、Evidence充足率30%、対象設備カバー率20%。</x:v>
      </x:c>
      <x:c r="C23" s="117"/>
      <x:c r="D23" s="117"/>
      <x:c r="E23" s="117"/>
      <x:c r="F23" s="117"/>
      <x:c r="G23" s="117"/>
      <x:c r="H23" s="117"/>
      <x:c r="I23" s="117"/>
      <x:c r="J23" s="117"/>
      <x:c r="K23" s="117"/>
      <x:c r="L23" s="117"/>
      <x:c r="M23" s="117"/>
      <x:c r="N23" s="117"/>
      <x:c r="O23" s="117"/>
      <x:c r="P23" s="117"/>
      <x:c r="Q23" s="117"/>
      <x:c r="R23" s="117"/>
      <x:c r="S23" s="117"/>
      <x:c r="T23" s="117"/>
      <x:c r="U23" s="117"/>
      <x:c r="V23" s="117"/>
      <x:c r="W23" s="117"/>
      <x:c r="X23" s="117"/>
      <x:c r="Y23" s="117"/>
      <x:c r="Z23" s="117"/>
    </x:row>
    <x:row r="24">
      <x:c r="A24" s="300" t="str">
        <x:v>文章生成</x:v>
      </x:c>
      <x:c r="B24" s="301" t="str">
        <x:v>L0→Guardrail→TOP5→KPI→不足情報→Next Actionの順で承認済みコメントを選択。</x:v>
      </x:c>
      <x:c r="C24" s="117"/>
      <x:c r="D24" s="117"/>
      <x:c r="E24" s="117"/>
      <x:c r="F24" s="117"/>
      <x:c r="G24" s="117"/>
      <x:c r="H24" s="117"/>
      <x:c r="I24" s="117"/>
      <x:c r="J24" s="117"/>
      <x:c r="K24" s="117"/>
      <x:c r="L24" s="117"/>
      <x:c r="M24" s="117"/>
      <x:c r="N24" s="117"/>
      <x:c r="O24" s="117"/>
      <x:c r="P24" s="117"/>
      <x:c r="Q24" s="117"/>
      <x:c r="R24" s="117"/>
      <x:c r="S24" s="117"/>
      <x:c r="T24" s="117"/>
      <x:c r="U24" s="117"/>
      <x:c r="V24" s="117"/>
      <x:c r="W24" s="117"/>
      <x:c r="X24" s="117"/>
      <x:c r="Y24" s="117"/>
      <x:c r="Z24" s="117"/>
    </x:row>
    <x:row r="25">
      <x:c r="A25" s="302" t="str">
        <x:v>AI責任範囲</x:v>
      </x:c>
      <x:c r="B25" s="304" t="str">
        <x:v>意味・優先度・断定レベルを変更せず、接続・重複整理・語尾調整のみ行う。</x:v>
      </x:c>
      <x:c r="C25" s="117"/>
      <x:c r="D25" s="117"/>
      <x:c r="E25" s="117"/>
      <x:c r="F25" s="117"/>
      <x:c r="G25" s="117"/>
      <x:c r="H25" s="117"/>
      <x:c r="I25" s="117"/>
      <x:c r="J25" s="117"/>
      <x:c r="K25" s="117"/>
      <x:c r="L25" s="117"/>
      <x:c r="M25" s="117"/>
      <x:c r="N25" s="117"/>
      <x:c r="O25" s="117"/>
      <x:c r="P25" s="117"/>
      <x:c r="Q25" s="117"/>
      <x:c r="R25" s="117"/>
      <x:c r="S25" s="117"/>
      <x:c r="T25" s="117"/>
      <x:c r="U25" s="117"/>
      <x:c r="V25" s="117"/>
      <x:c r="W25" s="117"/>
      <x:c r="X25" s="117"/>
      <x:c r="Y25" s="117"/>
      <x:c r="Z25" s="117"/>
    </x:row>
    <x:row r="26">
      <x:c r="A26" s="363" t="str">
        <x:v>コメントコード充足</x:v>
      </x:c>
      <x:c r="B26" s="365" t="str">
        <x:v>主要15課題群についてL0～L3のコードを整備。</x:v>
      </x:c>
      <x:c r="C26" s="117"/>
      <x:c r="D26" s="117"/>
      <x:c r="E26" s="117"/>
      <x:c r="F26" s="117"/>
      <x:c r="G26" s="117"/>
      <x:c r="H26" s="117"/>
      <x:c r="I26" s="117"/>
      <x:c r="J26" s="117"/>
      <x:c r="K26" s="117"/>
      <x:c r="L26" s="117"/>
      <x:c r="M26" s="117"/>
      <x:c r="N26" s="117"/>
      <x:c r="O26" s="117"/>
      <x:c r="P26" s="117"/>
      <x:c r="Q26" s="117"/>
      <x:c r="R26" s="117"/>
      <x:c r="S26" s="117"/>
      <x:c r="T26" s="117"/>
      <x:c r="U26" s="117"/>
      <x:c r="V26" s="117"/>
      <x:c r="W26" s="117"/>
      <x:c r="X26" s="117"/>
      <x:c r="Y26" s="117"/>
      <x:c r="Z26" s="117"/>
    </x:row>
    <x:row r="27">
      <x:c r="A27" s="366" t="str">
        <x:v>テスト入力</x:v>
      </x:c>
      <x:c r="B27" s="367" t="str">
        <x:v>TC-AとしてEOL・BCP・経年・図面不足・電力未把握を含む代表ケースを設定。</x:v>
      </x:c>
      <x:c r="C27" s="117"/>
      <x:c r="D27" s="117"/>
      <x:c r="E27" s="117"/>
      <x:c r="F27" s="117"/>
      <x:c r="G27" s="117"/>
      <x:c r="H27" s="117"/>
      <x:c r="I27" s="117"/>
      <x:c r="J27" s="117"/>
      <x:c r="K27" s="117"/>
      <x:c r="L27" s="117"/>
      <x:c r="M27" s="117"/>
      <x:c r="N27" s="117"/>
      <x:c r="O27" s="117"/>
      <x:c r="P27" s="117"/>
      <x:c r="Q27" s="117"/>
      <x:c r="R27" s="117"/>
      <x:c r="S27" s="117"/>
      <x:c r="T27" s="117"/>
      <x:c r="U27" s="117"/>
      <x:c r="V27" s="117"/>
      <x:c r="W27" s="117"/>
      <x:c r="X27" s="117"/>
      <x:c r="Y27" s="117"/>
      <x:c r="Z27" s="117"/>
    </x:row>
    <x:row r="28">
      <x:c r="A28" s="366" t="str">
        <x:v>自動生成サンプル</x:v>
      </x:c>
      <x:c r="B28" s="367" t="str">
        <x:v>KPI、Guardrail、TOP5、総合所見、Next Actionのつながりを確認。</x:v>
      </x:c>
      <x:c r="C28" s="117"/>
      <x:c r="D28" s="117"/>
      <x:c r="E28" s="117"/>
      <x:c r="F28" s="117"/>
      <x:c r="G28" s="117"/>
      <x:c r="H28" s="117"/>
      <x:c r="I28" s="117"/>
      <x:c r="J28" s="117"/>
      <x:c r="K28" s="117"/>
      <x:c r="L28" s="117"/>
      <x:c r="M28" s="117"/>
      <x:c r="N28" s="117"/>
      <x:c r="O28" s="117"/>
      <x:c r="P28" s="117"/>
      <x:c r="Q28" s="117"/>
      <x:c r="R28" s="117"/>
      <x:c r="S28" s="117"/>
      <x:c r="T28" s="117"/>
      <x:c r="U28" s="117"/>
      <x:c r="V28" s="117"/>
      <x:c r="W28" s="117"/>
      <x:c r="X28" s="117"/>
      <x:c r="Y28" s="117"/>
      <x:c r="Z28" s="117"/>
    </x:row>
    <x:row r="29">
      <x:c r="A29" s="368" t="str">
        <x:v>次段階</x:v>
      </x:c>
      <x:c r="B29" s="370" t="str">
        <x:v>サンプル結果をA3横2ページの正式レイアウトへ流し込み、表示量と文章長を調整する。</x:v>
      </x:c>
      <x:c r="C29" s="117"/>
      <x:c r="D29" s="117"/>
      <x:c r="E29" s="117"/>
      <x:c r="F29" s="117"/>
      <x:c r="G29" s="117"/>
      <x:c r="H29" s="117"/>
      <x:c r="I29" s="117"/>
      <x:c r="J29" s="117"/>
      <x:c r="K29" s="117"/>
      <x:c r="L29" s="117"/>
      <x:c r="M29" s="117"/>
      <x:c r="N29" s="117"/>
      <x:c r="O29" s="117"/>
      <x:c r="P29" s="117"/>
      <x:c r="Q29" s="117"/>
      <x:c r="R29" s="117"/>
      <x:c r="S29" s="117"/>
      <x:c r="T29" s="117"/>
      <x:c r="U29" s="117"/>
      <x:c r="V29" s="117"/>
      <x:c r="W29" s="117"/>
      <x:c r="X29" s="117"/>
      <x:c r="Y29" s="117"/>
      <x:c r="Z29" s="117"/>
    </x:row>
    <x:row r="30">
      <x:c r="A30" s="1309" t="str">
        <x:v>A3レポート正式配置</x:v>
      </x:c>
      <x:c r="B30" s="1311" t="str">
        <x:v>18_A3レポート_P1、19_A3レポート_P2を作成。</x:v>
      </x:c>
      <x:c r="C30" s="117"/>
      <x:c r="D30" s="117"/>
      <x:c r="E30" s="117"/>
      <x:c r="F30" s="117"/>
      <x:c r="G30" s="117"/>
      <x:c r="H30" s="117"/>
      <x:c r="I30" s="117"/>
      <x:c r="J30" s="117"/>
      <x:c r="K30" s="117"/>
      <x:c r="L30" s="117"/>
      <x:c r="M30" s="117"/>
      <x:c r="N30" s="117"/>
      <x:c r="O30" s="117"/>
      <x:c r="P30" s="117"/>
      <x:c r="Q30" s="117"/>
      <x:c r="R30" s="117"/>
      <x:c r="S30" s="117"/>
      <x:c r="T30" s="117"/>
      <x:c r="U30" s="117"/>
      <x:c r="V30" s="117"/>
      <x:c r="W30" s="117"/>
      <x:c r="X30" s="117"/>
      <x:c r="Y30" s="117"/>
      <x:c r="Z30" s="117"/>
    </x:row>
    <x:row r="31">
      <x:c r="A31" s="1312" t="str">
        <x:v>1ページ目</x:v>
      </x:c>
      <x:c r="B31" s="1313" t="str">
        <x:v>KPI、Guardrail、今回決めたいこと、4分野評価、TOP5、ロードマップ、Evidence、Next Actionを配置。</x:v>
      </x:c>
      <x:c r="C31" s="117"/>
      <x:c r="D31" s="117"/>
      <x:c r="E31" s="117"/>
      <x:c r="F31" s="117"/>
      <x:c r="G31" s="117"/>
      <x:c r="H31" s="117"/>
      <x:c r="I31" s="117"/>
      <x:c r="J31" s="117"/>
      <x:c r="K31" s="117"/>
      <x:c r="L31" s="117"/>
      <x:c r="M31" s="117"/>
      <x:c r="N31" s="117"/>
      <x:c r="O31" s="117"/>
      <x:c r="P31" s="117"/>
      <x:c r="Q31" s="117"/>
      <x:c r="R31" s="117"/>
      <x:c r="S31" s="117"/>
      <x:c r="T31" s="117"/>
      <x:c r="U31" s="117"/>
      <x:c r="V31" s="117"/>
      <x:c r="W31" s="117"/>
      <x:c r="X31" s="117"/>
      <x:c r="Y31" s="117"/>
      <x:c r="Z31" s="117"/>
    </x:row>
    <x:row r="32">
      <x:c r="A32" s="1312" t="str">
        <x:v>2ページ目</x:v>
      </x:c>
      <x:c r="B32" s="1313" t="str">
        <x:v>指標詳細、診断品質、Evidence、不足情報、総合所見、推奨判断、免責を配置。</x:v>
      </x:c>
      <x:c r="C32" s="117"/>
      <x:c r="D32" s="117"/>
      <x:c r="E32" s="117"/>
      <x:c r="F32" s="117"/>
      <x:c r="G32" s="117"/>
      <x:c r="H32" s="117"/>
      <x:c r="I32" s="117"/>
      <x:c r="J32" s="117"/>
      <x:c r="K32" s="117"/>
      <x:c r="L32" s="117"/>
      <x:c r="M32" s="117"/>
      <x:c r="N32" s="117"/>
      <x:c r="O32" s="117"/>
      <x:c r="P32" s="117"/>
      <x:c r="Q32" s="117"/>
      <x:c r="R32" s="117"/>
      <x:c r="S32" s="117"/>
      <x:c r="T32" s="117"/>
      <x:c r="U32" s="117"/>
      <x:c r="V32" s="117"/>
      <x:c r="W32" s="117"/>
      <x:c r="X32" s="117"/>
      <x:c r="Y32" s="117"/>
      <x:c r="Z32" s="117"/>
    </x:row>
    <x:row r="33">
      <x:c r="A33" s="1319" t="str">
        <x:v>次段階</x:v>
      </x:c>
      <x:c r="B33" s="1321" t="str">
        <x:v>レイアウトレビュー後、LPプレビュー用画像・PDF化またはシステム画面仕様へ展開。</x:v>
      </x:c>
      <x:c r="C33" s="117"/>
      <x:c r="D33" s="117"/>
      <x:c r="E33" s="117"/>
      <x:c r="F33" s="117"/>
      <x:c r="G33" s="117"/>
      <x:c r="H33" s="117"/>
      <x:c r="I33" s="117"/>
      <x:c r="J33" s="117"/>
      <x:c r="K33" s="117"/>
      <x:c r="L33" s="117"/>
      <x:c r="M33" s="117"/>
      <x:c r="N33" s="117"/>
      <x:c r="O33" s="117"/>
      <x:c r="P33" s="117"/>
      <x:c r="Q33" s="117"/>
      <x:c r="R33" s="117"/>
      <x:c r="S33" s="117"/>
      <x:c r="T33" s="117"/>
      <x:c r="U33" s="117"/>
      <x:c r="V33" s="117"/>
      <x:c r="W33" s="117"/>
      <x:c r="X33" s="117"/>
      <x:c r="Y33" s="117"/>
      <x:c r="Z33" s="117"/>
    </x:row>
    <x:row r="34">
      <x:c r="A34" s="1517" t="str">
        <x:v>LP・システム仕様化</x:v>
      </x:c>
      <x:c r="B34" s="1519" t="str">
        <x:v>20～24シートを追加し、ユーザー体験から受入条件まで具体化。</x:v>
      </x:c>
      <x:c r="C34" s="117"/>
      <x:c r="D34" s="117"/>
      <x:c r="E34" s="117"/>
      <x:c r="F34" s="117"/>
      <x:c r="G34" s="117"/>
      <x:c r="H34" s="117"/>
      <x:c r="I34" s="117"/>
      <x:c r="J34" s="117"/>
      <x:c r="K34" s="117"/>
      <x:c r="L34" s="117"/>
      <x:c r="M34" s="117"/>
      <x:c r="N34" s="117"/>
      <x:c r="O34" s="117"/>
      <x:c r="P34" s="117"/>
      <x:c r="Q34" s="117"/>
      <x:c r="R34" s="117"/>
      <x:c r="S34" s="117"/>
      <x:c r="T34" s="117"/>
      <x:c r="U34" s="117"/>
      <x:c r="V34" s="117"/>
      <x:c r="W34" s="117"/>
      <x:c r="X34" s="117"/>
      <x:c r="Y34" s="117"/>
      <x:c r="Z34" s="117"/>
    </x:row>
    <x:row r="35">
      <x:c r="A35" s="1520" t="str">
        <x:v>画面遷移</x:v>
      </x:c>
      <x:c r="B35" s="1522" t="str">
        <x:v>LP→質問→Evidence→診断→A3プレビュー→PDF取得・相談の15画面を定義。</x:v>
      </x:c>
      <x:c r="C35" s="117"/>
      <x:c r="D35" s="117"/>
      <x:c r="E35" s="117"/>
      <x:c r="F35" s="117"/>
      <x:c r="G35" s="117"/>
      <x:c r="H35" s="117"/>
      <x:c r="I35" s="117"/>
      <x:c r="J35" s="117"/>
      <x:c r="K35" s="117"/>
      <x:c r="L35" s="117"/>
      <x:c r="M35" s="117"/>
      <x:c r="N35" s="117"/>
      <x:c r="O35" s="117"/>
      <x:c r="P35" s="117"/>
      <x:c r="Q35" s="117"/>
      <x:c r="R35" s="117"/>
      <x:c r="S35" s="117"/>
      <x:c r="T35" s="117"/>
      <x:c r="U35" s="117"/>
      <x:c r="V35" s="117"/>
      <x:c r="W35" s="117"/>
      <x:c r="X35" s="117"/>
      <x:c r="Y35" s="117"/>
      <x:c r="Z35" s="117"/>
    </x:row>
    <x:row r="36">
      <x:c r="A36" s="1520" t="str">
        <x:v>責任境界</x:v>
      </x:c>
      <x:c r="B36" s="1522" t="str">
        <x:v>採点・Guardrail・順位はルールエンジン、AIは承認済み文章の整文のみ。</x:v>
      </x:c>
      <x:c r="C36" s="117"/>
      <x:c r="D36" s="117"/>
      <x:c r="E36" s="117"/>
      <x:c r="F36" s="117"/>
      <x:c r="G36" s="117"/>
      <x:c r="H36" s="117"/>
      <x:c r="I36" s="117"/>
      <x:c r="J36" s="117"/>
      <x:c r="K36" s="117"/>
      <x:c r="L36" s="117"/>
      <x:c r="M36" s="117"/>
      <x:c r="N36" s="117"/>
      <x:c r="O36" s="117"/>
      <x:c r="P36" s="117"/>
      <x:c r="Q36" s="117"/>
      <x:c r="R36" s="117"/>
      <x:c r="S36" s="117"/>
      <x:c r="T36" s="117"/>
      <x:c r="U36" s="117"/>
      <x:c r="V36" s="117"/>
      <x:c r="W36" s="117"/>
      <x:c r="X36" s="117"/>
      <x:c r="Y36" s="117"/>
      <x:c r="Z36" s="117"/>
    </x:row>
    <x:row r="37">
      <x:c r="A37" s="1520" t="str">
        <x:v>再現性</x:v>
      </x:c>
      <x:c r="B37" s="1522" t="str">
        <x:v>質問票、算定式、Evidence、コメント、レポートの各Versionと監査ログを保持。</x:v>
      </x:c>
      <x:c r="C37" s="117"/>
      <x:c r="D37" s="117"/>
      <x:c r="E37" s="117"/>
      <x:c r="F37" s="117"/>
      <x:c r="G37" s="117"/>
      <x:c r="H37" s="117"/>
      <x:c r="I37" s="117"/>
      <x:c r="J37" s="117"/>
      <x:c r="K37" s="117"/>
      <x:c r="L37" s="117"/>
      <x:c r="M37" s="117"/>
      <x:c r="N37" s="117"/>
      <x:c r="O37" s="117"/>
      <x:c r="P37" s="117"/>
      <x:c r="Q37" s="117"/>
      <x:c r="R37" s="117"/>
      <x:c r="S37" s="117"/>
      <x:c r="T37" s="117"/>
      <x:c r="U37" s="117"/>
      <x:c r="V37" s="117"/>
      <x:c r="W37" s="117"/>
      <x:c r="X37" s="117"/>
      <x:c r="Y37" s="117"/>
      <x:c r="Z37" s="117"/>
    </x:row>
    <x:row r="38">
      <x:c r="A38" s="1523" t="str">
        <x:v>次段階</x:v>
      </x:c>
      <x:c r="B38" s="1525" t="str">
        <x:v>開発RFP・見積依頼用の要件定義書、またはLPデザインカンプへ展開。</x:v>
      </x:c>
      <x:c r="C38" s="117"/>
      <x:c r="D38" s="117"/>
      <x:c r="E38" s="117"/>
      <x:c r="F38" s="117"/>
      <x:c r="G38" s="117"/>
      <x:c r="H38" s="117"/>
      <x:c r="I38" s="117"/>
      <x:c r="J38" s="117"/>
      <x:c r="K38" s="117"/>
      <x:c r="L38" s="117"/>
      <x:c r="M38" s="117"/>
      <x:c r="N38" s="117"/>
      <x:c r="O38" s="117"/>
      <x:c r="P38" s="117"/>
      <x:c r="Q38" s="117"/>
      <x:c r="R38" s="117"/>
      <x:c r="S38" s="117"/>
      <x:c r="T38" s="117"/>
      <x:c r="U38" s="117"/>
      <x:c r="V38" s="117"/>
      <x:c r="W38" s="117"/>
      <x:c r="X38" s="117"/>
      <x:c r="Y38" s="117"/>
      <x:c r="Z38" s="117"/>
    </x:row>
    <x:row r="39">
      <x:c r="A39" s="1585" t="str">
        <x:v>提案依頼・選定仕様</x:v>
      </x:c>
      <x:c r="B39" s="1587" t="str">
        <x:v>25～29シートを追加し、開発会社の回答・見積・評価を標準化。</x:v>
      </x:c>
      <x:c r="C39" s="117"/>
      <x:c r="D39" s="117"/>
      <x:c r="E39" s="117"/>
      <x:c r="F39" s="117"/>
      <x:c r="G39" s="117"/>
      <x:c r="H39" s="117"/>
      <x:c r="I39" s="117"/>
      <x:c r="J39" s="117"/>
      <x:c r="K39" s="117"/>
      <x:c r="L39" s="117"/>
      <x:c r="M39" s="117"/>
      <x:c r="N39" s="117"/>
      <x:c r="O39" s="117"/>
      <x:c r="P39" s="117"/>
      <x:c r="Q39" s="117"/>
      <x:c r="R39" s="117"/>
      <x:c r="S39" s="117"/>
      <x:c r="T39" s="117"/>
      <x:c r="U39" s="117"/>
      <x:c r="V39" s="117"/>
      <x:c r="W39" s="117"/>
      <x:c r="X39" s="117"/>
      <x:c r="Y39" s="117"/>
      <x:c r="Z39" s="117"/>
    </x:row>
    <x:row r="40">
      <x:c r="A40" s="1588" t="str">
        <x:v>見積比較</x:v>
      </x:c>
      <x:c r="B40" s="1589" t="str">
        <x:v>初期費用、年間運用費、3年間TCO、必須・任意を分離。</x:v>
      </x:c>
      <x:c r="C40" s="117"/>
      <x:c r="D40" s="117"/>
      <x:c r="E40" s="117"/>
      <x:c r="F40" s="117"/>
      <x:c r="G40" s="117"/>
      <x:c r="H40" s="117"/>
      <x:c r="I40" s="117"/>
      <x:c r="J40" s="117"/>
      <x:c r="K40" s="117"/>
      <x:c r="L40" s="117"/>
      <x:c r="M40" s="117"/>
      <x:c r="N40" s="117"/>
      <x:c r="O40" s="117"/>
      <x:c r="P40" s="117"/>
      <x:c r="Q40" s="117"/>
      <x:c r="R40" s="117"/>
      <x:c r="S40" s="117"/>
      <x:c r="T40" s="117"/>
      <x:c r="U40" s="117"/>
      <x:c r="V40" s="117"/>
      <x:c r="W40" s="117"/>
      <x:c r="X40" s="117"/>
      <x:c r="Y40" s="117"/>
      <x:c r="Z40" s="117"/>
    </x:row>
    <x:row r="41">
      <x:c r="A41" s="1588" t="str">
        <x:v>提案評価</x:v>
      </x:c>
      <x:c r="B41" s="1589" t="str">
        <x:v>技術・AI統制・セキュリティ・帳票・体制・費用・契約を100%で評価。</x:v>
      </x:c>
      <x:c r="C41" s="117"/>
      <x:c r="D41" s="117"/>
      <x:c r="E41" s="117"/>
      <x:c r="F41" s="117"/>
      <x:c r="G41" s="117"/>
      <x:c r="H41" s="117"/>
      <x:c r="I41" s="117"/>
      <x:c r="J41" s="117"/>
      <x:c r="K41" s="117"/>
      <x:c r="L41" s="117"/>
      <x:c r="M41" s="117"/>
      <x:c r="N41" s="117"/>
      <x:c r="O41" s="117"/>
      <x:c r="P41" s="117"/>
      <x:c r="Q41" s="117"/>
      <x:c r="R41" s="117"/>
      <x:c r="S41" s="117"/>
      <x:c r="T41" s="117"/>
      <x:c r="U41" s="117"/>
      <x:c r="V41" s="117"/>
      <x:c r="W41" s="117"/>
      <x:c r="X41" s="117"/>
      <x:c r="Y41" s="117"/>
      <x:c r="Z41" s="117"/>
    </x:row>
    <x:row r="42">
      <x:c r="A42" s="1588" t="str">
        <x:v>段階開発</x:v>
      </x:c>
      <x:c r="B42" s="1589" t="str">
        <x:v>診断エンジンPoCを先行し、LP、帳票、管理、限定公開へ展開。</x:v>
      </x:c>
      <x:c r="C42" s="117"/>
      <x:c r="D42" s="117"/>
      <x:c r="E42" s="117"/>
      <x:c r="F42" s="117"/>
      <x:c r="G42" s="117"/>
      <x:c r="H42" s="117"/>
      <x:c r="I42" s="117"/>
      <x:c r="J42" s="117"/>
      <x:c r="K42" s="117"/>
      <x:c r="L42" s="117"/>
      <x:c r="M42" s="117"/>
      <x:c r="N42" s="117"/>
      <x:c r="O42" s="117"/>
      <x:c r="P42" s="117"/>
      <x:c r="Q42" s="117"/>
      <x:c r="R42" s="117"/>
      <x:c r="S42" s="117"/>
      <x:c r="T42" s="117"/>
      <x:c r="U42" s="117"/>
      <x:c r="V42" s="117"/>
      <x:c r="W42" s="117"/>
      <x:c r="X42" s="117"/>
      <x:c r="Y42" s="117"/>
      <x:c r="Z42" s="117"/>
    </x:row>
    <x:row r="43">
      <x:c r="A43" s="1590" t="str">
        <x:v>リスク管理</x:v>
      </x:c>
      <x:c r="B43" s="1592" t="str">
        <x:v>要件膨張、AI逸脱、機密漏えい、従量費、離脱率、相談CVを管理。</x:v>
      </x:c>
      <x:c r="C43" s="117"/>
      <x:c r="D43" s="117"/>
      <x:c r="E43" s="117"/>
      <x:c r="F43" s="117"/>
      <x:c r="G43" s="117"/>
      <x:c r="H43" s="117"/>
      <x:c r="I43" s="117"/>
      <x:c r="J43" s="117"/>
      <x:c r="K43" s="117"/>
      <x:c r="L43" s="117"/>
      <x:c r="M43" s="117"/>
      <x:c r="N43" s="117"/>
      <x:c r="O43" s="117"/>
      <x:c r="P43" s="117"/>
      <x:c r="Q43" s="117"/>
      <x:c r="R43" s="117"/>
      <x:c r="S43" s="117"/>
      <x:c r="T43" s="117"/>
      <x:c r="U43" s="117"/>
      <x:c r="V43" s="117"/>
      <x:c r="W43" s="117"/>
      <x:c r="X43" s="117"/>
      <x:c r="Y43" s="117"/>
      <x:c r="Z43" s="117"/>
    </x:row>
    <x:row r="44">
      <x:c r="A44" s="1659" t="str">
        <x:v>発注・実行管理</x:v>
      </x:c>
      <x:c r="B44" s="1661" t="str">
        <x:v>30～36シートを追加し、社内決裁からリリース判断までを管理。</x:v>
      </x:c>
      <x:c r="C44" s="117"/>
      <x:c r="D44" s="117"/>
      <x:c r="E44" s="117"/>
      <x:c r="F44" s="117"/>
      <x:c r="G44" s="117"/>
      <x:c r="H44" s="117"/>
      <x:c r="I44" s="117"/>
      <x:c r="J44" s="117"/>
      <x:c r="K44" s="117"/>
      <x:c r="L44" s="117"/>
      <x:c r="M44" s="117"/>
      <x:c r="N44" s="117"/>
      <x:c r="O44" s="117"/>
      <x:c r="P44" s="117"/>
      <x:c r="Q44" s="117"/>
      <x:c r="R44" s="117"/>
      <x:c r="S44" s="117"/>
      <x:c r="T44" s="117"/>
      <x:c r="U44" s="117"/>
      <x:c r="V44" s="117"/>
      <x:c r="W44" s="117"/>
      <x:c r="X44" s="117"/>
      <x:c r="Y44" s="117"/>
      <x:c r="Z44" s="117"/>
    </x:row>
    <x:row r="45">
      <x:c r="A45" s="1662" t="str">
        <x:v>段階投資</x:v>
      </x:c>
      <x:c r="B45" s="1663" t="str">
        <x:v>PoC合格後にLP・帳票・運用へ移行し、投資リスクを抑制。</x:v>
      </x:c>
      <x:c r="C45" s="117"/>
      <x:c r="D45" s="117"/>
      <x:c r="E45" s="117"/>
      <x:c r="F45" s="117"/>
      <x:c r="G45" s="117"/>
      <x:c r="H45" s="117"/>
      <x:c r="I45" s="117"/>
      <x:c r="J45" s="117"/>
      <x:c r="K45" s="117"/>
      <x:c r="L45" s="117"/>
      <x:c r="M45" s="117"/>
      <x:c r="N45" s="117"/>
      <x:c r="O45" s="117"/>
      <x:c r="P45" s="117"/>
      <x:c r="Q45" s="117"/>
      <x:c r="R45" s="117"/>
      <x:c r="S45" s="117"/>
      <x:c r="T45" s="117"/>
      <x:c r="U45" s="117"/>
      <x:c r="V45" s="117"/>
      <x:c r="W45" s="117"/>
      <x:c r="X45" s="117"/>
      <x:c r="Y45" s="117"/>
      <x:c r="Z45" s="117"/>
    </x:row>
    <x:row r="46">
      <x:c r="A46" s="1662" t="str">
        <x:v>パイロットKPI</x:v>
      </x:c>
      <x:c r="B46" s="1663" t="str">
        <x:v>完了率、Evidence添付、品質修正率、相談CV、原価、性能を3か月評価。</x:v>
      </x:c>
      <x:c r="C46" s="117"/>
      <x:c r="D46" s="117"/>
      <x:c r="E46" s="117"/>
      <x:c r="F46" s="117"/>
      <x:c r="G46" s="117"/>
      <x:c r="H46" s="117"/>
      <x:c r="I46" s="117"/>
      <x:c r="J46" s="117"/>
      <x:c r="K46" s="117"/>
      <x:c r="L46" s="117"/>
      <x:c r="M46" s="117"/>
      <x:c r="N46" s="117"/>
      <x:c r="O46" s="117"/>
      <x:c r="P46" s="117"/>
      <x:c r="Q46" s="117"/>
      <x:c r="R46" s="117"/>
      <x:c r="S46" s="117"/>
      <x:c r="T46" s="117"/>
      <x:c r="U46" s="117"/>
      <x:c r="V46" s="117"/>
      <x:c r="W46" s="117"/>
      <x:c r="X46" s="117"/>
      <x:c r="Y46" s="117"/>
      <x:c r="Z46" s="117"/>
    </x:row>
    <x:row r="47">
      <x:c r="A47" s="1662" t="str">
        <x:v>運用責任</x:v>
      </x:c>
      <x:c r="B47" s="1663" t="str">
        <x:v>診断ロジック、営業、運用、情報システム、開発会社のRACIを設定。</x:v>
      </x:c>
      <x:c r="C47" s="117"/>
      <x:c r="D47" s="117"/>
      <x:c r="E47" s="117"/>
      <x:c r="F47" s="117"/>
      <x:c r="G47" s="117"/>
      <x:c r="H47" s="117"/>
      <x:c r="I47" s="117"/>
      <x:c r="J47" s="117"/>
      <x:c r="K47" s="117"/>
      <x:c r="L47" s="117"/>
      <x:c r="M47" s="117"/>
      <x:c r="N47" s="117"/>
      <x:c r="O47" s="117"/>
      <x:c r="P47" s="117"/>
      <x:c r="Q47" s="117"/>
      <x:c r="R47" s="117"/>
      <x:c r="S47" s="117"/>
      <x:c r="T47" s="117"/>
      <x:c r="U47" s="117"/>
      <x:c r="V47" s="117"/>
      <x:c r="W47" s="117"/>
      <x:c r="X47" s="117"/>
      <x:c r="Y47" s="117"/>
      <x:c r="Z47" s="117"/>
    </x:row>
    <x:row r="48">
      <x:c r="A48" s="1662" t="str">
        <x:v>変更統制</x:v>
      </x:c>
      <x:c r="B48" s="1663" t="str">
        <x:v>質問、算定式、コメント、UI、帳票、システムをVersion・テスト・承認付きで変更。</x:v>
      </x:c>
      <x:c r="C48" s="117"/>
      <x:c r="D48" s="117"/>
      <x:c r="E48" s="117"/>
      <x:c r="F48" s="117"/>
      <x:c r="G48" s="117"/>
      <x:c r="H48" s="117"/>
      <x:c r="I48" s="117"/>
      <x:c r="J48" s="117"/>
      <x:c r="K48" s="117"/>
      <x:c r="L48" s="117"/>
      <x:c r="M48" s="117"/>
      <x:c r="N48" s="117"/>
      <x:c r="O48" s="117"/>
      <x:c r="P48" s="117"/>
      <x:c r="Q48" s="117"/>
      <x:c r="R48" s="117"/>
      <x:c r="S48" s="117"/>
      <x:c r="T48" s="117"/>
      <x:c r="U48" s="117"/>
      <x:c r="V48" s="117"/>
      <x:c r="W48" s="117"/>
      <x:c r="X48" s="117"/>
      <x:c r="Y48" s="117"/>
      <x:c r="Z48" s="117"/>
    </x:row>
    <x:row r="49">
      <x:c r="A49" s="1662" t="str">
        <x:v>契約統制</x:v>
      </x:c>
      <x:c r="B49" s="1663" t="str">
        <x:v>知財、データ、AI利用、再委託、セキュリティ、撤退性を発注前に確認。</x:v>
      </x:c>
      <x:c r="C49" s="117"/>
      <x:c r="D49" s="117"/>
      <x:c r="E49" s="117"/>
      <x:c r="F49" s="117"/>
      <x:c r="G49" s="117"/>
      <x:c r="H49" s="117"/>
      <x:c r="I49" s="117"/>
      <x:c r="J49" s="117"/>
      <x:c r="K49" s="117"/>
      <x:c r="L49" s="117"/>
      <x:c r="M49" s="117"/>
      <x:c r="N49" s="117"/>
      <x:c r="O49" s="117"/>
      <x:c r="P49" s="117"/>
      <x:c r="Q49" s="117"/>
      <x:c r="R49" s="117"/>
      <x:c r="S49" s="117"/>
      <x:c r="T49" s="117"/>
      <x:c r="U49" s="117"/>
      <x:c r="V49" s="117"/>
      <x:c r="W49" s="117"/>
      <x:c r="X49" s="117"/>
      <x:c r="Y49" s="117"/>
      <x:c r="Z49" s="117"/>
    </x:row>
    <x:row r="50">
      <x:c r="A50" s="1664" t="str">
        <x:v>リリース判断</x:v>
      </x:c>
      <x:c r="B50" s="1666" t="str">
        <x:v>各PhaseのS条件を満たさない場合は次工程へ進めない。</x:v>
      </x:c>
      <x:c r="C50" s="117"/>
      <x:c r="D50" s="117"/>
      <x:c r="E50" s="117"/>
      <x:c r="F50" s="117"/>
      <x:c r="G50" s="117"/>
      <x:c r="H50" s="117"/>
      <x:c r="I50" s="117"/>
      <x:c r="J50" s="117"/>
      <x:c r="K50" s="117"/>
      <x:c r="L50" s="117"/>
      <x:c r="M50" s="117"/>
      <x:c r="N50" s="117"/>
      <x:c r="O50" s="117"/>
      <x:c r="P50" s="117"/>
      <x:c r="Q50" s="117"/>
      <x:c r="R50" s="117"/>
      <x:c r="S50" s="117"/>
      <x:c r="T50" s="117"/>
      <x:c r="U50" s="117"/>
      <x:c r="V50" s="117"/>
      <x:c r="W50" s="117"/>
      <x:c r="X50" s="117"/>
      <x:c r="Y50" s="117"/>
      <x:c r="Z50" s="117"/>
    </x:row>
    <x:row r="51">
      <x:c r="A51" s="1718" t="str">
        <x:v>Version1.0 Baseline</x:v>
      </x:c>
      <x:c r="B51" s="1720" t="str">
        <x:v>本WorkbookをEnergy Doctor LP自己診断・採点システムのVersion1.0 Baselineとする。</x:v>
      </x:c>
      <x:c r="C51" s="117"/>
      <x:c r="D51" s="117"/>
      <x:c r="E51" s="117"/>
      <x:c r="F51" s="117"/>
      <x:c r="G51" s="117"/>
      <x:c r="H51" s="117"/>
      <x:c r="I51" s="117"/>
      <x:c r="J51" s="117"/>
      <x:c r="K51" s="117"/>
      <x:c r="L51" s="117"/>
      <x:c r="M51" s="117"/>
      <x:c r="N51" s="117"/>
      <x:c r="O51" s="117"/>
      <x:c r="P51" s="117"/>
      <x:c r="Q51" s="117"/>
      <x:c r="R51" s="117"/>
      <x:c r="S51" s="117"/>
      <x:c r="T51" s="117"/>
      <x:c r="U51" s="117"/>
      <x:c r="V51" s="117"/>
      <x:c r="W51" s="117"/>
      <x:c r="X51" s="117"/>
      <x:c r="Y51" s="117"/>
      <x:c r="Z51" s="117"/>
    </x:row>
    <x:row r="52">
      <x:c r="A52" s="1721" t="str">
        <x:v>Hard Freeze</x:v>
      </x:c>
      <x:c r="B52" s="1722" t="str">
        <x:v>5指標、正式算定式、Guardrail、L0～L3、AI責任範囲、A3帳票を凍結。</x:v>
      </x:c>
      <x:c r="C52" s="117"/>
      <x:c r="D52" s="117"/>
      <x:c r="E52" s="117"/>
      <x:c r="F52" s="117"/>
      <x:c r="G52" s="117"/>
      <x:c r="H52" s="117"/>
      <x:c r="I52" s="117"/>
      <x:c r="J52" s="117"/>
      <x:c r="K52" s="117"/>
      <x:c r="L52" s="117"/>
      <x:c r="M52" s="117"/>
      <x:c r="N52" s="117"/>
      <x:c r="O52" s="117"/>
      <x:c r="P52" s="117"/>
      <x:c r="Q52" s="117"/>
      <x:c r="R52" s="117"/>
      <x:c r="S52" s="117"/>
      <x:c r="T52" s="117"/>
      <x:c r="U52" s="117"/>
      <x:c r="V52" s="117"/>
      <x:c r="W52" s="117"/>
      <x:c r="X52" s="117"/>
      <x:c r="Y52" s="117"/>
      <x:c r="Z52" s="117"/>
    </x:row>
    <x:row r="53">
      <x:c r="A53" s="1721" t="str">
        <x:v>Soft Freeze</x:v>
      </x:c>
      <x:c r="B53" s="1722" t="str">
        <x:v>質問・UI・システム方式はFit&amp;Gapを経て、思想・算定を変えない範囲で具体化可能。</x:v>
      </x:c>
      <x:c r="C53" s="117"/>
      <x:c r="D53" s="117"/>
      <x:c r="E53" s="117"/>
      <x:c r="F53" s="117"/>
      <x:c r="G53" s="117"/>
      <x:c r="H53" s="117"/>
      <x:c r="I53" s="117"/>
      <x:c r="J53" s="117"/>
      <x:c r="K53" s="117"/>
      <x:c r="L53" s="117"/>
      <x:c r="M53" s="117"/>
      <x:c r="N53" s="117"/>
      <x:c r="O53" s="117"/>
      <x:c r="P53" s="117"/>
      <x:c r="Q53" s="117"/>
      <x:c r="R53" s="117"/>
      <x:c r="S53" s="117"/>
      <x:c r="T53" s="117"/>
      <x:c r="U53" s="117"/>
      <x:c r="V53" s="117"/>
      <x:c r="W53" s="117"/>
      <x:c r="X53" s="117"/>
      <x:c r="Y53" s="117"/>
      <x:c r="Z53" s="117"/>
    </x:row>
    <x:row r="54">
      <x:c r="A54" s="1721" t="str">
        <x:v>成果物統制</x:v>
      </x:c>
      <x:c r="B54" s="1722" t="str">
        <x:v>37_成果物マスターを正本一覧、38_Baseline_Freezeを凍結管理の正とする。</x:v>
      </x:c>
      <x:c r="C54" s="117"/>
      <x:c r="D54" s="117"/>
      <x:c r="E54" s="117"/>
      <x:c r="F54" s="117"/>
      <x:c r="G54" s="117"/>
      <x:c r="H54" s="117"/>
      <x:c r="I54" s="117"/>
      <x:c r="J54" s="117"/>
      <x:c r="K54" s="117"/>
      <x:c r="L54" s="117"/>
      <x:c r="M54" s="117"/>
      <x:c r="N54" s="117"/>
      <x:c r="O54" s="117"/>
      <x:c r="P54" s="117"/>
      <x:c r="Q54" s="117"/>
      <x:c r="R54" s="117"/>
      <x:c r="S54" s="117"/>
      <x:c r="T54" s="117"/>
      <x:c r="U54" s="117"/>
      <x:c r="V54" s="117"/>
      <x:c r="W54" s="117"/>
      <x:c r="X54" s="117"/>
      <x:c r="Y54" s="117"/>
      <x:c r="Z54" s="117"/>
    </x:row>
    <x:row r="55">
      <x:c r="A55" s="1721" t="str">
        <x:v>実装統制</x:v>
      </x:c>
      <x:c r="B55" s="1722" t="str">
        <x:v>39_開発バックログと40_要件トレーサビリティを開発・受入の基準とする。</x:v>
      </x:c>
      <x:c r="C55" s="117"/>
      <x:c r="D55" s="117"/>
      <x:c r="E55" s="117"/>
      <x:c r="F55" s="117"/>
      <x:c r="G55" s="117"/>
      <x:c r="H55" s="117"/>
      <x:c r="I55" s="117"/>
      <x:c r="J55" s="117"/>
      <x:c r="K55" s="117"/>
      <x:c r="L55" s="117"/>
      <x:c r="M55" s="117"/>
      <x:c r="N55" s="117"/>
      <x:c r="O55" s="117"/>
      <x:c r="P55" s="117"/>
      <x:c r="Q55" s="117"/>
      <x:c r="R55" s="117"/>
      <x:c r="S55" s="117"/>
      <x:c r="T55" s="117"/>
      <x:c r="U55" s="117"/>
      <x:c r="V55" s="117"/>
      <x:c r="W55" s="117"/>
      <x:c r="X55" s="117"/>
      <x:c r="Y55" s="117"/>
      <x:c r="Z55" s="117"/>
    </x:row>
    <x:row r="56">
      <x:c r="A56" s="1721" t="str">
        <x:v>次工程</x:v>
      </x:c>
      <x:c r="B56" s="1722" t="str">
        <x:v>社内決裁後、RFP発行、Fit&amp;Gap、ベンダー選定、Phase1 PoCへ進む。</x:v>
      </x:c>
      <x:c r="C56" s="117"/>
      <x:c r="D56" s="117"/>
      <x:c r="E56" s="117"/>
      <x:c r="F56" s="117"/>
      <x:c r="G56" s="117"/>
      <x:c r="H56" s="117"/>
      <x:c r="I56" s="117"/>
      <x:c r="J56" s="117"/>
      <x:c r="K56" s="117"/>
      <x:c r="L56" s="117"/>
      <x:c r="M56" s="117"/>
      <x:c r="N56" s="117"/>
      <x:c r="O56" s="117"/>
      <x:c r="P56" s="117"/>
      <x:c r="Q56" s="117"/>
      <x:c r="R56" s="117"/>
      <x:c r="S56" s="117"/>
      <x:c r="T56" s="117"/>
      <x:c r="U56" s="117"/>
      <x:c r="V56" s="117"/>
      <x:c r="W56" s="117"/>
      <x:c r="X56" s="117"/>
      <x:c r="Y56" s="117"/>
      <x:c r="Z56" s="117"/>
    </x:row>
    <x:row r="57">
      <x:c r="A57" s="1723" t="str">
        <x:v>Baseline日</x:v>
      </x:c>
      <x:c r="B57" s="1725" t="str">
        <x:v>2026年7月26日</x:v>
      </x:c>
      <x:c r="C57" s="117"/>
      <x:c r="D57" s="117"/>
      <x:c r="E57" s="117"/>
      <x:c r="F57" s="117"/>
      <x:c r="G57" s="117"/>
      <x:c r="H57" s="117"/>
      <x:c r="I57" s="117"/>
      <x:c r="J57" s="117"/>
      <x:c r="K57" s="117"/>
      <x:c r="L57" s="117"/>
      <x:c r="M57" s="117"/>
      <x:c r="N57" s="117"/>
      <x:c r="O57" s="117"/>
      <x:c r="P57" s="117"/>
      <x:c r="Q57" s="117"/>
      <x:c r="R57" s="117"/>
      <x:c r="S57" s="117"/>
      <x:c r="T57" s="117"/>
      <x:c r="U57" s="117"/>
      <x:c r="V57" s="117"/>
      <x:c r="W57" s="117"/>
      <x:c r="X57" s="117"/>
      <x:c r="Y57" s="117"/>
      <x:c r="Z57" s="117"/>
    </x:row>
    <x:row r="58">
      <x:c r="A58" s="1993" t="str">
        <x:v>Version1.1方針</x:v>
      </x:c>
      <x:c r="B58" s="1995" t="str">
        <x:v>外部開発費をかけず、社内ノーコード・ローコードで内製する。</x:v>
      </x:c>
      <x:c r="C58" s="117"/>
      <x:c r="D58" s="117"/>
      <x:c r="E58" s="117"/>
      <x:c r="F58" s="117"/>
      <x:c r="G58" s="117"/>
      <x:c r="H58" s="117"/>
      <x:c r="I58" s="117"/>
      <x:c r="J58" s="117"/>
      <x:c r="K58" s="117"/>
      <x:c r="L58" s="117"/>
      <x:c r="M58" s="117"/>
      <x:c r="N58" s="117"/>
      <x:c r="O58" s="117"/>
      <x:c r="P58" s="117"/>
      <x:c r="Q58" s="117"/>
      <x:c r="R58" s="117"/>
      <x:c r="S58" s="117"/>
      <x:c r="T58" s="117"/>
      <x:c r="U58" s="117"/>
      <x:c r="V58" s="117"/>
      <x:c r="W58" s="117"/>
      <x:c r="X58" s="117"/>
      <x:c r="Y58" s="117"/>
      <x:c r="Z58" s="117"/>
    </x:row>
    <x:row r="59">
      <x:c r="A59" s="1996" t="str">
        <x:v>事業モデル</x:v>
      </x:c>
      <x:c r="B59" s="1997" t="str">
        <x:v>総合インサイト営業のリードメニューとして月数件から開始し、積極告知は行わない。</x:v>
      </x:c>
      <x:c r="C59" s="117"/>
      <x:c r="D59" s="117"/>
      <x:c r="E59" s="117"/>
      <x:c r="F59" s="117"/>
      <x:c r="G59" s="117"/>
      <x:c r="H59" s="117"/>
      <x:c r="I59" s="117"/>
      <x:c r="J59" s="117"/>
      <x:c r="K59" s="117"/>
      <x:c r="L59" s="117"/>
      <x:c r="M59" s="117"/>
      <x:c r="N59" s="117"/>
      <x:c r="O59" s="117"/>
      <x:c r="P59" s="117"/>
      <x:c r="Q59" s="117"/>
      <x:c r="R59" s="117"/>
      <x:c r="S59" s="117"/>
      <x:c r="T59" s="117"/>
      <x:c r="U59" s="117"/>
      <x:c r="V59" s="117"/>
      <x:c r="W59" s="117"/>
      <x:c r="X59" s="117"/>
      <x:c r="Y59" s="117"/>
      <x:c r="Z59" s="117"/>
    </x:row>
    <x:row r="60">
      <x:c r="A60" s="1996" t="str">
        <x:v>公開Web</x:v>
      </x:c>
      <x:c r="B60" s="1997" t="str">
        <x:v>営業担当から個別案内する公開LP・フォームとし、入力後は社内個別対応。</x:v>
      </x:c>
      <x:c r="C60" s="117"/>
      <x:c r="D60" s="117"/>
      <x:c r="E60" s="117"/>
      <x:c r="F60" s="117"/>
      <x:c r="G60" s="117"/>
      <x:c r="H60" s="117"/>
      <x:c r="I60" s="117"/>
      <x:c r="J60" s="117"/>
      <x:c r="K60" s="117"/>
      <x:c r="L60" s="117"/>
      <x:c r="M60" s="117"/>
      <x:c r="N60" s="117"/>
      <x:c r="O60" s="117"/>
      <x:c r="P60" s="117"/>
      <x:c r="Q60" s="117"/>
      <x:c r="R60" s="117"/>
      <x:c r="S60" s="117"/>
      <x:c r="T60" s="117"/>
      <x:c r="U60" s="117"/>
      <x:c r="V60" s="117"/>
      <x:c r="W60" s="117"/>
      <x:c r="X60" s="117"/>
      <x:c r="Y60" s="117"/>
      <x:c r="Z60" s="117"/>
    </x:row>
    <x:row r="61">
      <x:c r="A61" s="1996" t="str">
        <x:v>レポート要求</x:v>
      </x:c>
      <x:c r="B61" s="1997" t="str">
        <x:v>顧客がメールでA3レポートを要求後、社内確認のうえ個別発行する。</x:v>
      </x:c>
      <x:c r="C61" s="117"/>
      <x:c r="D61" s="117"/>
      <x:c r="E61" s="117"/>
      <x:c r="F61" s="117"/>
      <x:c r="G61" s="117"/>
      <x:c r="H61" s="117"/>
      <x:c r="I61" s="117"/>
      <x:c r="J61" s="117"/>
      <x:c r="K61" s="117"/>
      <x:c r="L61" s="117"/>
      <x:c r="M61" s="117"/>
      <x:c r="N61" s="117"/>
      <x:c r="O61" s="117"/>
      <x:c r="P61" s="117"/>
      <x:c r="Q61" s="117"/>
      <x:c r="R61" s="117"/>
      <x:c r="S61" s="117"/>
      <x:c r="T61" s="117"/>
      <x:c r="U61" s="117"/>
      <x:c r="V61" s="117"/>
      <x:c r="W61" s="117"/>
      <x:c r="X61" s="117"/>
      <x:c r="Y61" s="117"/>
      <x:c r="Z61" s="117"/>
    </x:row>
    <x:row r="62">
      <x:c r="A62" s="1996" t="str">
        <x:v>顧客接触</x:v>
      </x:c>
      <x:c r="B62" s="1997" t="str">
        <x:v>メール送付後、電話または訪問を含む通常営業でフォローする。</x:v>
      </x:c>
      <x:c r="C62" s="117"/>
      <x:c r="D62" s="117"/>
      <x:c r="E62" s="117"/>
      <x:c r="F62" s="117"/>
      <x:c r="G62" s="117"/>
      <x:c r="H62" s="117"/>
      <x:c r="I62" s="117"/>
      <x:c r="J62" s="117"/>
      <x:c r="K62" s="117"/>
      <x:c r="L62" s="117"/>
      <x:c r="M62" s="117"/>
      <x:c r="N62" s="117"/>
      <x:c r="O62" s="117"/>
      <x:c r="P62" s="117"/>
      <x:c r="Q62" s="117"/>
      <x:c r="R62" s="117"/>
      <x:c r="S62" s="117"/>
      <x:c r="T62" s="117"/>
      <x:c r="U62" s="117"/>
      <x:c r="V62" s="117"/>
      <x:c r="W62" s="117"/>
      <x:c r="X62" s="117"/>
      <x:c r="Y62" s="117"/>
      <x:c r="Z62" s="117"/>
    </x:row>
    <x:row r="63">
      <x:c r="A63" s="1996" t="str">
        <x:v>秘密情報</x:v>
      </x:c>
      <x:c r="B63" s="1997" t="str">
        <x:v>アップロード情報は通常営業と同等の秘密情報として取り扱う。</x:v>
      </x:c>
      <x:c r="C63" s="117"/>
      <x:c r="D63" s="117"/>
      <x:c r="E63" s="117"/>
      <x:c r="F63" s="117"/>
      <x:c r="G63" s="117"/>
      <x:c r="H63" s="117"/>
      <x:c r="I63" s="117"/>
      <x:c r="J63" s="117"/>
      <x:c r="K63" s="117"/>
      <x:c r="L63" s="117"/>
      <x:c r="M63" s="117"/>
      <x:c r="N63" s="117"/>
      <x:c r="O63" s="117"/>
      <x:c r="P63" s="117"/>
      <x:c r="Q63" s="117"/>
      <x:c r="R63" s="117"/>
      <x:c r="S63" s="117"/>
      <x:c r="T63" s="117"/>
      <x:c r="U63" s="117"/>
      <x:c r="V63" s="117"/>
      <x:c r="W63" s="117"/>
      <x:c r="X63" s="117"/>
      <x:c r="Y63" s="117"/>
      <x:c r="Z63" s="117"/>
    </x:row>
    <x:row r="64">
      <x:c r="A64" s="1996" t="str">
        <x:v>AI協業</x:v>
      </x:c>
      <x:c r="B64" s="1997" t="str">
        <x:v>設計・実装・下書き・運用支援に活用し、判断・承認・正式発行は人が担う。</x:v>
      </x:c>
      <x:c r="C64" s="117"/>
      <x:c r="D64" s="117"/>
      <x:c r="E64" s="117"/>
      <x:c r="F64" s="117"/>
      <x:c r="G64" s="117"/>
      <x:c r="H64" s="117"/>
      <x:c r="I64" s="117"/>
      <x:c r="J64" s="117"/>
      <x:c r="K64" s="117"/>
      <x:c r="L64" s="117"/>
      <x:c r="M64" s="117"/>
      <x:c r="N64" s="117"/>
      <x:c r="O64" s="117"/>
      <x:c r="P64" s="117"/>
      <x:c r="Q64" s="117"/>
      <x:c r="R64" s="117"/>
      <x:c r="S64" s="117"/>
      <x:c r="T64" s="117"/>
      <x:c r="U64" s="117"/>
      <x:c r="V64" s="117"/>
      <x:c r="W64" s="117"/>
      <x:c r="X64" s="117"/>
      <x:c r="Y64" s="117"/>
      <x:c r="Z64" s="117"/>
    </x:row>
    <x:row r="65">
      <x:c r="A65" s="1998" t="str">
        <x:v>追加費用</x:v>
      </x:c>
      <x:c r="B65" s="2000" t="str">
        <x:v>既存ライセンス・既存基盤を優先し、追加費用は個別承認制とする。</x:v>
      </x:c>
      <x:c r="C65" s="117"/>
      <x:c r="D65" s="117"/>
      <x:c r="E65" s="117"/>
      <x:c r="F65" s="117"/>
      <x:c r="G65" s="117"/>
      <x:c r="H65" s="117"/>
      <x:c r="I65" s="117"/>
      <x:c r="J65" s="117"/>
      <x:c r="K65" s="117"/>
      <x:c r="L65" s="117"/>
      <x:c r="M65" s="117"/>
      <x:c r="N65" s="117"/>
      <x:c r="O65" s="117"/>
      <x:c r="P65" s="117"/>
      <x:c r="Q65" s="117"/>
      <x:c r="R65" s="117"/>
      <x:c r="S65" s="117"/>
      <x:c r="T65" s="117"/>
      <x:c r="U65" s="117"/>
      <x:c r="V65" s="117"/>
      <x:c r="W65" s="117"/>
      <x:c r="X65" s="117"/>
      <x:c r="Y65" s="117"/>
      <x:c r="Z65" s="117"/>
    </x:row>
    <x:row r="66">
      <x:c r="A66" s="2051" t="str">
        <x:v>フォーム・資料分離</x:v>
      </x:c>
      <x:c r="B66" s="2053" t="str">
        <x:v>公開フォームには顧客ファイルを添付させず、資料はメール・電話・訪問後に個別受領する。</x:v>
      </x:c>
      <x:c r="C66" s="117"/>
      <x:c r="D66" s="117"/>
      <x:c r="E66" s="117"/>
      <x:c r="F66" s="117"/>
      <x:c r="G66" s="117"/>
      <x:c r="H66" s="117"/>
      <x:c r="I66" s="117"/>
      <x:c r="J66" s="117"/>
      <x:c r="K66" s="117"/>
      <x:c r="L66" s="117"/>
      <x:c r="M66" s="117"/>
      <x:c r="N66" s="117"/>
      <x:c r="O66" s="117"/>
      <x:c r="P66" s="117"/>
      <x:c r="Q66" s="117"/>
      <x:c r="R66" s="117"/>
      <x:c r="S66" s="117"/>
      <x:c r="T66" s="117"/>
      <x:c r="U66" s="117"/>
      <x:c r="V66" s="117"/>
      <x:c r="W66" s="117"/>
      <x:c r="X66" s="117"/>
      <x:c r="Y66" s="117"/>
      <x:c r="Z66" s="117"/>
    </x:row>
    <x:row r="67">
      <x:c r="A67" s="2054" t="str">
        <x:v>AI資料利用</x:v>
      </x:c>
      <x:c r="B67" s="2055" t="str">
        <x:v>ナレナビ等の確認済みAIサービスでは、顧客資料を統制下で投入可能とする。</x:v>
      </x:c>
      <x:c r="C67" s="117"/>
      <x:c r="D67" s="117"/>
      <x:c r="E67" s="117"/>
      <x:c r="F67" s="117"/>
      <x:c r="G67" s="117"/>
      <x:c r="H67" s="117"/>
      <x:c r="I67" s="117"/>
      <x:c r="J67" s="117"/>
      <x:c r="K67" s="117"/>
      <x:c r="L67" s="117"/>
      <x:c r="M67" s="117"/>
      <x:c r="N67" s="117"/>
      <x:c r="O67" s="117"/>
      <x:c r="P67" s="117"/>
      <x:c r="Q67" s="117"/>
      <x:c r="R67" s="117"/>
      <x:c r="S67" s="117"/>
      <x:c r="T67" s="117"/>
      <x:c r="U67" s="117"/>
      <x:c r="V67" s="117"/>
      <x:c r="W67" s="117"/>
      <x:c r="X67" s="117"/>
      <x:c r="Y67" s="117"/>
      <x:c r="Z67" s="117"/>
    </x:row>
    <x:row r="68">
      <x:c r="A68" s="2054" t="str">
        <x:v>AI利用条件</x:v>
      </x:c>
      <x:c r="B68" s="2055" t="str">
        <x:v>学習利用、保存期間、管理者履歴、利用者権限、ファイル投入、削除、社内規程適合を確認済みとする。</x:v>
      </x:c>
      <x:c r="C68" s="117"/>
      <x:c r="D68" s="117"/>
      <x:c r="E68" s="117"/>
      <x:c r="F68" s="117"/>
      <x:c r="G68" s="117"/>
      <x:c r="H68" s="117"/>
      <x:c r="I68" s="117"/>
      <x:c r="J68" s="117"/>
      <x:c r="K68" s="117"/>
      <x:c r="L68" s="117"/>
      <x:c r="M68" s="117"/>
      <x:c r="N68" s="117"/>
      <x:c r="O68" s="117"/>
      <x:c r="P68" s="117"/>
      <x:c r="Q68" s="117"/>
      <x:c r="R68" s="117"/>
      <x:c r="S68" s="117"/>
      <x:c r="T68" s="117"/>
      <x:c r="U68" s="117"/>
      <x:c r="V68" s="117"/>
      <x:c r="W68" s="117"/>
      <x:c r="X68" s="117"/>
      <x:c r="Y68" s="117"/>
      <x:c r="Z68" s="117"/>
    </x:row>
    <x:row r="69">
      <x:c r="A69" s="2056" t="str">
        <x:v>投入統制</x:v>
      </x:c>
      <x:c r="B69" s="2058" t="str">
        <x:v>案件目的、必要最小限、承認利用者、処理記録、出力レビュー、削除を必須とする。</x:v>
      </x:c>
      <x:c r="C69" s="117"/>
      <x:c r="D69" s="117"/>
      <x:c r="E69" s="117"/>
      <x:c r="F69" s="117"/>
      <x:c r="G69" s="117"/>
      <x:c r="H69" s="117"/>
      <x:c r="I69" s="117"/>
      <x:c r="J69" s="117"/>
      <x:c r="K69" s="117"/>
      <x:c r="L69" s="117"/>
      <x:c r="M69" s="117"/>
      <x:c r="N69" s="117"/>
      <x:c r="O69" s="117"/>
      <x:c r="P69" s="117"/>
      <x:c r="Q69" s="117"/>
      <x:c r="R69" s="117"/>
      <x:c r="S69" s="117"/>
      <x:c r="T69" s="117"/>
      <x:c r="U69" s="117"/>
      <x:c r="V69" s="117"/>
      <x:c r="W69" s="117"/>
      <x:c r="X69" s="117"/>
      <x:c r="Y69" s="117"/>
      <x:c r="Z69" s="117"/>
    </x:row>
    <x:row r="70">
      <x:c r="A70" s="2114" t="str">
        <x:v>Version1.3目的</x:v>
      </x:c>
      <x:c r="B70" s="2116" t="str">
        <x:v>Stage0の社内環境確認とStage1社内MVPの実装・受入条件を確定する。</x:v>
      </x:c>
      <x:c r="C70" s="117"/>
      <x:c r="D70" s="117"/>
      <x:c r="E70" s="117"/>
      <x:c r="F70" s="117"/>
      <x:c r="G70" s="117"/>
      <x:c r="H70" s="117"/>
      <x:c r="I70" s="117"/>
      <x:c r="J70" s="117"/>
      <x:c r="K70" s="117"/>
      <x:c r="L70" s="117"/>
      <x:c r="M70" s="117"/>
      <x:c r="N70" s="117"/>
      <x:c r="O70" s="117"/>
      <x:c r="P70" s="117"/>
      <x:c r="Q70" s="117"/>
      <x:c r="R70" s="117"/>
      <x:c r="S70" s="117"/>
      <x:c r="T70" s="117"/>
      <x:c r="U70" s="117"/>
      <x:c r="V70" s="117"/>
      <x:c r="W70" s="117"/>
      <x:c r="X70" s="117"/>
      <x:c r="Y70" s="117"/>
      <x:c r="Z70" s="117"/>
    </x:row>
    <x:row r="71">
      <x:c r="A71" s="2117" t="str">
        <x:v>Stage0正本</x:v>
      </x:c>
      <x:c r="B71" s="2118" t="str">
        <x:v>51_Stage0情シス確認票を情報システムとの確認記録の正とする。</x:v>
      </x:c>
      <x:c r="C71" s="117"/>
      <x:c r="D71" s="117"/>
      <x:c r="E71" s="117"/>
      <x:c r="F71" s="117"/>
      <x:c r="G71" s="117"/>
      <x:c r="H71" s="117"/>
      <x:c r="I71" s="117"/>
      <x:c r="J71" s="117"/>
      <x:c r="K71" s="117"/>
      <x:c r="L71" s="117"/>
      <x:c r="M71" s="117"/>
      <x:c r="N71" s="117"/>
      <x:c r="O71" s="117"/>
      <x:c r="P71" s="117"/>
      <x:c r="Q71" s="117"/>
      <x:c r="R71" s="117"/>
      <x:c r="S71" s="117"/>
      <x:c r="T71" s="117"/>
      <x:c r="U71" s="117"/>
      <x:c r="V71" s="117"/>
      <x:c r="W71" s="117"/>
      <x:c r="X71" s="117"/>
      <x:c r="Y71" s="117"/>
      <x:c r="Z71" s="117"/>
    </x:row>
    <x:row r="72">
      <x:c r="A72" s="2117" t="str">
        <x:v>Stage1正本</x:v>
      </x:c>
      <x:c r="B72" s="2118" t="str">
        <x:v>52_Stage1実装仕様、53_データ項目、54_運用台帳、55_受入テストを正とする。</x:v>
      </x:c>
      <x:c r="C72" s="117"/>
      <x:c r="D72" s="117"/>
      <x:c r="E72" s="117"/>
      <x:c r="F72" s="117"/>
      <x:c r="G72" s="117"/>
      <x:c r="H72" s="117"/>
      <x:c r="I72" s="117"/>
      <x:c r="J72" s="117"/>
      <x:c r="K72" s="117"/>
      <x:c r="L72" s="117"/>
      <x:c r="M72" s="117"/>
      <x:c r="N72" s="117"/>
      <x:c r="O72" s="117"/>
      <x:c r="P72" s="117"/>
      <x:c r="Q72" s="117"/>
      <x:c r="R72" s="117"/>
      <x:c r="S72" s="117"/>
      <x:c r="T72" s="117"/>
      <x:c r="U72" s="117"/>
      <x:c r="V72" s="117"/>
      <x:c r="W72" s="117"/>
      <x:c r="X72" s="117"/>
      <x:c r="Y72" s="117"/>
      <x:c r="Z72" s="117"/>
    </x:row>
    <x:row r="73">
      <x:c r="A73" s="2117" t="str">
        <x:v>実装順序</x:v>
      </x:c>
      <x:c r="B73" s="2118" t="str">
        <x:v>公開Webより先に、社内入力からA3発行までのMVPを完成させる。</x:v>
      </x:c>
      <x:c r="C73" s="117"/>
      <x:c r="D73" s="117"/>
      <x:c r="E73" s="117"/>
      <x:c r="F73" s="117"/>
      <x:c r="G73" s="117"/>
      <x:c r="H73" s="117"/>
      <x:c r="I73" s="117"/>
      <x:c r="J73" s="117"/>
      <x:c r="K73" s="117"/>
      <x:c r="L73" s="117"/>
      <x:c r="M73" s="117"/>
      <x:c r="N73" s="117"/>
      <x:c r="O73" s="117"/>
      <x:c r="P73" s="117"/>
      <x:c r="Q73" s="117"/>
      <x:c r="R73" s="117"/>
      <x:c r="S73" s="117"/>
      <x:c r="T73" s="117"/>
      <x:c r="U73" s="117"/>
      <x:c r="V73" s="117"/>
      <x:c r="W73" s="117"/>
      <x:c r="X73" s="117"/>
      <x:c r="Y73" s="117"/>
      <x:c r="Z73" s="117"/>
    </x:row>
    <x:row r="74">
      <x:c r="A74" s="2119" t="str">
        <x:v>Stage1 Gate</x:v>
      </x:c>
      <x:c r="B74" s="2121" t="str">
        <x:v>55のSランク項目合格と模擬3件処理後にStage2公開Webへ進む。</x:v>
      </x:c>
      <x:c r="C74" s="117"/>
      <x:c r="D74" s="117"/>
      <x:c r="E74" s="117"/>
      <x:c r="F74" s="117"/>
      <x:c r="G74" s="117"/>
      <x:c r="H74" s="117"/>
      <x:c r="I74" s="117"/>
      <x:c r="J74" s="117"/>
      <x:c r="K74" s="117"/>
      <x:c r="L74" s="117"/>
      <x:c r="M74" s="117"/>
      <x:c r="N74" s="117"/>
      <x:c r="O74" s="117"/>
      <x:c r="P74" s="117"/>
      <x:c r="Q74" s="117"/>
      <x:c r="R74" s="117"/>
      <x:c r="S74" s="117"/>
      <x:c r="T74" s="117"/>
      <x:c r="U74" s="117"/>
      <x:c r="V74" s="117"/>
      <x:c r="W74" s="117"/>
      <x:c r="X74" s="117"/>
      <x:c r="Y74" s="117"/>
      <x:c r="Z74" s="117"/>
    </x:row>
    <x:row r="75">
      <x:c r="A75" s="2141" t="str">
        <x:v>Version1.4方針</x:v>
      </x:c>
      <x:c r="B75" s="2143" t="str">
        <x:v>公開WebはStage1Aで先行して完成・公開する。</x:v>
      </x:c>
      <x:c r="C75" s="117"/>
      <x:c r="D75" s="117"/>
      <x:c r="E75" s="117"/>
      <x:c r="F75" s="117"/>
      <x:c r="G75" s="117"/>
      <x:c r="H75" s="117"/>
      <x:c r="I75" s="117"/>
      <x:c r="J75" s="117"/>
      <x:c r="K75" s="117"/>
      <x:c r="L75" s="117"/>
      <x:c r="M75" s="117"/>
      <x:c r="N75" s="117"/>
      <x:c r="O75" s="117"/>
      <x:c r="P75" s="117"/>
      <x:c r="Q75" s="117"/>
      <x:c r="R75" s="117"/>
      <x:c r="S75" s="117"/>
      <x:c r="T75" s="117"/>
      <x:c r="U75" s="117"/>
      <x:c r="V75" s="117"/>
      <x:c r="W75" s="117"/>
      <x:c r="X75" s="117"/>
      <x:c r="Y75" s="117"/>
      <x:c r="Z75" s="117"/>
    </x:row>
    <x:row r="76">
      <x:c r="A76" s="2144" t="str">
        <x:v>期間外運用</x:v>
      </x:c>
      <x:c r="B76" s="2145" t="str">
        <x:v>公開後も一般受付は停止し、準備中または受付期間外として表示する。</x:v>
      </x:c>
      <x:c r="C76" s="117"/>
      <x:c r="D76" s="117"/>
      <x:c r="E76" s="117"/>
      <x:c r="F76" s="117"/>
      <x:c r="G76" s="117"/>
      <x:c r="H76" s="117"/>
      <x:c r="I76" s="117"/>
      <x:c r="J76" s="117"/>
      <x:c r="K76" s="117"/>
      <x:c r="L76" s="117"/>
      <x:c r="M76" s="117"/>
      <x:c r="N76" s="117"/>
      <x:c r="O76" s="117"/>
      <x:c r="P76" s="117"/>
      <x:c r="Q76" s="117"/>
      <x:c r="R76" s="117"/>
      <x:c r="S76" s="117"/>
      <x:c r="T76" s="117"/>
      <x:c r="U76" s="117"/>
      <x:c r="V76" s="117"/>
      <x:c r="W76" s="117"/>
      <x:c r="X76" s="117"/>
      <x:c r="Y76" s="117"/>
      <x:c r="Z76" s="117"/>
    </x:row>
    <x:row r="77">
      <x:c r="A77" s="2144" t="str">
        <x:v>並行実施</x:v>
      </x:c>
      <x:c r="B77" s="2145" t="str">
        <x:v>Stage1Aの公開Web構築とStage1Bの社内診断MVPは並行して実施可能。</x:v>
      </x:c>
      <x:c r="C77" s="117"/>
      <x:c r="D77" s="117"/>
      <x:c r="E77" s="117"/>
      <x:c r="F77" s="117"/>
      <x:c r="G77" s="117"/>
      <x:c r="H77" s="117"/>
      <x:c r="I77" s="117"/>
      <x:c r="J77" s="117"/>
      <x:c r="K77" s="117"/>
      <x:c r="L77" s="117"/>
      <x:c r="M77" s="117"/>
      <x:c r="N77" s="117"/>
      <x:c r="O77" s="117"/>
      <x:c r="P77" s="117"/>
      <x:c r="Q77" s="117"/>
      <x:c r="R77" s="117"/>
      <x:c r="S77" s="117"/>
      <x:c r="T77" s="117"/>
      <x:c r="U77" s="117"/>
      <x:c r="V77" s="117"/>
      <x:c r="W77" s="117"/>
      <x:c r="X77" s="117"/>
      <x:c r="Y77" s="117"/>
      <x:c r="Z77" s="117"/>
    </x:row>
    <x:row r="78">
      <x:c r="A78" s="2144" t="str">
        <x:v>通し試験</x:v>
      </x:c>
      <x:c r="B78" s="2145" t="str">
        <x:v>公開Webを起点に模擬案件3件を受付からA3送付まで処理する。</x:v>
      </x:c>
      <x:c r="C78" s="117"/>
      <x:c r="D78" s="117"/>
      <x:c r="E78" s="117"/>
      <x:c r="F78" s="117"/>
      <x:c r="G78" s="117"/>
      <x:c r="H78" s="117"/>
      <x:c r="I78" s="117"/>
      <x:c r="J78" s="117"/>
      <x:c r="K78" s="117"/>
      <x:c r="L78" s="117"/>
      <x:c r="M78" s="117"/>
      <x:c r="N78" s="117"/>
      <x:c r="O78" s="117"/>
      <x:c r="P78" s="117"/>
      <x:c r="Q78" s="117"/>
      <x:c r="R78" s="117"/>
      <x:c r="S78" s="117"/>
      <x:c r="T78" s="117"/>
      <x:c r="U78" s="117"/>
      <x:c r="V78" s="117"/>
      <x:c r="W78" s="117"/>
      <x:c r="X78" s="117"/>
      <x:c r="Y78" s="117"/>
      <x:c r="Z78" s="117"/>
    </x:row>
    <x:row r="79">
      <x:c r="A79" s="2146" t="str">
        <x:v>受付開始条件</x:v>
      </x:c>
      <x:c r="B79" s="2148" t="str">
        <x:v>55のS項目と56の開始条件が全て適合し、事業責任者がGo判定した後に一般受付を開始する。</x:v>
      </x:c>
      <x:c r="C79" s="117"/>
      <x:c r="D79" s="117"/>
      <x:c r="E79" s="117"/>
      <x:c r="F79" s="117"/>
      <x:c r="G79" s="117"/>
      <x:c r="H79" s="117"/>
      <x:c r="I79" s="117"/>
      <x:c r="J79" s="117"/>
      <x:c r="K79" s="117"/>
      <x:c r="L79" s="117"/>
      <x:c r="M79" s="117"/>
      <x:c r="N79" s="117"/>
      <x:c r="O79" s="117"/>
      <x:c r="P79" s="117"/>
      <x:c r="Q79" s="117"/>
      <x:c r="R79" s="117"/>
      <x:c r="S79" s="117"/>
      <x:c r="T79" s="117"/>
      <x:c r="U79" s="117"/>
      <x:c r="V79" s="117"/>
      <x:c r="W79" s="117"/>
      <x:c r="X79" s="117"/>
      <x:c r="Y79" s="117"/>
      <x:c r="Z79" s="117"/>
    </x:row>
    <x:row r="80">
      <x:c r="A80" s="2232" t="str">
        <x:v>Version1.5目的</x:v>
      </x:c>
      <x:c r="B80" s="2234" t="str">
        <x:v>Stage1Aの公開Web先行構築を、情シス・Web担当が実装できる粒度へ具体化する。</x:v>
      </x:c>
      <x:c r="C80" s="117"/>
      <x:c r="D80" s="117"/>
      <x:c r="E80" s="117"/>
      <x:c r="F80" s="117"/>
      <x:c r="G80" s="117"/>
      <x:c r="H80" s="117"/>
      <x:c r="I80" s="117"/>
      <x:c r="J80" s="117"/>
      <x:c r="K80" s="117"/>
      <x:c r="L80" s="117"/>
      <x:c r="M80" s="117"/>
      <x:c r="N80" s="117"/>
      <x:c r="O80" s="117"/>
      <x:c r="P80" s="117"/>
      <x:c r="Q80" s="117"/>
      <x:c r="R80" s="117"/>
      <x:c r="S80" s="117"/>
      <x:c r="T80" s="117"/>
      <x:c r="U80" s="117"/>
      <x:c r="V80" s="117"/>
      <x:c r="W80" s="117"/>
      <x:c r="X80" s="117"/>
      <x:c r="Y80" s="117"/>
      <x:c r="Z80" s="117"/>
    </x:row>
    <x:row r="81">
      <x:c r="A81" s="2235" t="str">
        <x:v>LP正本</x:v>
      </x:c>
      <x:c r="B81" s="2236" t="str">
        <x:v>57_LPページ仕様をページ構成・表示文・CTAの正とする。</x:v>
      </x:c>
      <x:c r="C81" s="117"/>
      <x:c r="D81" s="117"/>
      <x:c r="E81" s="117"/>
      <x:c r="F81" s="117"/>
      <x:c r="G81" s="117"/>
      <x:c r="H81" s="117"/>
      <x:c r="I81" s="117"/>
      <x:c r="J81" s="117"/>
      <x:c r="K81" s="117"/>
      <x:c r="L81" s="117"/>
      <x:c r="M81" s="117"/>
      <x:c r="N81" s="117"/>
      <x:c r="O81" s="117"/>
      <x:c r="P81" s="117"/>
      <x:c r="Q81" s="117"/>
      <x:c r="R81" s="117"/>
      <x:c r="S81" s="117"/>
      <x:c r="T81" s="117"/>
      <x:c r="U81" s="117"/>
      <x:c r="V81" s="117"/>
      <x:c r="W81" s="117"/>
      <x:c r="X81" s="117"/>
      <x:c r="Y81" s="117"/>
      <x:c r="Z81" s="117"/>
    </x:row>
    <x:row r="82">
      <x:c r="A82" s="2235" t="str">
        <x:v>フォーム正本</x:v>
      </x:c>
      <x:c r="B82" s="2236" t="str">
        <x:v>58_公開フォーム項目を入力項目・検証・保存項目の正とする。</x:v>
      </x:c>
      <x:c r="C82" s="117"/>
      <x:c r="D82" s="117"/>
      <x:c r="E82" s="117"/>
      <x:c r="F82" s="117"/>
      <x:c r="G82" s="117"/>
      <x:c r="H82" s="117"/>
      <x:c r="I82" s="117"/>
      <x:c r="J82" s="117"/>
      <x:c r="K82" s="117"/>
      <x:c r="L82" s="117"/>
      <x:c r="M82" s="117"/>
      <x:c r="N82" s="117"/>
      <x:c r="O82" s="117"/>
      <x:c r="P82" s="117"/>
      <x:c r="Q82" s="117"/>
      <x:c r="R82" s="117"/>
      <x:c r="S82" s="117"/>
      <x:c r="T82" s="117"/>
      <x:c r="U82" s="117"/>
      <x:c r="V82" s="117"/>
      <x:c r="W82" s="117"/>
      <x:c r="X82" s="117"/>
      <x:c r="Y82" s="117"/>
      <x:c r="Z82" s="117"/>
    </x:row>
    <x:row r="83">
      <x:c r="A83" s="2235" t="str">
        <x:v>文面正本</x:v>
      </x:c>
      <x:c r="B83" s="2236" t="str">
        <x:v>59_Web・メール文面を期間外・受付・資料依頼・A3送付文の正とする。</x:v>
      </x:c>
      <x:c r="C83" s="117"/>
      <x:c r="D83" s="117"/>
      <x:c r="E83" s="117"/>
      <x:c r="F83" s="117"/>
      <x:c r="G83" s="117"/>
      <x:c r="H83" s="117"/>
      <x:c r="I83" s="117"/>
      <x:c r="J83" s="117"/>
      <x:c r="K83" s="117"/>
      <x:c r="L83" s="117"/>
      <x:c r="M83" s="117"/>
      <x:c r="N83" s="117"/>
      <x:c r="O83" s="117"/>
      <x:c r="P83" s="117"/>
      <x:c r="Q83" s="117"/>
      <x:c r="R83" s="117"/>
      <x:c r="S83" s="117"/>
      <x:c r="T83" s="117"/>
      <x:c r="U83" s="117"/>
      <x:c r="V83" s="117"/>
      <x:c r="W83" s="117"/>
      <x:c r="X83" s="117"/>
      <x:c r="Y83" s="117"/>
      <x:c r="Z83" s="117"/>
    </x:row>
    <x:row r="84">
      <x:c r="A84" s="2237" t="str">
        <x:v>Web Gate</x:v>
      </x:c>
      <x:c r="B84" s="2239" t="str">
        <x:v>60の作業完了と61のS項目合格後、56の受付開始判定へ進む。</x:v>
      </x:c>
      <x:c r="C84" s="117"/>
      <x:c r="D84" s="117"/>
      <x:c r="E84" s="117"/>
      <x:c r="F84" s="117"/>
      <x:c r="G84" s="117"/>
      <x:c r="H84" s="117"/>
      <x:c r="I84" s="117"/>
      <x:c r="J84" s="117"/>
      <x:c r="K84" s="117"/>
      <x:c r="L84" s="117"/>
      <x:c r="M84" s="117"/>
      <x:c r="N84" s="117"/>
      <x:c r="O84" s="117"/>
      <x:c r="P84" s="117"/>
      <x:c r="Q84" s="117"/>
      <x:c r="R84" s="117"/>
      <x:c r="S84" s="117"/>
      <x:c r="T84" s="117"/>
      <x:c r="U84" s="117"/>
      <x:c r="V84" s="117"/>
      <x:c r="W84" s="117"/>
      <x:c r="X84" s="117"/>
      <x:c r="Y84" s="117"/>
      <x:c r="Z84" s="117"/>
    </x:row>
    <x:row r="85">
      <x:c r="A85" s="2286" t="str">
        <x:v>Version1.6方針</x:v>
      </x:c>
      <x:c r="B85" s="2288" t="str">
        <x:v>Energy Doctorは既存公式サイトへの組込みではなく、独立サブドメインLPとして先行構築する。</x:v>
      </x:c>
      <x:c r="C85" s="117"/>
      <x:c r="D85" s="117"/>
      <x:c r="E85" s="117"/>
      <x:c r="F85" s="117"/>
      <x:c r="G85" s="117"/>
      <x:c r="H85" s="117"/>
      <x:c r="I85" s="117"/>
      <x:c r="J85" s="117"/>
      <x:c r="K85" s="117"/>
      <x:c r="L85" s="117"/>
      <x:c r="M85" s="117"/>
      <x:c r="N85" s="117"/>
      <x:c r="O85" s="117"/>
      <x:c r="P85" s="117"/>
      <x:c r="Q85" s="117"/>
      <x:c r="R85" s="117"/>
      <x:c r="S85" s="117"/>
      <x:c r="T85" s="117"/>
      <x:c r="U85" s="117"/>
      <x:c r="V85" s="117"/>
      <x:c r="W85" s="117"/>
      <x:c r="X85" s="117"/>
      <x:c r="Y85" s="117"/>
      <x:c r="Z85" s="117"/>
    </x:row>
    <x:row r="86">
      <x:c r="A86" s="2289" t="str">
        <x:v>第一候補URL</x:v>
      </x:c>
      <x:c r="B86" s="2290" t="str">
        <x:v>https://energy-doctor.sawa-em.co.jp/</x:v>
      </x:c>
      <x:c r="C86" s="117"/>
      <x:c r="D86" s="117"/>
      <x:c r="E86" s="117"/>
      <x:c r="F86" s="117"/>
      <x:c r="G86" s="117"/>
      <x:c r="H86" s="117"/>
      <x:c r="I86" s="117"/>
      <x:c r="J86" s="117"/>
      <x:c r="K86" s="117"/>
      <x:c r="L86" s="117"/>
      <x:c r="M86" s="117"/>
      <x:c r="N86" s="117"/>
      <x:c r="O86" s="117"/>
      <x:c r="P86" s="117"/>
      <x:c r="Q86" s="117"/>
      <x:c r="R86" s="117"/>
      <x:c r="S86" s="117"/>
      <x:c r="T86" s="117"/>
      <x:c r="U86" s="117"/>
      <x:c r="V86" s="117"/>
      <x:c r="W86" s="117"/>
      <x:c r="X86" s="117"/>
      <x:c r="Y86" s="117"/>
      <x:c r="Z86" s="117"/>
    </x:row>
    <x:row r="87">
      <x:c r="A87" s="2289" t="str">
        <x:v>既存公式サイト対応</x:v>
      </x:c>
      <x:c r="B87" s="2290" t="str">
        <x:v>Energy Doctorを関連サイトとして紹介するリンク追加のみに限定する。</x:v>
      </x:c>
      <x:c r="C87" s="117"/>
      <x:c r="D87" s="117"/>
      <x:c r="E87" s="117"/>
      <x:c r="F87" s="117"/>
      <x:c r="G87" s="117"/>
      <x:c r="H87" s="117"/>
      <x:c r="I87" s="117"/>
      <x:c r="J87" s="117"/>
      <x:c r="K87" s="117"/>
      <x:c r="L87" s="117"/>
      <x:c r="M87" s="117"/>
      <x:c r="N87" s="117"/>
      <x:c r="O87" s="117"/>
      <x:c r="P87" s="117"/>
      <x:c r="Q87" s="117"/>
      <x:c r="R87" s="117"/>
      <x:c r="S87" s="117"/>
      <x:c r="T87" s="117"/>
      <x:c r="U87" s="117"/>
      <x:c r="V87" s="117"/>
      <x:c r="W87" s="117"/>
      <x:c r="X87" s="117"/>
      <x:c r="Y87" s="117"/>
      <x:c r="Z87" s="117"/>
    </x:row>
    <x:row r="88">
      <x:c r="A88" s="2289" t="str">
        <x:v>LP側リンク</x:v>
      </x:c>
      <x:c r="B88" s="2290" t="str">
        <x:v>会社概要、問い合わせ、プライバシー等は既存公式サイトへ接続する。</x:v>
      </x:c>
      <x:c r="C88" s="117"/>
      <x:c r="D88" s="117"/>
      <x:c r="E88" s="117"/>
      <x:c r="F88" s="117"/>
      <x:c r="G88" s="117"/>
      <x:c r="H88" s="117"/>
      <x:c r="I88" s="117"/>
      <x:c r="J88" s="117"/>
      <x:c r="K88" s="117"/>
      <x:c r="L88" s="117"/>
      <x:c r="M88" s="117"/>
      <x:c r="N88" s="117"/>
      <x:c r="O88" s="117"/>
      <x:c r="P88" s="117"/>
      <x:c r="Q88" s="117"/>
      <x:c r="R88" s="117"/>
      <x:c r="S88" s="117"/>
      <x:c r="T88" s="117"/>
      <x:c r="U88" s="117"/>
      <x:c r="V88" s="117"/>
      <x:c r="W88" s="117"/>
      <x:c r="X88" s="117"/>
      <x:c r="Y88" s="117"/>
      <x:c r="Z88" s="117"/>
    </x:row>
    <x:row r="89">
      <x:c r="A89" s="2291" t="str">
        <x:v>構築効果</x:v>
      </x:c>
      <x:c r="B89" s="2293" t="str">
        <x:v>既存CMS改修の影響を減らし、LP・フォーム・受付制御・模擬試験を独立して進める。</x:v>
      </x:c>
      <x:c r="C89" s="117"/>
      <x:c r="D89" s="117"/>
      <x:c r="E89" s="117"/>
      <x:c r="F89" s="117"/>
      <x:c r="G89" s="117"/>
      <x:c r="H89" s="117"/>
      <x:c r="I89" s="117"/>
      <x:c r="J89" s="117"/>
      <x:c r="K89" s="117"/>
      <x:c r="L89" s="117"/>
      <x:c r="M89" s="117"/>
      <x:c r="N89" s="117"/>
      <x:c r="O89" s="117"/>
      <x:c r="P89" s="117"/>
      <x:c r="Q89" s="117"/>
      <x:c r="R89" s="117"/>
      <x:c r="S89" s="117"/>
      <x:c r="T89" s="117"/>
      <x:c r="U89" s="117"/>
      <x:c r="V89" s="117"/>
      <x:c r="W89" s="117"/>
      <x:c r="X89" s="117"/>
      <x:c r="Y89" s="117"/>
      <x:c r="Z89" s="117"/>
    </x:row>
    <x:row r="90">
      <x:c r="A90" s="2312" t="str">
        <x:v>Version1.7方針</x:v>
      </x:c>
      <x:c r="B90" s="2315" t="str">
        <x:v>DNS・SSL・LP公開基盤は事業側で要件と仮構成を決定してから情シスへ提示する。</x:v>
      </x:c>
      <x:c r="C90" s="117"/>
      <x:c r="D90" s="117"/>
      <x:c r="E90" s="117"/>
      <x:c r="F90" s="117"/>
      <x:c r="G90" s="117"/>
      <x:c r="H90" s="117"/>
      <x:c r="I90" s="117"/>
      <x:c r="J90" s="117"/>
      <x:c r="K90" s="117"/>
      <x:c r="L90" s="117"/>
      <x:c r="M90" s="117"/>
      <x:c r="N90" s="117"/>
      <x:c r="O90" s="117"/>
      <x:c r="P90" s="117"/>
      <x:c r="Q90" s="117"/>
      <x:c r="R90" s="117"/>
      <x:c r="S90" s="117"/>
      <x:c r="T90" s="117"/>
      <x:c r="U90" s="117"/>
      <x:c r="V90" s="117"/>
      <x:c r="W90" s="117"/>
      <x:c r="X90" s="117"/>
      <x:c r="Y90" s="117"/>
      <x:c r="Z90" s="117"/>
    </x:row>
    <x:row r="91">
      <x:c r="A91" s="2316" t="str">
        <x:v>情シスの役割</x:v>
      </x:c>
      <x:c r="B91" s="2317" t="str">
        <x:v>ゼロから設計するのではなく、実現可否、制約、利用可能基盤、担当範囲、代替案、費用を確認する。</x:v>
      </x:c>
      <x:c r="C91" s="117"/>
      <x:c r="D91" s="117"/>
      <x:c r="E91" s="117"/>
      <x:c r="F91" s="117"/>
      <x:c r="G91" s="117"/>
      <x:c r="H91" s="117"/>
      <x:c r="I91" s="117"/>
      <x:c r="J91" s="117"/>
      <x:c r="K91" s="117"/>
      <x:c r="L91" s="117"/>
      <x:c r="M91" s="117"/>
      <x:c r="N91" s="117"/>
      <x:c r="O91" s="117"/>
      <x:c r="P91" s="117"/>
      <x:c r="Q91" s="117"/>
      <x:c r="R91" s="117"/>
      <x:c r="S91" s="117"/>
      <x:c r="T91" s="117"/>
      <x:c r="U91" s="117"/>
      <x:c r="V91" s="117"/>
      <x:c r="W91" s="117"/>
      <x:c r="X91" s="117"/>
      <x:c r="Y91" s="117"/>
      <x:c r="Z91" s="117"/>
    </x:row>
    <x:row r="92">
      <x:c r="A92" s="2316" t="str">
        <x:v>確認正本</x:v>
      </x:c>
      <x:c r="B92" s="2317" t="str">
        <x:v>63_サブドメイン仮決定・情シス確認票を技術確認の正とする。</x:v>
      </x:c>
      <x:c r="C92" s="117"/>
      <x:c r="D92" s="117"/>
      <x:c r="E92" s="117"/>
      <x:c r="F92" s="117"/>
      <x:c r="G92" s="117"/>
      <x:c r="H92" s="117"/>
      <x:c r="I92" s="117"/>
      <x:c r="J92" s="117"/>
      <x:c r="K92" s="117"/>
      <x:c r="L92" s="117"/>
      <x:c r="M92" s="117"/>
      <x:c r="N92" s="117"/>
      <x:c r="O92" s="117"/>
      <x:c r="P92" s="117"/>
      <x:c r="Q92" s="117"/>
      <x:c r="R92" s="117"/>
      <x:c r="S92" s="117"/>
      <x:c r="T92" s="117"/>
      <x:c r="U92" s="117"/>
      <x:c r="V92" s="117"/>
      <x:c r="W92" s="117"/>
      <x:c r="X92" s="117"/>
      <x:c r="Y92" s="117"/>
      <x:c r="Z92" s="117"/>
    </x:row>
    <x:row r="93">
      <x:c r="A93" s="2326" t="str">
        <x:v>提示資料</x:v>
      </x:c>
      <x:c r="B93" s="2328" t="str">
        <x:v>64_情シス提示書を説明・回答・総合結論の記録に使用する。</x:v>
      </x:c>
      <x:c r="C93" s="117"/>
      <x:c r="D93" s="117"/>
      <x:c r="E93" s="117"/>
      <x:c r="F93" s="117"/>
      <x:c r="G93" s="117"/>
      <x:c r="H93" s="117"/>
      <x:c r="I93" s="117"/>
      <x:c r="J93" s="117"/>
      <x:c r="K93" s="117"/>
      <x:c r="L93" s="117"/>
      <x:c r="M93" s="117"/>
      <x:c r="N93" s="117"/>
      <x:c r="O93" s="117"/>
      <x:c r="P93" s="117"/>
      <x:c r="Q93" s="117"/>
      <x:c r="R93" s="117"/>
      <x:c r="S93" s="117"/>
      <x:c r="T93" s="117"/>
      <x:c r="U93" s="117"/>
      <x:c r="V93" s="117"/>
      <x:c r="W93" s="117"/>
      <x:c r="X93" s="117"/>
      <x:c r="Y93" s="117"/>
      <x:c r="Z93" s="117"/>
    </x:row>
    <x:row r="94">
      <x:c r="A94" s="2740" t="str">
        <x:v>Version1.8目的</x:v>
      </x:c>
      <x:c r="B94" s="2742" t="str">
        <x:v>57_LPページ仕様を顧客向け画面と掲載文章へ具体化する。</x:v>
      </x:c>
      <x:c r="C94" s="117"/>
      <x:c r="D94" s="117"/>
      <x:c r="E94" s="117"/>
      <x:c r="F94" s="117"/>
      <x:c r="G94" s="117"/>
      <x:c r="H94" s="117"/>
      <x:c r="I94" s="117"/>
      <x:c r="J94" s="117"/>
      <x:c r="K94" s="117"/>
      <x:c r="L94" s="117"/>
      <x:c r="M94" s="117"/>
      <x:c r="N94" s="117"/>
      <x:c r="O94" s="117"/>
      <x:c r="P94" s="117"/>
      <x:c r="Q94" s="117"/>
      <x:c r="R94" s="117"/>
      <x:c r="S94" s="117"/>
      <x:c r="T94" s="117"/>
      <x:c r="U94" s="117"/>
      <x:c r="V94" s="117"/>
      <x:c r="W94" s="117"/>
      <x:c r="X94" s="117"/>
      <x:c r="Y94" s="117"/>
      <x:c r="Z94" s="117"/>
    </x:row>
    <x:row r="95">
      <x:c r="A95" s="2743" t="str">
        <x:v>ワイヤーフレーム正本</x:v>
      </x:c>
      <x:c r="B95" s="2744" t="str">
        <x:v>65_LPワイヤーフレームをPC・スマホの情報順序と導線の正とする。</x:v>
      </x:c>
      <x:c r="C95" s="117"/>
      <x:c r="D95" s="117"/>
      <x:c r="E95" s="117"/>
      <x:c r="F95" s="117"/>
      <x:c r="G95" s="117"/>
      <x:c r="H95" s="117"/>
      <x:c r="I95" s="117"/>
      <x:c r="J95" s="117"/>
      <x:c r="K95" s="117"/>
      <x:c r="L95" s="117"/>
      <x:c r="M95" s="117"/>
      <x:c r="N95" s="117"/>
      <x:c r="O95" s="117"/>
      <x:c r="P95" s="117"/>
      <x:c r="Q95" s="117"/>
      <x:c r="R95" s="117"/>
      <x:c r="S95" s="117"/>
      <x:c r="T95" s="117"/>
      <x:c r="U95" s="117"/>
      <x:c r="V95" s="117"/>
      <x:c r="W95" s="117"/>
      <x:c r="X95" s="117"/>
      <x:c r="Y95" s="117"/>
      <x:c r="Z95" s="117"/>
    </x:row>
    <x:row r="96">
      <x:c r="A96" s="2743" t="str">
        <x:v>掲載文章正本</x:v>
      </x:c>
      <x:c r="B96" s="2744" t="str">
        <x:v>66_LP掲載文章完成稿をWeb掲載用コピーの正とする。</x:v>
      </x:c>
      <x:c r="C96" s="117"/>
      <x:c r="D96" s="117"/>
      <x:c r="E96" s="117"/>
      <x:c r="F96" s="117"/>
      <x:c r="G96" s="117"/>
      <x:c r="H96" s="117"/>
      <x:c r="I96" s="117"/>
      <x:c r="J96" s="117"/>
      <x:c r="K96" s="117"/>
      <x:c r="L96" s="117"/>
      <x:c r="M96" s="117"/>
      <x:c r="N96" s="117"/>
      <x:c r="O96" s="117"/>
      <x:c r="P96" s="117"/>
      <x:c r="Q96" s="117"/>
      <x:c r="R96" s="117"/>
      <x:c r="S96" s="117"/>
      <x:c r="T96" s="117"/>
      <x:c r="U96" s="117"/>
      <x:c r="V96" s="117"/>
      <x:c r="W96" s="117"/>
      <x:c r="X96" s="117"/>
      <x:c r="Y96" s="117"/>
      <x:c r="Z96" s="117"/>
    </x:row>
    <x:row r="97">
      <x:c r="A97" s="2743" t="str">
        <x:v>実装注記正本</x:v>
      </x:c>
      <x:c r="B97" s="2744" t="str">
        <x:v>67_LP実装注記をレスポンシブ、状態切替、計測、ロールバックの正とする。</x:v>
      </x:c>
      <x:c r="C97" s="117"/>
      <x:c r="D97" s="117"/>
      <x:c r="E97" s="117"/>
      <x:c r="F97" s="117"/>
      <x:c r="G97" s="117"/>
      <x:c r="H97" s="117"/>
      <x:c r="I97" s="117"/>
      <x:c r="J97" s="117"/>
      <x:c r="K97" s="117"/>
      <x:c r="L97" s="117"/>
      <x:c r="M97" s="117"/>
      <x:c r="N97" s="117"/>
      <x:c r="O97" s="117"/>
      <x:c r="P97" s="117"/>
      <x:c r="Q97" s="117"/>
      <x:c r="R97" s="117"/>
      <x:c r="S97" s="117"/>
      <x:c r="T97" s="117"/>
      <x:c r="U97" s="117"/>
      <x:c r="V97" s="117"/>
      <x:c r="W97" s="117"/>
      <x:c r="X97" s="117"/>
      <x:c r="Y97" s="117"/>
      <x:c r="Z97" s="117"/>
    </x:row>
    <x:row r="98">
      <x:c r="A98" s="2745" t="str">
        <x:v>次のGate</x:v>
      </x:c>
      <x:c r="B98" s="2747" t="str">
        <x:v>事業・営業・診断・管理の文章レビュー後、情シスへ64・65～67を提示する。</x:v>
      </x:c>
      <x:c r="C98" s="117"/>
      <x:c r="D98" s="117"/>
      <x:c r="E98" s="117"/>
      <x:c r="F98" s="117"/>
      <x:c r="G98" s="117"/>
      <x:c r="H98" s="117"/>
      <x:c r="I98" s="117"/>
      <x:c r="J98" s="117"/>
      <x:c r="K98" s="117"/>
      <x:c r="L98" s="117"/>
      <x:c r="M98" s="117"/>
      <x:c r="N98" s="117"/>
      <x:c r="O98" s="117"/>
      <x:c r="P98" s="117"/>
      <x:c r="Q98" s="117"/>
      <x:c r="R98" s="117"/>
      <x:c r="S98" s="117"/>
      <x:c r="T98" s="117"/>
      <x:c r="U98" s="117"/>
      <x:c r="V98" s="117"/>
      <x:c r="W98" s="117"/>
      <x:c r="X98" s="117"/>
      <x:c r="Y98" s="117"/>
      <x:c r="Z98" s="117"/>
    </x:row>
    <x:row r="99">
      <x:c r="A99" s="2842" t="str">
        <x:v>Version1.9目的</x:v>
      </x:c>
      <x:c r="B99" s="2844" t="str">
        <x:v>LP制作着手に必要な公開質問、A3サンプル、社内レビュー、引渡し資料を確定する。</x:v>
      </x:c>
      <x:c r="C99" s="117"/>
      <x:c r="D99" s="117"/>
      <x:c r="E99" s="117"/>
      <x:c r="F99" s="117"/>
      <x:c r="G99" s="117"/>
      <x:c r="H99" s="117"/>
      <x:c r="I99" s="117"/>
      <x:c r="J99" s="117"/>
      <x:c r="K99" s="117"/>
      <x:c r="L99" s="117"/>
      <x:c r="M99" s="117"/>
      <x:c r="N99" s="117"/>
      <x:c r="O99" s="117"/>
      <x:c r="P99" s="117"/>
      <x:c r="Q99" s="117"/>
      <x:c r="R99" s="117"/>
      <x:c r="S99" s="117"/>
      <x:c r="T99" s="117"/>
      <x:c r="U99" s="117"/>
      <x:c r="V99" s="117"/>
      <x:c r="W99" s="117"/>
      <x:c r="X99" s="117"/>
      <x:c r="Y99" s="117"/>
      <x:c r="Z99" s="117"/>
    </x:row>
    <x:row r="100">
      <x:c r="A100" s="2845" t="str">
        <x:v>公開質問正本</x:v>
      </x:c>
      <x:c r="B100" s="2846" t="str">
        <x:v>68_公開フォーム最小質問セットを初期公開質問の正とする。</x:v>
      </x:c>
      <x:c r="C100" s="117"/>
      <x:c r="D100" s="117"/>
      <x:c r="E100" s="117"/>
      <x:c r="F100" s="117"/>
      <x:c r="G100" s="117"/>
      <x:c r="H100" s="117"/>
      <x:c r="I100" s="117"/>
      <x:c r="J100" s="117"/>
      <x:c r="K100" s="117"/>
      <x:c r="L100" s="117"/>
      <x:c r="M100" s="117"/>
      <x:c r="N100" s="117"/>
      <x:c r="O100" s="117"/>
      <x:c r="P100" s="117"/>
      <x:c r="Q100" s="117"/>
      <x:c r="R100" s="117"/>
      <x:c r="S100" s="117"/>
      <x:c r="T100" s="117"/>
      <x:c r="U100" s="117"/>
      <x:c r="V100" s="117"/>
      <x:c r="W100" s="117"/>
      <x:c r="X100" s="117"/>
      <x:c r="Y100" s="117"/>
      <x:c r="Z100" s="117"/>
    </x:row>
    <x:row r="101">
      <x:c r="A101" s="2845" t="str">
        <x:v>A3サンプル正本</x:v>
      </x:c>
      <x:c r="B101" s="2846" t="str">
        <x:v>69_LP掲載A3サンプル仕様をLP掲載用サンプル制作の正とする。</x:v>
      </x:c>
      <x:c r="C101" s="117"/>
      <x:c r="D101" s="117"/>
      <x:c r="E101" s="117"/>
      <x:c r="F101" s="117"/>
      <x:c r="G101" s="117"/>
      <x:c r="H101" s="117"/>
      <x:c r="I101" s="117"/>
      <x:c r="J101" s="117"/>
      <x:c r="K101" s="117"/>
      <x:c r="L101" s="117"/>
      <x:c r="M101" s="117"/>
      <x:c r="N101" s="117"/>
      <x:c r="O101" s="117"/>
      <x:c r="P101" s="117"/>
      <x:c r="Q101" s="117"/>
      <x:c r="R101" s="117"/>
      <x:c r="S101" s="117"/>
      <x:c r="T101" s="117"/>
      <x:c r="U101" s="117"/>
      <x:c r="V101" s="117"/>
      <x:c r="W101" s="117"/>
      <x:c r="X101" s="117"/>
      <x:c r="Y101" s="117"/>
      <x:c r="Z101" s="117"/>
    </x:row>
    <x:row r="102">
      <x:c r="A102" s="2845" t="str">
        <x:v>社内レビュー正本</x:v>
      </x:c>
      <x:c r="B102" s="2846" t="str">
        <x:v>70_LP文章・画面レビューの全不適合解消を情シス提示の条件とする。</x:v>
      </x:c>
      <x:c r="C102" s="117"/>
      <x:c r="D102" s="117"/>
      <x:c r="E102" s="117"/>
      <x:c r="F102" s="117"/>
      <x:c r="G102" s="117"/>
      <x:c r="H102" s="117"/>
      <x:c r="I102" s="117"/>
      <x:c r="J102" s="117"/>
      <x:c r="K102" s="117"/>
      <x:c r="L102" s="117"/>
      <x:c r="M102" s="117"/>
      <x:c r="N102" s="117"/>
      <x:c r="O102" s="117"/>
      <x:c r="P102" s="117"/>
      <x:c r="Q102" s="117"/>
      <x:c r="R102" s="117"/>
      <x:c r="S102" s="117"/>
      <x:c r="T102" s="117"/>
      <x:c r="U102" s="117"/>
      <x:c r="V102" s="117"/>
      <x:c r="W102" s="117"/>
      <x:c r="X102" s="117"/>
      <x:c r="Y102" s="117"/>
      <x:c r="Z102" s="117"/>
    </x:row>
    <x:row r="103">
      <x:c r="A103" s="2847" t="str">
        <x:v>引渡し正本</x:v>
      </x:c>
      <x:c r="B103" s="2849" t="str">
        <x:v>71_LP制作引渡しパッケージを情シス・LP担当への提出管理の正とする。</x:v>
      </x:c>
      <x:c r="C103" s="117"/>
      <x:c r="D103" s="117"/>
      <x:c r="E103" s="117"/>
      <x:c r="F103" s="117"/>
      <x:c r="G103" s="117"/>
      <x:c r="H103" s="117"/>
      <x:c r="I103" s="117"/>
      <x:c r="J103" s="117"/>
      <x:c r="K103" s="117"/>
      <x:c r="L103" s="117"/>
      <x:c r="M103" s="117"/>
      <x:c r="N103" s="117"/>
      <x:c r="O103" s="117"/>
      <x:c r="P103" s="117"/>
      <x:c r="Q103" s="117"/>
      <x:c r="R103" s="117"/>
      <x:c r="S103" s="117"/>
      <x:c r="T103" s="117"/>
      <x:c r="U103" s="117"/>
      <x:c r="V103" s="117"/>
      <x:c r="W103" s="117"/>
      <x:c r="X103" s="117"/>
      <x:c r="Y103" s="117"/>
      <x:c r="Z103" s="117"/>
    </x:row>
    <x:row r="104">
      <x:c r="A104" s="117" t="str">
        <x:v>Version2.0方針</x:v>
      </x:c>
      <x:c r="B104" s="117" t="str">
        <x:v>社内レビュー会議および情シス・LP担当への一括提示イベントは設けない。</x:v>
      </x:c>
      <x:c r="C104" s="117"/>
      <x:c r="D104" s="117"/>
      <x:c r="E104" s="117"/>
      <x:c r="F104" s="117"/>
      <x:c r="G104" s="117"/>
      <x:c r="H104" s="117"/>
      <x:c r="I104" s="117"/>
      <x:c r="J104" s="117"/>
      <x:c r="K104" s="117"/>
      <x:c r="L104" s="117"/>
      <x:c r="M104" s="117"/>
      <x:c r="N104" s="117"/>
      <x:c r="O104" s="117"/>
      <x:c r="P104" s="117"/>
      <x:c r="Q104" s="117"/>
      <x:c r="R104" s="117"/>
      <x:c r="S104" s="117"/>
      <x:c r="T104" s="117"/>
      <x:c r="U104" s="117"/>
      <x:c r="V104" s="117"/>
      <x:c r="W104" s="117"/>
      <x:c r="X104" s="117"/>
      <x:c r="Y104" s="117"/>
      <x:c r="Z104" s="117"/>
    </x:row>
    <x:row r="105">
      <x:c r="A105" s="117" t="str">
        <x:v>責任者</x:v>
      </x:c>
      <x:c r="B105" s="117" t="str">
        <x:v>山元氏が事業責任者兼LP担当として、文章・画面・質問・A3サンプルを直接承認する。</x:v>
      </x:c>
      <x:c r="C105" s="117"/>
      <x:c r="D105" s="117"/>
      <x:c r="E105" s="117"/>
      <x:c r="F105" s="117"/>
      <x:c r="G105" s="117"/>
      <x:c r="H105" s="117"/>
      <x:c r="I105" s="117"/>
      <x:c r="J105" s="117"/>
      <x:c r="K105" s="117"/>
      <x:c r="L105" s="117"/>
      <x:c r="M105" s="117"/>
      <x:c r="N105" s="117"/>
      <x:c r="O105" s="117"/>
      <x:c r="P105" s="117"/>
      <x:c r="Q105" s="117"/>
      <x:c r="R105" s="117"/>
      <x:c r="S105" s="117"/>
      <x:c r="T105" s="117"/>
      <x:c r="U105" s="117"/>
      <x:c r="V105" s="117"/>
      <x:c r="W105" s="117"/>
      <x:c r="X105" s="117"/>
      <x:c r="Y105" s="117"/>
      <x:c r="Z105" s="117"/>
    </x:row>
    <x:row r="106">
      <x:c r="A106" s="117" t="str">
        <x:v>情シス連携</x:v>
      </x:c>
      <x:c r="B106" s="117" t="str">
        <x:v>DNS、SSL、公開基盤、フォーム、ログ等を必要事項ごとに個別確認する。</x:v>
      </x:c>
      <x:c r="C106" s="117"/>
      <x:c r="D106" s="117"/>
      <x:c r="E106" s="117"/>
      <x:c r="F106" s="117"/>
      <x:c r="G106" s="117"/>
      <x:c r="H106" s="117"/>
      <x:c r="I106" s="117"/>
      <x:c r="J106" s="117"/>
      <x:c r="K106" s="117"/>
      <x:c r="L106" s="117"/>
      <x:c r="M106" s="117"/>
      <x:c r="N106" s="117"/>
      <x:c r="O106" s="117"/>
      <x:c r="P106" s="117"/>
      <x:c r="Q106" s="117"/>
      <x:c r="R106" s="117"/>
      <x:c r="S106" s="117"/>
      <x:c r="T106" s="117"/>
      <x:c r="U106" s="117"/>
      <x:c r="V106" s="117"/>
      <x:c r="W106" s="117"/>
      <x:c r="X106" s="117"/>
      <x:c r="Y106" s="117"/>
      <x:c r="Z106" s="117"/>
    </x:row>
    <x:row r="107">
      <x:c r="A107" s="117" t="str">
        <x:v>判断記録</x:v>
      </x:c>
      <x:c r="B107" s="117" t="str">
        <x:v>70_責任者直接承認・判断ログを意思決定の正とする。</x:v>
      </x:c>
      <x:c r="C107" s="117"/>
      <x:c r="D107" s="117"/>
      <x:c r="E107" s="117"/>
      <x:c r="F107" s="117"/>
      <x:c r="G107" s="117"/>
      <x:c r="H107" s="117"/>
      <x:c r="I107" s="117"/>
      <x:c r="J107" s="117"/>
      <x:c r="K107" s="117"/>
      <x:c r="L107" s="117"/>
      <x:c r="M107" s="117"/>
      <x:c r="N107" s="117"/>
      <x:c r="O107" s="117"/>
      <x:c r="P107" s="117"/>
      <x:c r="Q107" s="117"/>
      <x:c r="R107" s="117"/>
      <x:c r="S107" s="117"/>
      <x:c r="T107" s="117"/>
      <x:c r="U107" s="117"/>
      <x:c r="V107" s="117"/>
      <x:c r="W107" s="117"/>
      <x:c r="X107" s="117"/>
      <x:c r="Y107" s="117"/>
      <x:c r="Z107" s="117"/>
    </x:row>
    <x:row r="108">
      <x:c r="A108" s="117" t="str">
        <x:v>進行管理</x:v>
      </x:c>
      <x:c r="B108" s="117" t="str">
        <x:v>71_責任者主導LP制作進行台帳を実作業・個別確認の正とする。</x:v>
      </x:c>
      <x:c r="C108" s="117"/>
      <x:c r="D108" s="117"/>
      <x:c r="E108" s="117"/>
      <x:c r="F108" s="117"/>
      <x:c r="G108" s="117"/>
      <x:c r="H108" s="117"/>
      <x:c r="I108" s="117"/>
      <x:c r="J108" s="117"/>
      <x:c r="K108" s="117"/>
      <x:c r="L108" s="117"/>
      <x:c r="M108" s="117"/>
      <x:c r="N108" s="117"/>
      <x:c r="O108" s="117"/>
      <x:c r="P108" s="117"/>
      <x:c r="Q108" s="117"/>
      <x:c r="R108" s="117"/>
      <x:c r="S108" s="117"/>
      <x:c r="T108" s="117"/>
      <x:c r="U108" s="117"/>
      <x:c r="V108" s="117"/>
      <x:c r="W108" s="117"/>
      <x:c r="X108" s="117"/>
      <x:c r="Y108" s="117"/>
      <x:c r="Z108" s="117"/>
    </x:row>
    <x:row r="109">
      <x:c r="A109" s="2896" t="str">
        <x:v>Version2.1目的</x:v>
      </x:c>
      <x:c r="B109" s="2898" t="str">
        <x:v>独立LPの公開基盤を仮決定し、DNS本番接続前に仮URLで制作を開始する。</x:v>
      </x:c>
      <x:c r="C109" s="117"/>
      <x:c r="D109" s="117"/>
      <x:c r="E109" s="117"/>
      <x:c r="F109" s="117"/>
      <x:c r="G109" s="117"/>
      <x:c r="H109" s="117"/>
      <x:c r="I109" s="117"/>
      <x:c r="J109" s="117"/>
      <x:c r="K109" s="117"/>
      <x:c r="L109" s="117"/>
      <x:c r="M109" s="117"/>
      <x:c r="N109" s="117"/>
      <x:c r="O109" s="117"/>
      <x:c r="P109" s="117"/>
      <x:c r="Q109" s="117"/>
      <x:c r="R109" s="117"/>
      <x:c r="S109" s="117"/>
      <x:c r="T109" s="117"/>
      <x:c r="U109" s="117"/>
      <x:c r="V109" s="117"/>
      <x:c r="W109" s="117"/>
      <x:c r="X109" s="117"/>
      <x:c r="Y109" s="117"/>
      <x:c r="Z109" s="117"/>
    </x:row>
    <x:row r="110">
      <x:c r="A110" s="2899" t="str">
        <x:v>第一候補</x:v>
      </x:c>
      <x:c r="B110" s="2900" t="str">
        <x:v>Cloudflare Pages＋Microsoft Forms。LPはPages、受付とExcel連携はFormsを使用する。</x:v>
      </x:c>
      <x:c r="C110" s="117"/>
      <x:c r="D110" s="117"/>
      <x:c r="E110" s="117"/>
      <x:c r="F110" s="117"/>
      <x:c r="G110" s="117"/>
      <x:c r="H110" s="117"/>
      <x:c r="I110" s="117"/>
      <x:c r="J110" s="117"/>
      <x:c r="K110" s="117"/>
      <x:c r="L110" s="117"/>
      <x:c r="M110" s="117"/>
      <x:c r="N110" s="117"/>
      <x:c r="O110" s="117"/>
      <x:c r="P110" s="117"/>
      <x:c r="Q110" s="117"/>
      <x:c r="R110" s="117"/>
      <x:c r="S110" s="117"/>
      <x:c r="T110" s="117"/>
      <x:c r="U110" s="117"/>
      <x:c r="V110" s="117"/>
      <x:c r="W110" s="117"/>
      <x:c r="X110" s="117"/>
      <x:c r="Y110" s="117"/>
      <x:c r="Z110" s="117"/>
    </x:row>
    <x:row r="111">
      <x:c r="A111" s="2899" t="str">
        <x:v>公開方法</x:v>
      </x:c>
      <x:c r="B111" s="2900" t="str">
        <x:v>初期はDirect UploadでHTML一式を公開し、運用安定後にGit連携を再検討する。</x:v>
      </x:c>
      <x:c r="C111" s="117"/>
      <x:c r="D111" s="117"/>
      <x:c r="E111" s="117"/>
      <x:c r="F111" s="117"/>
      <x:c r="G111" s="117"/>
      <x:c r="H111" s="117"/>
      <x:c r="I111" s="117"/>
      <x:c r="J111" s="117"/>
      <x:c r="K111" s="117"/>
      <x:c r="L111" s="117"/>
      <x:c r="M111" s="117"/>
      <x:c r="N111" s="117"/>
      <x:c r="O111" s="117"/>
      <x:c r="P111" s="117"/>
      <x:c r="Q111" s="117"/>
      <x:c r="R111" s="117"/>
      <x:c r="S111" s="117"/>
      <x:c r="T111" s="117"/>
      <x:c r="U111" s="117"/>
      <x:c r="V111" s="117"/>
      <x:c r="W111" s="117"/>
      <x:c r="X111" s="117"/>
      <x:c r="Y111" s="117"/>
      <x:c r="Z111" s="117"/>
    </x:row>
    <x:row r="112">
      <x:c r="A112" s="2899" t="str">
        <x:v>フォーム方針</x:v>
      </x:c>
      <x:c r="B112" s="2900" t="str">
        <x:v>Microsoft Formsの外部回答・Web埋込・Excel連携を情シス確認条件として採用する。</x:v>
      </x:c>
      <x:c r="C112" s="117"/>
      <x:c r="D112" s="117"/>
      <x:c r="E112" s="117"/>
      <x:c r="F112" s="117"/>
      <x:c r="G112" s="117"/>
      <x:c r="H112" s="117"/>
      <x:c r="I112" s="117"/>
      <x:c r="J112" s="117"/>
      <x:c r="K112" s="117"/>
      <x:c r="L112" s="117"/>
      <x:c r="M112" s="117"/>
      <x:c r="N112" s="117"/>
      <x:c r="O112" s="117"/>
      <x:c r="P112" s="117"/>
      <x:c r="Q112" s="117"/>
      <x:c r="R112" s="117"/>
      <x:c r="S112" s="117"/>
      <x:c r="T112" s="117"/>
      <x:c r="U112" s="117"/>
      <x:c r="V112" s="117"/>
      <x:c r="W112" s="117"/>
      <x:c r="X112" s="117"/>
      <x:c r="Y112" s="117"/>
      <x:c r="Z112" s="117"/>
    </x:row>
    <x:row r="113">
      <x:c r="A113" s="2901" t="str">
        <x:v>次工程</x:v>
      </x:c>
      <x:c r="B113" s="2903" t="str">
        <x:v>74のStep1～3として、Cloudflare仮環境、HTML初版、Microsoft Forms初版を作成する。</x:v>
      </x:c>
      <x:c r="C113" s="117"/>
      <x:c r="D113" s="117"/>
      <x:c r="E113" s="117"/>
      <x:c r="F113" s="117"/>
      <x:c r="G113" s="117"/>
      <x:c r="H113" s="117"/>
      <x:c r="I113" s="117"/>
      <x:c r="J113" s="117"/>
      <x:c r="K113" s="117"/>
      <x:c r="L113" s="117"/>
      <x:c r="M113" s="117"/>
      <x:c r="N113" s="117"/>
      <x:c r="O113" s="117"/>
      <x:c r="P113" s="117"/>
      <x:c r="Q113" s="117"/>
      <x:c r="R113" s="117"/>
      <x:c r="S113" s="117"/>
      <x:c r="T113" s="117"/>
      <x:c r="U113" s="117"/>
      <x:c r="V113" s="117"/>
      <x:c r="W113" s="117"/>
      <x:c r="X113" s="117"/>
      <x:c r="Y113" s="117"/>
      <x:c r="Z113" s="117"/>
    </x:row>
    <x:row r="114">
      <x:c r="A114" s="2949" t="str">
        <x:v>Version2.2目的</x:v>
      </x:c>
      <x:c r="B114" s="2951" t="str">
        <x:v>仮URLへ公開可能なLP HTML初版とMicrosoft Forms実装仕様を作成する。</x:v>
      </x:c>
      <x:c r="C114" s="117"/>
      <x:c r="D114" s="117"/>
      <x:c r="E114" s="117"/>
      <x:c r="F114" s="117"/>
      <x:c r="G114" s="117"/>
      <x:c r="H114" s="117"/>
      <x:c r="I114" s="117"/>
      <x:c r="J114" s="117"/>
      <x:c r="K114" s="117"/>
      <x:c r="L114" s="117"/>
      <x:c r="M114" s="117"/>
      <x:c r="N114" s="117"/>
      <x:c r="O114" s="117"/>
      <x:c r="P114" s="117"/>
      <x:c r="Q114" s="117"/>
      <x:c r="R114" s="117"/>
      <x:c r="S114" s="117"/>
      <x:c r="T114" s="117"/>
      <x:c r="U114" s="117"/>
      <x:c r="V114" s="117"/>
      <x:c r="W114" s="117"/>
      <x:c r="X114" s="117"/>
      <x:c r="Y114" s="117"/>
      <x:c r="Z114" s="117"/>
    </x:row>
    <x:row r="115">
      <x:c r="A115" s="2952" t="str">
        <x:v>LP成果物</x:v>
      </x:c>
      <x:c r="B115" s="2953" t="str">
        <x:v>Energy_Doctor_LP_Prototype_v0.1.zipをHTML初版の正とする。</x:v>
      </x:c>
      <x:c r="C115" s="117"/>
      <x:c r="D115" s="117"/>
      <x:c r="E115" s="117"/>
      <x:c r="F115" s="117"/>
      <x:c r="G115" s="117"/>
      <x:c r="H115" s="117"/>
      <x:c r="I115" s="117"/>
      <x:c r="J115" s="117"/>
      <x:c r="K115" s="117"/>
      <x:c r="L115" s="117"/>
      <x:c r="M115" s="117"/>
      <x:c r="N115" s="117"/>
      <x:c r="O115" s="117"/>
      <x:c r="P115" s="117"/>
      <x:c r="Q115" s="117"/>
      <x:c r="R115" s="117"/>
      <x:c r="S115" s="117"/>
      <x:c r="T115" s="117"/>
      <x:c r="U115" s="117"/>
      <x:c r="V115" s="117"/>
      <x:c r="W115" s="117"/>
      <x:c r="X115" s="117"/>
      <x:c r="Y115" s="117"/>
      <x:c r="Z115" s="117"/>
    </x:row>
    <x:row r="116">
      <x:c r="A116" s="2952" t="str">
        <x:v>受付状態</x:v>
      </x:c>
      <x:c r="B116" s="2953" t="str">
        <x:v>config.jsのclosed/test/open/pausedで表示とフォーム導線を切り替える。</x:v>
      </x:c>
      <x:c r="C116" s="117"/>
      <x:c r="D116" s="117"/>
      <x:c r="E116" s="117"/>
      <x:c r="F116" s="117"/>
      <x:c r="G116" s="117"/>
      <x:c r="H116" s="117"/>
      <x:c r="I116" s="117"/>
      <x:c r="J116" s="117"/>
      <x:c r="K116" s="117"/>
      <x:c r="L116" s="117"/>
      <x:c r="M116" s="117"/>
      <x:c r="N116" s="117"/>
      <x:c r="O116" s="117"/>
      <x:c r="P116" s="117"/>
      <x:c r="Q116" s="117"/>
      <x:c r="R116" s="117"/>
      <x:c r="S116" s="117"/>
      <x:c r="T116" s="117"/>
      <x:c r="U116" s="117"/>
      <x:c r="V116" s="117"/>
      <x:c r="W116" s="117"/>
      <x:c r="X116" s="117"/>
      <x:c r="Y116" s="117"/>
      <x:c r="Z116" s="117"/>
    </x:row>
    <x:row r="117">
      <x:c r="A117" s="2952" t="str">
        <x:v>Forms実装</x:v>
      </x:c>
      <x:c r="B117" s="2953" t="str">
        <x:v>76およびforms_implementation_spec.csvを手入力実装の正とする。</x:v>
      </x:c>
      <x:c r="C117" s="117"/>
      <x:c r="D117" s="117"/>
      <x:c r="E117" s="117"/>
      <x:c r="F117" s="117"/>
      <x:c r="G117" s="117"/>
      <x:c r="H117" s="117"/>
      <x:c r="I117" s="117"/>
      <x:c r="J117" s="117"/>
      <x:c r="K117" s="117"/>
      <x:c r="L117" s="117"/>
      <x:c r="M117" s="117"/>
      <x:c r="N117" s="117"/>
      <x:c r="O117" s="117"/>
      <x:c r="P117" s="117"/>
      <x:c r="Q117" s="117"/>
      <x:c r="R117" s="117"/>
      <x:c r="S117" s="117"/>
      <x:c r="T117" s="117"/>
      <x:c r="U117" s="117"/>
      <x:c r="V117" s="117"/>
      <x:c r="W117" s="117"/>
      <x:c r="X117" s="117"/>
      <x:c r="Y117" s="117"/>
      <x:c r="Z117" s="117"/>
    </x:row>
    <x:row r="118">
      <x:c r="A118" s="2954" t="str">
        <x:v>次工程</x:v>
      </x:c>
      <x:c r="B118" s="2956" t="str">
        <x:v>Cloudflare PagesへDirect Uploadし、Microsoft Forms初版を実際に作成してURLをconfig.jsへ設定する。</x:v>
      </x:c>
      <x:c r="C118" s="117"/>
      <x:c r="D118" s="117"/>
      <x:c r="E118" s="117"/>
      <x:c r="F118" s="117"/>
      <x:c r="G118" s="117"/>
      <x:c r="H118" s="117"/>
      <x:c r="I118" s="117"/>
      <x:c r="J118" s="117"/>
      <x:c r="K118" s="117"/>
      <x:c r="L118" s="117"/>
      <x:c r="M118" s="117"/>
      <x:c r="N118" s="117"/>
      <x:c r="O118" s="117"/>
      <x:c r="P118" s="117"/>
      <x:c r="Q118" s="117"/>
      <x:c r="R118" s="117"/>
      <x:c r="S118" s="117"/>
      <x:c r="T118" s="117"/>
      <x:c r="U118" s="117"/>
      <x:c r="V118" s="117"/>
      <x:c r="W118" s="117"/>
      <x:c r="X118" s="117"/>
      <x:c r="Y118" s="117"/>
      <x:c r="Z118" s="117"/>
    </x:row>
    <x:row r="119">
      <x:c r="A119" s="117"/>
      <x:c r="B119" s="117"/>
      <x:c r="C119" s="117"/>
      <x:c r="D119" s="117"/>
      <x:c r="E119" s="117"/>
      <x:c r="F119" s="117"/>
      <x:c r="G119" s="117"/>
      <x:c r="H119" s="117"/>
      <x:c r="I119" s="117"/>
      <x:c r="J119" s="117"/>
      <x:c r="K119" s="117"/>
      <x:c r="L119" s="117"/>
      <x:c r="M119" s="117"/>
      <x:c r="N119" s="117"/>
      <x:c r="O119" s="117"/>
      <x:c r="P119" s="117"/>
      <x:c r="Q119" s="117"/>
      <x:c r="R119" s="117"/>
      <x:c r="S119" s="117"/>
      <x:c r="T119" s="117"/>
      <x:c r="U119" s="117"/>
      <x:c r="V119" s="117"/>
      <x:c r="W119" s="117"/>
      <x:c r="X119" s="117"/>
      <x:c r="Y119" s="117"/>
      <x:c r="Z119" s="117"/>
    </x:row>
    <x:row r="120">
      <x:c r="A120" s="117"/>
      <x:c r="B120" s="117"/>
      <x:c r="C120" s="117"/>
      <x:c r="D120" s="117"/>
      <x:c r="E120" s="117"/>
      <x:c r="F120" s="117"/>
      <x:c r="G120" s="117"/>
      <x:c r="H120" s="117"/>
      <x:c r="I120" s="117"/>
      <x:c r="J120" s="117"/>
      <x:c r="K120" s="117"/>
      <x:c r="L120" s="117"/>
      <x:c r="M120" s="117"/>
      <x:c r="N120" s="117"/>
      <x:c r="O120" s="117"/>
      <x:c r="P120" s="117"/>
      <x:c r="Q120" s="117"/>
      <x:c r="R120" s="117"/>
      <x:c r="S120" s="117"/>
      <x:c r="T120" s="117"/>
      <x:c r="U120" s="117"/>
      <x:c r="V120" s="117"/>
      <x:c r="W120" s="117"/>
      <x:c r="X120" s="117"/>
      <x:c r="Y120" s="117"/>
      <x:c r="Z120" s="117"/>
    </x:row>
    <x:row r="121">
      <x:c r="A121" s="117"/>
      <x:c r="B121" s="117"/>
      <x:c r="C121" s="117"/>
      <x:c r="D121" s="117"/>
      <x:c r="E121" s="117"/>
      <x:c r="F121" s="117"/>
      <x:c r="G121" s="117"/>
      <x:c r="H121" s="117"/>
      <x:c r="I121" s="117"/>
      <x:c r="J121" s="117"/>
      <x:c r="K121" s="117"/>
      <x:c r="L121" s="117"/>
      <x:c r="M121" s="117"/>
      <x:c r="N121" s="117"/>
      <x:c r="O121" s="117"/>
      <x:c r="P121" s="117"/>
      <x:c r="Q121" s="117"/>
      <x:c r="R121" s="117"/>
      <x:c r="S121" s="117"/>
      <x:c r="T121" s="117"/>
      <x:c r="U121" s="117"/>
      <x:c r="V121" s="117"/>
      <x:c r="W121" s="117"/>
      <x:c r="X121" s="117"/>
      <x:c r="Y121" s="117"/>
      <x:c r="Z121" s="117"/>
    </x:row>
    <x:row r="122">
      <x:c r="A122" s="117"/>
      <x:c r="B122" s="117"/>
      <x:c r="C122" s="117"/>
      <x:c r="D122" s="117"/>
      <x:c r="E122" s="117"/>
      <x:c r="F122" s="117"/>
      <x:c r="G122" s="117"/>
      <x:c r="H122" s="117"/>
      <x:c r="I122" s="117"/>
      <x:c r="J122" s="117"/>
      <x:c r="K122" s="117"/>
      <x:c r="L122" s="117"/>
      <x:c r="M122" s="117"/>
      <x:c r="N122" s="117"/>
      <x:c r="O122" s="117"/>
      <x:c r="P122" s="117"/>
      <x:c r="Q122" s="117"/>
      <x:c r="R122" s="117"/>
      <x:c r="S122" s="117"/>
      <x:c r="T122" s="117"/>
      <x:c r="U122" s="117"/>
      <x:c r="V122" s="117"/>
      <x:c r="W122" s="117"/>
      <x:c r="X122" s="117"/>
      <x:c r="Y122" s="117"/>
      <x:c r="Z122" s="117"/>
    </x:row>
    <x:row r="123">
      <x:c r="A123" s="117"/>
      <x:c r="B123" s="117"/>
      <x:c r="C123" s="117"/>
      <x:c r="D123" s="117"/>
      <x:c r="E123" s="117"/>
      <x:c r="F123" s="117"/>
      <x:c r="G123" s="117"/>
      <x:c r="H123" s="117"/>
      <x:c r="I123" s="117"/>
      <x:c r="J123" s="117"/>
      <x:c r="K123" s="117"/>
      <x:c r="L123" s="117"/>
      <x:c r="M123" s="117"/>
      <x:c r="N123" s="117"/>
      <x:c r="O123" s="117"/>
      <x:c r="P123" s="117"/>
      <x:c r="Q123" s="117"/>
      <x:c r="R123" s="117"/>
      <x:c r="S123" s="117"/>
      <x:c r="T123" s="117"/>
      <x:c r="U123" s="117"/>
      <x:c r="V123" s="117"/>
      <x:c r="W123" s="117"/>
      <x:c r="X123" s="117"/>
      <x:c r="Y123" s="117"/>
      <x:c r="Z123" s="117"/>
    </x:row>
    <x:row r="124">
      <x:c r="A124" s="117"/>
      <x:c r="B124" s="117"/>
      <x:c r="C124" s="117"/>
      <x:c r="D124" s="117"/>
      <x:c r="E124" s="117"/>
      <x:c r="F124" s="117"/>
      <x:c r="G124" s="117"/>
      <x:c r="H124" s="117"/>
      <x:c r="I124" s="117"/>
      <x:c r="J124" s="117"/>
      <x:c r="K124" s="117"/>
      <x:c r="L124" s="117"/>
      <x:c r="M124" s="117"/>
      <x:c r="N124" s="117"/>
      <x:c r="O124" s="117"/>
      <x:c r="P124" s="117"/>
      <x:c r="Q124" s="117"/>
      <x:c r="R124" s="117"/>
      <x:c r="S124" s="117"/>
      <x:c r="T124" s="117"/>
      <x:c r="U124" s="117"/>
      <x:c r="V124" s="117"/>
      <x:c r="W124" s="117"/>
      <x:c r="X124" s="117"/>
      <x:c r="Y124" s="117"/>
      <x:c r="Z124" s="117"/>
    </x:row>
    <x:row r="125">
      <x:c r="A125" s="117"/>
      <x:c r="B125" s="117"/>
      <x:c r="C125" s="117"/>
      <x:c r="D125" s="117"/>
      <x:c r="E125" s="117"/>
      <x:c r="F125" s="117"/>
      <x:c r="G125" s="117"/>
      <x:c r="H125" s="117"/>
      <x:c r="I125" s="117"/>
      <x:c r="J125" s="117"/>
      <x:c r="K125" s="117"/>
      <x:c r="L125" s="117"/>
      <x:c r="M125" s="117"/>
      <x:c r="N125" s="117"/>
      <x:c r="O125" s="117"/>
      <x:c r="P125" s="117"/>
      <x:c r="Q125" s="117"/>
      <x:c r="R125" s="117"/>
      <x:c r="S125" s="117"/>
      <x:c r="T125" s="117"/>
      <x:c r="U125" s="117"/>
      <x:c r="V125" s="117"/>
      <x:c r="W125" s="117"/>
      <x:c r="X125" s="117"/>
      <x:c r="Y125" s="117"/>
      <x:c r="Z125" s="117"/>
    </x:row>
    <x:row r="126">
      <x:c r="A126" s="117"/>
      <x:c r="B126" s="117"/>
      <x:c r="C126" s="117"/>
      <x:c r="D126" s="117"/>
      <x:c r="E126" s="117"/>
      <x:c r="F126" s="117"/>
      <x:c r="G126" s="117"/>
      <x:c r="H126" s="117"/>
      <x:c r="I126" s="117"/>
      <x:c r="J126" s="117"/>
      <x:c r="K126" s="117"/>
      <x:c r="L126" s="117"/>
      <x:c r="M126" s="117"/>
      <x:c r="N126" s="117"/>
      <x:c r="O126" s="117"/>
      <x:c r="P126" s="117"/>
      <x:c r="Q126" s="117"/>
      <x:c r="R126" s="117"/>
      <x:c r="S126" s="117"/>
      <x:c r="T126" s="117"/>
      <x:c r="U126" s="117"/>
      <x:c r="V126" s="117"/>
      <x:c r="W126" s="117"/>
      <x:c r="X126" s="117"/>
      <x:c r="Y126" s="117"/>
      <x:c r="Z126" s="117"/>
    </x:row>
    <x:row r="127">
      <x:c r="A127" s="117"/>
      <x:c r="B127" s="117"/>
      <x:c r="C127" s="117"/>
      <x:c r="D127" s="117"/>
      <x:c r="E127" s="117"/>
      <x:c r="F127" s="117"/>
      <x:c r="G127" s="117"/>
      <x:c r="H127" s="117"/>
      <x:c r="I127" s="117"/>
      <x:c r="J127" s="117"/>
      <x:c r="K127" s="117"/>
      <x:c r="L127" s="117"/>
      <x:c r="M127" s="117"/>
      <x:c r="N127" s="117"/>
      <x:c r="O127" s="117"/>
      <x:c r="P127" s="117"/>
      <x:c r="Q127" s="117"/>
      <x:c r="R127" s="117"/>
      <x:c r="S127" s="117"/>
      <x:c r="T127" s="117"/>
      <x:c r="U127" s="117"/>
      <x:c r="V127" s="117"/>
      <x:c r="W127" s="117"/>
      <x:c r="X127" s="117"/>
      <x:c r="Y127" s="117"/>
      <x:c r="Z127" s="117"/>
    </x:row>
    <x:row r="128">
      <x:c r="A128" s="117"/>
      <x:c r="B128" s="117"/>
      <x:c r="C128" s="117"/>
      <x:c r="D128" s="117"/>
      <x:c r="E128" s="117"/>
      <x:c r="F128" s="117"/>
      <x:c r="G128" s="117"/>
      <x:c r="H128" s="117"/>
      <x:c r="I128" s="117"/>
      <x:c r="J128" s="117"/>
      <x:c r="K128" s="117"/>
      <x:c r="L128" s="117"/>
      <x:c r="M128" s="117"/>
      <x:c r="N128" s="117"/>
      <x:c r="O128" s="117"/>
      <x:c r="P128" s="117"/>
      <x:c r="Q128" s="117"/>
      <x:c r="R128" s="117"/>
      <x:c r="S128" s="117"/>
      <x:c r="T128" s="117"/>
      <x:c r="U128" s="117"/>
      <x:c r="V128" s="117"/>
      <x:c r="W128" s="117"/>
      <x:c r="X128" s="117"/>
      <x:c r="Y128" s="117"/>
      <x:c r="Z128" s="117"/>
    </x:row>
    <x:row r="129">
      <x:c r="A129" s="117"/>
      <x:c r="B129" s="117"/>
      <x:c r="C129" s="117"/>
      <x:c r="D129" s="117"/>
      <x:c r="E129" s="117"/>
      <x:c r="F129" s="117"/>
      <x:c r="G129" s="117"/>
      <x:c r="H129" s="117"/>
      <x:c r="I129" s="117"/>
      <x:c r="J129" s="117"/>
      <x:c r="K129" s="117"/>
      <x:c r="L129" s="117"/>
      <x:c r="M129" s="117"/>
      <x:c r="N129" s="117"/>
      <x:c r="O129" s="117"/>
      <x:c r="P129" s="117"/>
      <x:c r="Q129" s="117"/>
      <x:c r="R129" s="117"/>
      <x:c r="S129" s="117"/>
      <x:c r="T129" s="117"/>
      <x:c r="U129" s="117"/>
      <x:c r="V129" s="117"/>
      <x:c r="W129" s="117"/>
      <x:c r="X129" s="117"/>
      <x:c r="Y129" s="117"/>
      <x:c r="Z129" s="117"/>
    </x:row>
    <x:row r="130">
      <x:c r="A130" s="117"/>
      <x:c r="B130" s="117"/>
      <x:c r="C130" s="117"/>
      <x:c r="D130" s="117"/>
      <x:c r="E130" s="117"/>
      <x:c r="F130" s="117"/>
      <x:c r="G130" s="117"/>
      <x:c r="H130" s="117"/>
      <x:c r="I130" s="117"/>
      <x:c r="J130" s="117"/>
      <x:c r="K130" s="117"/>
      <x:c r="L130" s="117"/>
      <x:c r="M130" s="117"/>
      <x:c r="N130" s="117"/>
      <x:c r="O130" s="117"/>
      <x:c r="P130" s="117"/>
      <x:c r="Q130" s="117"/>
      <x:c r="R130" s="117"/>
      <x:c r="S130" s="117"/>
      <x:c r="T130" s="117"/>
      <x:c r="U130" s="117"/>
      <x:c r="V130" s="117"/>
      <x:c r="W130" s="117"/>
      <x:c r="X130" s="117"/>
      <x:c r="Y130" s="117"/>
      <x:c r="Z130" s="117"/>
    </x:row>
    <x:row r="131">
      <x:c r="A131" s="117"/>
      <x:c r="B131" s="117"/>
      <x:c r="C131" s="117"/>
      <x:c r="D131" s="117"/>
      <x:c r="E131" s="117"/>
      <x:c r="F131" s="117"/>
      <x:c r="G131" s="117"/>
      <x:c r="H131" s="117"/>
      <x:c r="I131" s="117"/>
      <x:c r="J131" s="117"/>
      <x:c r="K131" s="117"/>
      <x:c r="L131" s="117"/>
      <x:c r="M131" s="117"/>
      <x:c r="N131" s="117"/>
      <x:c r="O131" s="117"/>
      <x:c r="P131" s="117"/>
      <x:c r="Q131" s="117"/>
      <x:c r="R131" s="117"/>
      <x:c r="S131" s="117"/>
      <x:c r="T131" s="117"/>
      <x:c r="U131" s="117"/>
      <x:c r="V131" s="117"/>
      <x:c r="W131" s="117"/>
      <x:c r="X131" s="117"/>
      <x:c r="Y131" s="117"/>
      <x:c r="Z131" s="117"/>
    </x:row>
    <x:row r="132">
      <x:c r="A132" s="117"/>
      <x:c r="B132" s="117"/>
      <x:c r="C132" s="117"/>
      <x:c r="D132" s="117"/>
      <x:c r="E132" s="117"/>
      <x:c r="F132" s="117"/>
      <x:c r="G132" s="117"/>
      <x:c r="H132" s="117"/>
      <x:c r="I132" s="117"/>
      <x:c r="J132" s="117"/>
      <x:c r="K132" s="117"/>
      <x:c r="L132" s="117"/>
      <x:c r="M132" s="117"/>
      <x:c r="N132" s="117"/>
      <x:c r="O132" s="117"/>
      <x:c r="P132" s="117"/>
      <x:c r="Q132" s="117"/>
      <x:c r="R132" s="117"/>
      <x:c r="S132" s="117"/>
      <x:c r="T132" s="117"/>
      <x:c r="U132" s="117"/>
      <x:c r="V132" s="117"/>
      <x:c r="W132" s="117"/>
      <x:c r="X132" s="117"/>
      <x:c r="Y132" s="117"/>
      <x:c r="Z132" s="117"/>
    </x:row>
    <x:row r="133">
      <x:c r="A133" s="117"/>
      <x:c r="B133" s="117"/>
      <x:c r="C133" s="117"/>
      <x:c r="D133" s="117"/>
      <x:c r="E133" s="117"/>
      <x:c r="F133" s="117"/>
      <x:c r="G133" s="117"/>
      <x:c r="H133" s="117"/>
      <x:c r="I133" s="117"/>
      <x:c r="J133" s="117"/>
      <x:c r="K133" s="117"/>
      <x:c r="L133" s="117"/>
      <x:c r="M133" s="117"/>
      <x:c r="N133" s="117"/>
      <x:c r="O133" s="117"/>
      <x:c r="P133" s="117"/>
      <x:c r="Q133" s="117"/>
      <x:c r="R133" s="117"/>
      <x:c r="S133" s="117"/>
      <x:c r="T133" s="117"/>
      <x:c r="U133" s="117"/>
      <x:c r="V133" s="117"/>
      <x:c r="W133" s="117"/>
      <x:c r="X133" s="117"/>
      <x:c r="Y133" s="117"/>
      <x:c r="Z133" s="117"/>
    </x:row>
    <x:row r="134">
      <x:c r="A134" s="117"/>
      <x:c r="B134" s="117"/>
      <x:c r="C134" s="117"/>
      <x:c r="D134" s="117"/>
      <x:c r="E134" s="117"/>
      <x:c r="F134" s="117"/>
      <x:c r="G134" s="117"/>
      <x:c r="H134" s="117"/>
      <x:c r="I134" s="117"/>
      <x:c r="J134" s="117"/>
      <x:c r="K134" s="117"/>
      <x:c r="L134" s="117"/>
      <x:c r="M134" s="117"/>
      <x:c r="N134" s="117"/>
      <x:c r="O134" s="117"/>
      <x:c r="P134" s="117"/>
      <x:c r="Q134" s="117"/>
      <x:c r="R134" s="117"/>
      <x:c r="S134" s="117"/>
      <x:c r="T134" s="117"/>
      <x:c r="U134" s="117"/>
      <x:c r="V134" s="117"/>
      <x:c r="W134" s="117"/>
      <x:c r="X134" s="117"/>
      <x:c r="Y134" s="117"/>
      <x:c r="Z134" s="117"/>
    </x:row>
    <x:row r="135">
      <x:c r="A135" s="117"/>
      <x:c r="B135" s="117"/>
      <x:c r="C135" s="117"/>
      <x:c r="D135" s="117"/>
      <x:c r="E135" s="117"/>
      <x:c r="F135" s="117"/>
      <x:c r="G135" s="117"/>
      <x:c r="H135" s="117"/>
      <x:c r="I135" s="117"/>
      <x:c r="J135" s="117"/>
      <x:c r="K135" s="117"/>
      <x:c r="L135" s="117"/>
      <x:c r="M135" s="117"/>
      <x:c r="N135" s="117"/>
      <x:c r="O135" s="117"/>
      <x:c r="P135" s="117"/>
      <x:c r="Q135" s="117"/>
      <x:c r="R135" s="117"/>
      <x:c r="S135" s="117"/>
      <x:c r="T135" s="117"/>
      <x:c r="U135" s="117"/>
      <x:c r="V135" s="117"/>
      <x:c r="W135" s="117"/>
      <x:c r="X135" s="117"/>
      <x:c r="Y135" s="117"/>
      <x:c r="Z135" s="117"/>
    </x:row>
    <x:row r="136">
      <x:c r="A136" s="117"/>
      <x:c r="B136" s="117"/>
      <x:c r="C136" s="117"/>
      <x:c r="D136" s="117"/>
      <x:c r="E136" s="117"/>
      <x:c r="F136" s="117"/>
      <x:c r="G136" s="117"/>
      <x:c r="H136" s="117"/>
      <x:c r="I136" s="117"/>
      <x:c r="J136" s="117"/>
      <x:c r="K136" s="117"/>
      <x:c r="L136" s="117"/>
      <x:c r="M136" s="117"/>
      <x:c r="N136" s="117"/>
      <x:c r="O136" s="117"/>
      <x:c r="P136" s="117"/>
      <x:c r="Q136" s="117"/>
      <x:c r="R136" s="117"/>
      <x:c r="S136" s="117"/>
      <x:c r="T136" s="117"/>
      <x:c r="U136" s="117"/>
      <x:c r="V136" s="117"/>
      <x:c r="W136" s="117"/>
      <x:c r="X136" s="117"/>
      <x:c r="Y136" s="117"/>
      <x:c r="Z136" s="117"/>
    </x:row>
    <x:row r="137">
      <x:c r="A137" s="117"/>
      <x:c r="B137" s="117"/>
      <x:c r="C137" s="117"/>
      <x:c r="D137" s="117"/>
      <x:c r="E137" s="117"/>
      <x:c r="F137" s="117"/>
      <x:c r="G137" s="117"/>
      <x:c r="H137" s="117"/>
      <x:c r="I137" s="117"/>
      <x:c r="J137" s="117"/>
      <x:c r="K137" s="117"/>
      <x:c r="L137" s="117"/>
      <x:c r="M137" s="117"/>
      <x:c r="N137" s="117"/>
      <x:c r="O137" s="117"/>
      <x:c r="P137" s="117"/>
      <x:c r="Q137" s="117"/>
      <x:c r="R137" s="117"/>
      <x:c r="S137" s="117"/>
      <x:c r="T137" s="117"/>
      <x:c r="U137" s="117"/>
      <x:c r="V137" s="117"/>
      <x:c r="W137" s="117"/>
      <x:c r="X137" s="117"/>
      <x:c r="Y137" s="117"/>
      <x:c r="Z137" s="117"/>
    </x:row>
    <x:row r="138">
      <x:c r="A138" s="117"/>
      <x:c r="B138" s="117"/>
      <x:c r="C138" s="117"/>
      <x:c r="D138" s="117"/>
      <x:c r="E138" s="117"/>
      <x:c r="F138" s="117"/>
      <x:c r="G138" s="117"/>
      <x:c r="H138" s="117"/>
      <x:c r="I138" s="117"/>
      <x:c r="J138" s="117"/>
      <x:c r="K138" s="117"/>
      <x:c r="L138" s="117"/>
      <x:c r="M138" s="117"/>
      <x:c r="N138" s="117"/>
      <x:c r="O138" s="117"/>
      <x:c r="P138" s="117"/>
      <x:c r="Q138" s="117"/>
      <x:c r="R138" s="117"/>
      <x:c r="S138" s="117"/>
      <x:c r="T138" s="117"/>
      <x:c r="U138" s="117"/>
      <x:c r="V138" s="117"/>
      <x:c r="W138" s="117"/>
      <x:c r="X138" s="117"/>
      <x:c r="Y138" s="117"/>
      <x:c r="Z138" s="117"/>
    </x:row>
    <x:row r="139">
      <x:c r="A139" s="117"/>
      <x:c r="B139" s="117"/>
      <x:c r="C139" s="117"/>
      <x:c r="D139" s="117"/>
      <x:c r="E139" s="117"/>
      <x:c r="F139" s="117"/>
      <x:c r="G139" s="117"/>
      <x:c r="H139" s="117"/>
      <x:c r="I139" s="117"/>
      <x:c r="J139" s="117"/>
      <x:c r="K139" s="117"/>
      <x:c r="L139" s="117"/>
      <x:c r="M139" s="117"/>
      <x:c r="N139" s="117"/>
      <x:c r="O139" s="117"/>
      <x:c r="P139" s="117"/>
      <x:c r="Q139" s="117"/>
      <x:c r="R139" s="117"/>
      <x:c r="S139" s="117"/>
      <x:c r="T139" s="117"/>
      <x:c r="U139" s="117"/>
      <x:c r="V139" s="117"/>
      <x:c r="W139" s="117"/>
      <x:c r="X139" s="117"/>
      <x:c r="Y139" s="117"/>
      <x:c r="Z139" s="117"/>
    </x:row>
    <x:row r="140">
      <x:c r="A140" s="117"/>
      <x:c r="B140" s="117"/>
      <x:c r="C140" s="117"/>
      <x:c r="D140" s="117"/>
      <x:c r="E140" s="117"/>
      <x:c r="F140" s="117"/>
      <x:c r="G140" s="117"/>
      <x:c r="H140" s="117"/>
      <x:c r="I140" s="117"/>
      <x:c r="J140" s="117"/>
      <x:c r="K140" s="117"/>
      <x:c r="L140" s="117"/>
      <x:c r="M140" s="117"/>
      <x:c r="N140" s="117"/>
      <x:c r="O140" s="117"/>
      <x:c r="P140" s="117"/>
      <x:c r="Q140" s="117"/>
      <x:c r="R140" s="117"/>
      <x:c r="S140" s="117"/>
      <x:c r="T140" s="117"/>
      <x:c r="U140" s="117"/>
      <x:c r="V140" s="117"/>
      <x:c r="W140" s="117"/>
      <x:c r="X140" s="117"/>
      <x:c r="Y140" s="117"/>
      <x:c r="Z140" s="117"/>
    </x:row>
    <x:row r="141">
      <x:c r="A141" s="117"/>
      <x:c r="B141" s="117"/>
      <x:c r="C141" s="117"/>
      <x:c r="D141" s="117"/>
      <x:c r="E141" s="117"/>
      <x:c r="F141" s="117"/>
      <x:c r="G141" s="117"/>
      <x:c r="H141" s="117"/>
      <x:c r="I141" s="117"/>
      <x:c r="J141" s="117"/>
      <x:c r="K141" s="117"/>
      <x:c r="L141" s="117"/>
      <x:c r="M141" s="117"/>
      <x:c r="N141" s="117"/>
      <x:c r="O141" s="117"/>
      <x:c r="P141" s="117"/>
      <x:c r="Q141" s="117"/>
      <x:c r="R141" s="117"/>
      <x:c r="S141" s="117"/>
      <x:c r="T141" s="117"/>
      <x:c r="U141" s="117"/>
      <x:c r="V141" s="117"/>
      <x:c r="W141" s="117"/>
      <x:c r="X141" s="117"/>
      <x:c r="Y141" s="117"/>
      <x:c r="Z141" s="117"/>
    </x:row>
    <x:row r="142">
      <x:c r="A142" s="117"/>
      <x:c r="B142" s="117"/>
      <x:c r="C142" s="117"/>
      <x:c r="D142" s="117"/>
      <x:c r="E142" s="117"/>
      <x:c r="F142" s="117"/>
      <x:c r="G142" s="117"/>
      <x:c r="H142" s="117"/>
      <x:c r="I142" s="117"/>
      <x:c r="J142" s="117"/>
      <x:c r="K142" s="117"/>
      <x:c r="L142" s="117"/>
      <x:c r="M142" s="117"/>
      <x:c r="N142" s="117"/>
      <x:c r="O142" s="117"/>
      <x:c r="P142" s="117"/>
      <x:c r="Q142" s="117"/>
      <x:c r="R142" s="117"/>
      <x:c r="S142" s="117"/>
      <x:c r="T142" s="117"/>
      <x:c r="U142" s="117"/>
      <x:c r="V142" s="117"/>
      <x:c r="W142" s="117"/>
      <x:c r="X142" s="117"/>
      <x:c r="Y142" s="117"/>
      <x:c r="Z142" s="117"/>
    </x:row>
    <x:row r="143">
      <x:c r="A143" s="117"/>
      <x:c r="B143" s="117"/>
      <x:c r="C143" s="117"/>
      <x:c r="D143" s="117"/>
      <x:c r="E143" s="117"/>
      <x:c r="F143" s="117"/>
      <x:c r="G143" s="117"/>
      <x:c r="H143" s="117"/>
      <x:c r="I143" s="117"/>
      <x:c r="J143" s="117"/>
      <x:c r="K143" s="117"/>
      <x:c r="L143" s="117"/>
      <x:c r="M143" s="117"/>
      <x:c r="N143" s="117"/>
      <x:c r="O143" s="117"/>
      <x:c r="P143" s="117"/>
      <x:c r="Q143" s="117"/>
      <x:c r="R143" s="117"/>
      <x:c r="S143" s="117"/>
      <x:c r="T143" s="117"/>
      <x:c r="U143" s="117"/>
      <x:c r="V143" s="117"/>
      <x:c r="W143" s="117"/>
      <x:c r="X143" s="117"/>
      <x:c r="Y143" s="117"/>
      <x:c r="Z143" s="117"/>
    </x:row>
    <x:row r="144">
      <x:c r="A144" s="117"/>
      <x:c r="B144" s="117"/>
      <x:c r="C144" s="117"/>
      <x:c r="D144" s="117"/>
      <x:c r="E144" s="117"/>
      <x:c r="F144" s="117"/>
      <x:c r="G144" s="117"/>
      <x:c r="H144" s="117"/>
      <x:c r="I144" s="117"/>
      <x:c r="J144" s="117"/>
      <x:c r="K144" s="117"/>
      <x:c r="L144" s="117"/>
      <x:c r="M144" s="117"/>
      <x:c r="N144" s="117"/>
      <x:c r="O144" s="117"/>
      <x:c r="P144" s="117"/>
      <x:c r="Q144" s="117"/>
      <x:c r="R144" s="117"/>
      <x:c r="S144" s="117"/>
      <x:c r="T144" s="117"/>
      <x:c r="U144" s="117"/>
      <x:c r="V144" s="117"/>
      <x:c r="W144" s="117"/>
      <x:c r="X144" s="117"/>
      <x:c r="Y144" s="117"/>
      <x:c r="Z144" s="117"/>
    </x:row>
    <x:row r="145">
      <x:c r="A145" s="117"/>
      <x:c r="B145" s="117"/>
      <x:c r="C145" s="117"/>
      <x:c r="D145" s="117"/>
      <x:c r="E145" s="117"/>
      <x:c r="F145" s="117"/>
      <x:c r="G145" s="117"/>
      <x:c r="H145" s="117"/>
      <x:c r="I145" s="117"/>
      <x:c r="J145" s="117"/>
      <x:c r="K145" s="117"/>
      <x:c r="L145" s="117"/>
      <x:c r="M145" s="117"/>
      <x:c r="N145" s="117"/>
      <x:c r="O145" s="117"/>
      <x:c r="P145" s="117"/>
      <x:c r="Q145" s="117"/>
      <x:c r="R145" s="117"/>
      <x:c r="S145" s="117"/>
      <x:c r="T145" s="117"/>
      <x:c r="U145" s="117"/>
      <x:c r="V145" s="117"/>
      <x:c r="W145" s="117"/>
      <x:c r="X145" s="117"/>
      <x:c r="Y145" s="117"/>
      <x:c r="Z145" s="117"/>
    </x:row>
    <x:row r="146">
      <x:c r="A146" s="117"/>
      <x:c r="B146" s="117"/>
      <x:c r="C146" s="117"/>
      <x:c r="D146" s="117"/>
      <x:c r="E146" s="117"/>
      <x:c r="F146" s="117"/>
      <x:c r="G146" s="117"/>
      <x:c r="H146" s="117"/>
      <x:c r="I146" s="117"/>
      <x:c r="J146" s="117"/>
      <x:c r="K146" s="117"/>
      <x:c r="L146" s="117"/>
      <x:c r="M146" s="117"/>
      <x:c r="N146" s="117"/>
      <x:c r="O146" s="117"/>
      <x:c r="P146" s="117"/>
      <x:c r="Q146" s="117"/>
      <x:c r="R146" s="117"/>
      <x:c r="S146" s="117"/>
      <x:c r="T146" s="117"/>
      <x:c r="U146" s="117"/>
      <x:c r="V146" s="117"/>
      <x:c r="W146" s="117"/>
      <x:c r="X146" s="117"/>
      <x:c r="Y146" s="117"/>
      <x:c r="Z146" s="117"/>
    </x:row>
    <x:row r="147">
      <x:c r="A147" s="117"/>
      <x:c r="B147" s="117"/>
      <x:c r="C147" s="117"/>
      <x:c r="D147" s="117"/>
      <x:c r="E147" s="117"/>
      <x:c r="F147" s="117"/>
      <x:c r="G147" s="117"/>
      <x:c r="H147" s="117"/>
      <x:c r="I147" s="117"/>
      <x:c r="J147" s="117"/>
      <x:c r="K147" s="117"/>
      <x:c r="L147" s="117"/>
      <x:c r="M147" s="117"/>
      <x:c r="N147" s="117"/>
      <x:c r="O147" s="117"/>
      <x:c r="P147" s="117"/>
      <x:c r="Q147" s="117"/>
      <x:c r="R147" s="117"/>
      <x:c r="S147" s="117"/>
      <x:c r="T147" s="117"/>
      <x:c r="U147" s="117"/>
      <x:c r="V147" s="117"/>
      <x:c r="W147" s="117"/>
      <x:c r="X147" s="117"/>
      <x:c r="Y147" s="117"/>
      <x:c r="Z147" s="117"/>
    </x:row>
    <x:row r="148">
      <x:c r="A148" s="117"/>
      <x:c r="B148" s="117"/>
      <x:c r="C148" s="117"/>
      <x:c r="D148" s="117"/>
      <x:c r="E148" s="117"/>
      <x:c r="F148" s="117"/>
      <x:c r="G148" s="117"/>
      <x:c r="H148" s="117"/>
      <x:c r="I148" s="117"/>
      <x:c r="J148" s="117"/>
      <x:c r="K148" s="117"/>
      <x:c r="L148" s="117"/>
      <x:c r="M148" s="117"/>
      <x:c r="N148" s="117"/>
      <x:c r="O148" s="117"/>
      <x:c r="P148" s="117"/>
      <x:c r="Q148" s="117"/>
      <x:c r="R148" s="117"/>
      <x:c r="S148" s="117"/>
      <x:c r="T148" s="117"/>
      <x:c r="U148" s="117"/>
      <x:c r="V148" s="117"/>
      <x:c r="W148" s="117"/>
      <x:c r="X148" s="117"/>
      <x:c r="Y148" s="117"/>
      <x:c r="Z148" s="117"/>
    </x:row>
    <x:row r="149">
      <x:c r="A149" s="117"/>
      <x:c r="B149" s="117"/>
      <x:c r="C149" s="117"/>
      <x:c r="D149" s="117"/>
      <x:c r="E149" s="117"/>
      <x:c r="F149" s="117"/>
      <x:c r="G149" s="117"/>
      <x:c r="H149" s="117"/>
      <x:c r="I149" s="117"/>
      <x:c r="J149" s="117"/>
      <x:c r="K149" s="117"/>
      <x:c r="L149" s="117"/>
      <x:c r="M149" s="117"/>
      <x:c r="N149" s="117"/>
      <x:c r="O149" s="117"/>
      <x:c r="P149" s="117"/>
      <x:c r="Q149" s="117"/>
      <x:c r="R149" s="117"/>
      <x:c r="S149" s="117"/>
      <x:c r="T149" s="117"/>
      <x:c r="U149" s="117"/>
      <x:c r="V149" s="117"/>
      <x:c r="W149" s="117"/>
      <x:c r="X149" s="117"/>
      <x:c r="Y149" s="117"/>
      <x:c r="Z149" s="117"/>
    </x:row>
    <x:row r="150">
      <x:c r="A150" s="117"/>
      <x:c r="B150" s="117"/>
      <x:c r="C150" s="117"/>
      <x:c r="D150" s="117"/>
      <x:c r="E150" s="117"/>
      <x:c r="F150" s="117"/>
      <x:c r="G150" s="117"/>
      <x:c r="H150" s="117"/>
      <x:c r="I150" s="117"/>
      <x:c r="J150" s="117"/>
      <x:c r="K150" s="117"/>
      <x:c r="L150" s="117"/>
      <x:c r="M150" s="117"/>
      <x:c r="N150" s="117"/>
      <x:c r="O150" s="117"/>
      <x:c r="P150" s="117"/>
      <x:c r="Q150" s="117"/>
      <x:c r="R150" s="117"/>
      <x:c r="S150" s="117"/>
      <x:c r="T150" s="117"/>
      <x:c r="U150" s="117"/>
      <x:c r="V150" s="117"/>
      <x:c r="W150" s="117"/>
      <x:c r="X150" s="117"/>
      <x:c r="Y150" s="117"/>
      <x:c r="Z150" s="117"/>
    </x:row>
    <x:row r="151">
      <x:c r="A151" s="117"/>
      <x:c r="B151" s="117"/>
      <x:c r="C151" s="117"/>
      <x:c r="D151" s="117"/>
      <x:c r="E151" s="117"/>
      <x:c r="F151" s="117"/>
      <x:c r="G151" s="117"/>
      <x:c r="H151" s="117"/>
      <x:c r="I151" s="117"/>
      <x:c r="J151" s="117"/>
      <x:c r="K151" s="117"/>
      <x:c r="L151" s="117"/>
      <x:c r="M151" s="117"/>
      <x:c r="N151" s="117"/>
      <x:c r="O151" s="117"/>
      <x:c r="P151" s="117"/>
      <x:c r="Q151" s="117"/>
      <x:c r="R151" s="117"/>
      <x:c r="S151" s="117"/>
      <x:c r="T151" s="117"/>
      <x:c r="U151" s="117"/>
      <x:c r="V151" s="117"/>
      <x:c r="W151" s="117"/>
      <x:c r="X151" s="117"/>
      <x:c r="Y151" s="117"/>
      <x:c r="Z151" s="117"/>
    </x:row>
    <x:row r="152">
      <x:c r="A152" s="117"/>
      <x:c r="B152" s="117"/>
      <x:c r="C152" s="117"/>
      <x:c r="D152" s="117"/>
      <x:c r="E152" s="117"/>
      <x:c r="F152" s="117"/>
      <x:c r="G152" s="117"/>
      <x:c r="H152" s="117"/>
      <x:c r="I152" s="117"/>
      <x:c r="J152" s="117"/>
      <x:c r="K152" s="117"/>
      <x:c r="L152" s="117"/>
      <x:c r="M152" s="117"/>
      <x:c r="N152" s="117"/>
      <x:c r="O152" s="117"/>
      <x:c r="P152" s="117"/>
      <x:c r="Q152" s="117"/>
      <x:c r="R152" s="117"/>
      <x:c r="S152" s="117"/>
      <x:c r="T152" s="117"/>
      <x:c r="U152" s="117"/>
      <x:c r="V152" s="117"/>
      <x:c r="W152" s="117"/>
      <x:c r="X152" s="117"/>
      <x:c r="Y152" s="117"/>
      <x:c r="Z152" s="117"/>
    </x:row>
    <x:row r="153">
      <x:c r="A153" s="117"/>
      <x:c r="B153" s="117"/>
      <x:c r="C153" s="117"/>
      <x:c r="D153" s="117"/>
      <x:c r="E153" s="117"/>
      <x:c r="F153" s="117"/>
      <x:c r="G153" s="117"/>
      <x:c r="H153" s="117"/>
      <x:c r="I153" s="117"/>
      <x:c r="J153" s="117"/>
      <x:c r="K153" s="117"/>
      <x:c r="L153" s="117"/>
      <x:c r="M153" s="117"/>
      <x:c r="N153" s="117"/>
      <x:c r="O153" s="117"/>
      <x:c r="P153" s="117"/>
      <x:c r="Q153" s="117"/>
      <x:c r="R153" s="117"/>
      <x:c r="S153" s="117"/>
      <x:c r="T153" s="117"/>
      <x:c r="U153" s="117"/>
      <x:c r="V153" s="117"/>
      <x:c r="W153" s="117"/>
      <x:c r="X153" s="117"/>
      <x:c r="Y153" s="117"/>
      <x:c r="Z153" s="117"/>
    </x:row>
    <x:row r="154">
      <x:c r="A154" s="117"/>
      <x:c r="B154" s="117"/>
      <x:c r="C154" s="117"/>
      <x:c r="D154" s="117"/>
      <x:c r="E154" s="117"/>
      <x:c r="F154" s="117"/>
      <x:c r="G154" s="117"/>
      <x:c r="H154" s="117"/>
      <x:c r="I154" s="117"/>
      <x:c r="J154" s="117"/>
      <x:c r="K154" s="117"/>
      <x:c r="L154" s="117"/>
      <x:c r="M154" s="117"/>
      <x:c r="N154" s="117"/>
      <x:c r="O154" s="117"/>
      <x:c r="P154" s="117"/>
      <x:c r="Q154" s="117"/>
      <x:c r="R154" s="117"/>
      <x:c r="S154" s="117"/>
      <x:c r="T154" s="117"/>
      <x:c r="U154" s="117"/>
      <x:c r="V154" s="117"/>
      <x:c r="W154" s="117"/>
      <x:c r="X154" s="117"/>
      <x:c r="Y154" s="117"/>
      <x:c r="Z154" s="117"/>
    </x:row>
    <x:row r="155">
      <x:c r="A155" s="117"/>
      <x:c r="B155" s="117"/>
      <x:c r="C155" s="117"/>
      <x:c r="D155" s="117"/>
      <x:c r="E155" s="117"/>
      <x:c r="F155" s="117"/>
      <x:c r="G155" s="117"/>
      <x:c r="H155" s="117"/>
      <x:c r="I155" s="117"/>
      <x:c r="J155" s="117"/>
      <x:c r="K155" s="117"/>
      <x:c r="L155" s="117"/>
      <x:c r="M155" s="117"/>
      <x:c r="N155" s="117"/>
      <x:c r="O155" s="117"/>
      <x:c r="P155" s="117"/>
      <x:c r="Q155" s="117"/>
      <x:c r="R155" s="117"/>
      <x:c r="S155" s="117"/>
      <x:c r="T155" s="117"/>
      <x:c r="U155" s="117"/>
      <x:c r="V155" s="117"/>
      <x:c r="W155" s="117"/>
      <x:c r="X155" s="117"/>
      <x:c r="Y155" s="117"/>
      <x:c r="Z155" s="117"/>
    </x:row>
    <x:row r="156">
      <x:c r="A156" s="117"/>
      <x:c r="B156" s="117"/>
      <x:c r="C156" s="117"/>
      <x:c r="D156" s="117"/>
      <x:c r="E156" s="117"/>
      <x:c r="F156" s="117"/>
      <x:c r="G156" s="117"/>
      <x:c r="H156" s="117"/>
      <x:c r="I156" s="117"/>
      <x:c r="J156" s="117"/>
      <x:c r="K156" s="117"/>
      <x:c r="L156" s="117"/>
      <x:c r="M156" s="117"/>
      <x:c r="N156" s="117"/>
      <x:c r="O156" s="117"/>
      <x:c r="P156" s="117"/>
      <x:c r="Q156" s="117"/>
      <x:c r="R156" s="117"/>
      <x:c r="S156" s="117"/>
      <x:c r="T156" s="117"/>
      <x:c r="U156" s="117"/>
      <x:c r="V156" s="117"/>
      <x:c r="W156" s="117"/>
      <x:c r="X156" s="117"/>
      <x:c r="Y156" s="117"/>
      <x:c r="Z156" s="117"/>
    </x:row>
    <x:row r="157">
      <x:c r="A157" s="117"/>
      <x:c r="B157" s="117"/>
      <x:c r="C157" s="117"/>
      <x:c r="D157" s="117"/>
      <x:c r="E157" s="117"/>
      <x:c r="F157" s="117"/>
      <x:c r="G157" s="117"/>
      <x:c r="H157" s="117"/>
      <x:c r="I157" s="117"/>
      <x:c r="J157" s="117"/>
      <x:c r="K157" s="117"/>
      <x:c r="L157" s="117"/>
      <x:c r="M157" s="117"/>
      <x:c r="N157" s="117"/>
      <x:c r="O157" s="117"/>
      <x:c r="P157" s="117"/>
      <x:c r="Q157" s="117"/>
      <x:c r="R157" s="117"/>
      <x:c r="S157" s="117"/>
      <x:c r="T157" s="117"/>
      <x:c r="U157" s="117"/>
      <x:c r="V157" s="117"/>
      <x:c r="W157" s="117"/>
      <x:c r="X157" s="117"/>
      <x:c r="Y157" s="117"/>
      <x:c r="Z157" s="117"/>
    </x:row>
    <x:row r="158">
      <x:c r="A158" s="117"/>
      <x:c r="B158" s="117"/>
      <x:c r="C158" s="117"/>
      <x:c r="D158" s="117"/>
      <x:c r="E158" s="117"/>
      <x:c r="F158" s="117"/>
      <x:c r="G158" s="117"/>
      <x:c r="H158" s="117"/>
      <x:c r="I158" s="117"/>
      <x:c r="J158" s="117"/>
      <x:c r="K158" s="117"/>
      <x:c r="L158" s="117"/>
      <x:c r="M158" s="117"/>
      <x:c r="N158" s="117"/>
      <x:c r="O158" s="117"/>
      <x:c r="P158" s="117"/>
      <x:c r="Q158" s="117"/>
      <x:c r="R158" s="117"/>
      <x:c r="S158" s="117"/>
      <x:c r="T158" s="117"/>
      <x:c r="U158" s="117"/>
      <x:c r="V158" s="117"/>
      <x:c r="W158" s="117"/>
      <x:c r="X158" s="117"/>
      <x:c r="Y158" s="117"/>
      <x:c r="Z158" s="117"/>
    </x:row>
    <x:row r="159">
      <x:c r="A159" s="117"/>
      <x:c r="B159" s="117"/>
      <x:c r="C159" s="117"/>
      <x:c r="D159" s="117"/>
      <x:c r="E159" s="117"/>
      <x:c r="F159" s="117"/>
      <x:c r="G159" s="117"/>
      <x:c r="H159" s="117"/>
      <x:c r="I159" s="117"/>
      <x:c r="J159" s="117"/>
      <x:c r="K159" s="117"/>
      <x:c r="L159" s="117"/>
      <x:c r="M159" s="117"/>
      <x:c r="N159" s="117"/>
      <x:c r="O159" s="117"/>
      <x:c r="P159" s="117"/>
      <x:c r="Q159" s="117"/>
      <x:c r="R159" s="117"/>
      <x:c r="S159" s="117"/>
      <x:c r="T159" s="117"/>
      <x:c r="U159" s="117"/>
      <x:c r="V159" s="117"/>
      <x:c r="W159" s="117"/>
      <x:c r="X159" s="117"/>
      <x:c r="Y159" s="117"/>
      <x:c r="Z159" s="117"/>
    </x:row>
    <x:row r="160">
      <x:c r="A160" s="117"/>
      <x:c r="B160" s="117"/>
      <x:c r="C160" s="117"/>
      <x:c r="D160" s="117"/>
      <x:c r="E160" s="117"/>
      <x:c r="F160" s="117"/>
      <x:c r="G160" s="117"/>
      <x:c r="H160" s="117"/>
      <x:c r="I160" s="117"/>
      <x:c r="J160" s="117"/>
      <x:c r="K160" s="117"/>
      <x:c r="L160" s="117"/>
      <x:c r="M160" s="117"/>
      <x:c r="N160" s="117"/>
      <x:c r="O160" s="117"/>
      <x:c r="P160" s="117"/>
      <x:c r="Q160" s="117"/>
      <x:c r="R160" s="117"/>
      <x:c r="S160" s="117"/>
      <x:c r="T160" s="117"/>
      <x:c r="U160" s="117"/>
      <x:c r="V160" s="117"/>
      <x:c r="W160" s="117"/>
      <x:c r="X160" s="117"/>
      <x:c r="Y160" s="117"/>
      <x:c r="Z160" s="117"/>
    </x:row>
    <x:row r="161">
      <x:c r="A161" s="117"/>
      <x:c r="B161" s="117"/>
      <x:c r="C161" s="117"/>
      <x:c r="D161" s="117"/>
      <x:c r="E161" s="117"/>
      <x:c r="F161" s="117"/>
      <x:c r="G161" s="117"/>
      <x:c r="H161" s="117"/>
      <x:c r="I161" s="117"/>
      <x:c r="J161" s="117"/>
      <x:c r="K161" s="117"/>
      <x:c r="L161" s="117"/>
      <x:c r="M161" s="117"/>
      <x:c r="N161" s="117"/>
      <x:c r="O161" s="117"/>
      <x:c r="P161" s="117"/>
      <x:c r="Q161" s="117"/>
      <x:c r="R161" s="117"/>
      <x:c r="S161" s="117"/>
      <x:c r="T161" s="117"/>
      <x:c r="U161" s="117"/>
      <x:c r="V161" s="117"/>
      <x:c r="W161" s="117"/>
      <x:c r="X161" s="117"/>
      <x:c r="Y161" s="117"/>
      <x:c r="Z161" s="117"/>
    </x:row>
    <x:row r="162">
      <x:c r="A162" s="117"/>
      <x:c r="B162" s="117"/>
      <x:c r="C162" s="117"/>
      <x:c r="D162" s="117"/>
      <x:c r="E162" s="117"/>
      <x:c r="F162" s="117"/>
      <x:c r="G162" s="117"/>
      <x:c r="H162" s="117"/>
      <x:c r="I162" s="117"/>
      <x:c r="J162" s="117"/>
      <x:c r="K162" s="117"/>
      <x:c r="L162" s="117"/>
      <x:c r="M162" s="117"/>
      <x:c r="N162" s="117"/>
      <x:c r="O162" s="117"/>
      <x:c r="P162" s="117"/>
      <x:c r="Q162" s="117"/>
      <x:c r="R162" s="117"/>
      <x:c r="S162" s="117"/>
      <x:c r="T162" s="117"/>
      <x:c r="U162" s="117"/>
      <x:c r="V162" s="117"/>
      <x:c r="W162" s="117"/>
      <x:c r="X162" s="117"/>
      <x:c r="Y162" s="117"/>
      <x:c r="Z162" s="117"/>
    </x:row>
    <x:row r="163">
      <x:c r="A163" s="117"/>
      <x:c r="B163" s="117"/>
      <x:c r="C163" s="117"/>
      <x:c r="D163" s="117"/>
      <x:c r="E163" s="117"/>
      <x:c r="F163" s="117"/>
      <x:c r="G163" s="117"/>
      <x:c r="H163" s="117"/>
      <x:c r="I163" s="117"/>
      <x:c r="J163" s="117"/>
      <x:c r="K163" s="117"/>
      <x:c r="L163" s="117"/>
      <x:c r="M163" s="117"/>
      <x:c r="N163" s="117"/>
      <x:c r="O163" s="117"/>
      <x:c r="P163" s="117"/>
      <x:c r="Q163" s="117"/>
      <x:c r="R163" s="117"/>
      <x:c r="S163" s="117"/>
      <x:c r="T163" s="117"/>
      <x:c r="U163" s="117"/>
      <x:c r="V163" s="117"/>
      <x:c r="W163" s="117"/>
      <x:c r="X163" s="117"/>
      <x:c r="Y163" s="117"/>
      <x:c r="Z163" s="117"/>
    </x:row>
    <x:row r="164">
      <x:c r="A164" s="117"/>
      <x:c r="B164" s="117"/>
      <x:c r="C164" s="117"/>
      <x:c r="D164" s="117"/>
      <x:c r="E164" s="117"/>
      <x:c r="F164" s="117"/>
      <x:c r="G164" s="117"/>
      <x:c r="H164" s="117"/>
      <x:c r="I164" s="117"/>
      <x:c r="J164" s="117"/>
      <x:c r="K164" s="117"/>
      <x:c r="L164" s="117"/>
      <x:c r="M164" s="117"/>
      <x:c r="N164" s="117"/>
      <x:c r="O164" s="117"/>
      <x:c r="P164" s="117"/>
      <x:c r="Q164" s="117"/>
      <x:c r="R164" s="117"/>
      <x:c r="S164" s="117"/>
      <x:c r="T164" s="117"/>
      <x:c r="U164" s="117"/>
      <x:c r="V164" s="117"/>
      <x:c r="W164" s="117"/>
      <x:c r="X164" s="117"/>
      <x:c r="Y164" s="117"/>
      <x:c r="Z164" s="117"/>
    </x:row>
    <x:row r="165">
      <x:c r="A165" s="117"/>
      <x:c r="B165" s="117"/>
      <x:c r="C165" s="117"/>
      <x:c r="D165" s="117"/>
      <x:c r="E165" s="117"/>
      <x:c r="F165" s="117"/>
      <x:c r="G165" s="117"/>
      <x:c r="H165" s="117"/>
      <x:c r="I165" s="117"/>
      <x:c r="J165" s="117"/>
      <x:c r="K165" s="117"/>
      <x:c r="L165" s="117"/>
      <x:c r="M165" s="117"/>
      <x:c r="N165" s="117"/>
      <x:c r="O165" s="117"/>
      <x:c r="P165" s="117"/>
      <x:c r="Q165" s="117"/>
      <x:c r="R165" s="117"/>
      <x:c r="S165" s="117"/>
      <x:c r="T165" s="117"/>
      <x:c r="U165" s="117"/>
      <x:c r="V165" s="117"/>
      <x:c r="W165" s="117"/>
      <x:c r="X165" s="117"/>
      <x:c r="Y165" s="117"/>
      <x:c r="Z165" s="117"/>
    </x:row>
    <x:row r="166">
      <x:c r="A166" s="117"/>
      <x:c r="B166" s="117"/>
      <x:c r="C166" s="117"/>
      <x:c r="D166" s="117"/>
      <x:c r="E166" s="117"/>
      <x:c r="F166" s="117"/>
      <x:c r="G166" s="117"/>
      <x:c r="H166" s="117"/>
      <x:c r="I166" s="117"/>
      <x:c r="J166" s="117"/>
      <x:c r="K166" s="117"/>
      <x:c r="L166" s="117"/>
      <x:c r="M166" s="117"/>
      <x:c r="N166" s="117"/>
      <x:c r="O166" s="117"/>
      <x:c r="P166" s="117"/>
      <x:c r="Q166" s="117"/>
      <x:c r="R166" s="117"/>
      <x:c r="S166" s="117"/>
      <x:c r="T166" s="117"/>
      <x:c r="U166" s="117"/>
      <x:c r="V166" s="117"/>
      <x:c r="W166" s="117"/>
      <x:c r="X166" s="117"/>
      <x:c r="Y166" s="117"/>
      <x:c r="Z166" s="117"/>
    </x:row>
    <x:row r="167">
      <x:c r="A167" s="117"/>
      <x:c r="B167" s="117"/>
      <x:c r="C167" s="117"/>
      <x:c r="D167" s="117"/>
      <x:c r="E167" s="117"/>
      <x:c r="F167" s="117"/>
      <x:c r="G167" s="117"/>
      <x:c r="H167" s="117"/>
      <x:c r="I167" s="117"/>
      <x:c r="J167" s="117"/>
      <x:c r="K167" s="117"/>
      <x:c r="L167" s="117"/>
      <x:c r="M167" s="117"/>
      <x:c r="N167" s="117"/>
      <x:c r="O167" s="117"/>
      <x:c r="P167" s="117"/>
      <x:c r="Q167" s="117"/>
      <x:c r="R167" s="117"/>
      <x:c r="S167" s="117"/>
      <x:c r="T167" s="117"/>
      <x:c r="U167" s="117"/>
      <x:c r="V167" s="117"/>
      <x:c r="W167" s="117"/>
      <x:c r="X167" s="117"/>
      <x:c r="Y167" s="117"/>
      <x:c r="Z167" s="117"/>
    </x:row>
    <x:row r="168">
      <x:c r="A168" s="117"/>
      <x:c r="B168" s="117"/>
      <x:c r="C168" s="117"/>
      <x:c r="D168" s="117"/>
      <x:c r="E168" s="117"/>
      <x:c r="F168" s="117"/>
      <x:c r="G168" s="117"/>
      <x:c r="H168" s="117"/>
      <x:c r="I168" s="117"/>
      <x:c r="J168" s="117"/>
      <x:c r="K168" s="117"/>
      <x:c r="L168" s="117"/>
      <x:c r="M168" s="117"/>
      <x:c r="N168" s="117"/>
      <x:c r="O168" s="117"/>
      <x:c r="P168" s="117"/>
      <x:c r="Q168" s="117"/>
      <x:c r="R168" s="117"/>
      <x:c r="S168" s="117"/>
      <x:c r="T168" s="117"/>
      <x:c r="U168" s="117"/>
      <x:c r="V168" s="117"/>
      <x:c r="W168" s="117"/>
      <x:c r="X168" s="117"/>
      <x:c r="Y168" s="117"/>
      <x:c r="Z168" s="117"/>
    </x:row>
    <x:row r="169">
      <x:c r="A169" s="117"/>
      <x:c r="B169" s="117"/>
      <x:c r="C169" s="117"/>
      <x:c r="D169" s="117"/>
      <x:c r="E169" s="117"/>
      <x:c r="F169" s="117"/>
      <x:c r="G169" s="117"/>
      <x:c r="H169" s="117"/>
      <x:c r="I169" s="117"/>
      <x:c r="J169" s="117"/>
      <x:c r="K169" s="117"/>
      <x:c r="L169" s="117"/>
      <x:c r="M169" s="117"/>
      <x:c r="N169" s="117"/>
      <x:c r="O169" s="117"/>
      <x:c r="P169" s="117"/>
      <x:c r="Q169" s="117"/>
      <x:c r="R169" s="117"/>
      <x:c r="S169" s="117"/>
      <x:c r="T169" s="117"/>
      <x:c r="U169" s="117"/>
      <x:c r="V169" s="117"/>
      <x:c r="W169" s="117"/>
      <x:c r="X169" s="117"/>
      <x:c r="Y169" s="117"/>
      <x:c r="Z169" s="117"/>
    </x:row>
    <x:row r="170">
      <x:c r="A170" s="117"/>
      <x:c r="B170" s="117"/>
      <x:c r="C170" s="117"/>
      <x:c r="D170" s="117"/>
      <x:c r="E170" s="117"/>
      <x:c r="F170" s="117"/>
      <x:c r="G170" s="117"/>
      <x:c r="H170" s="117"/>
      <x:c r="I170" s="117"/>
      <x:c r="J170" s="117"/>
      <x:c r="K170" s="117"/>
      <x:c r="L170" s="117"/>
      <x:c r="M170" s="117"/>
      <x:c r="N170" s="117"/>
      <x:c r="O170" s="117"/>
      <x:c r="P170" s="117"/>
      <x:c r="Q170" s="117"/>
      <x:c r="R170" s="117"/>
      <x:c r="S170" s="117"/>
      <x:c r="T170" s="117"/>
      <x:c r="U170" s="117"/>
      <x:c r="V170" s="117"/>
      <x:c r="W170" s="117"/>
      <x:c r="X170" s="117"/>
      <x:c r="Y170" s="117"/>
      <x:c r="Z170" s="117"/>
    </x:row>
    <x:row r="171">
      <x:c r="A171" s="117"/>
      <x:c r="B171" s="117"/>
      <x:c r="C171" s="117"/>
      <x:c r="D171" s="117"/>
      <x:c r="E171" s="117"/>
      <x:c r="F171" s="117"/>
      <x:c r="G171" s="117"/>
      <x:c r="H171" s="117"/>
      <x:c r="I171" s="117"/>
      <x:c r="J171" s="117"/>
      <x:c r="K171" s="117"/>
      <x:c r="L171" s="117"/>
      <x:c r="M171" s="117"/>
      <x:c r="N171" s="117"/>
      <x:c r="O171" s="117"/>
      <x:c r="P171" s="117"/>
      <x:c r="Q171" s="117"/>
      <x:c r="R171" s="117"/>
      <x:c r="S171" s="117"/>
      <x:c r="T171" s="117"/>
      <x:c r="U171" s="117"/>
      <x:c r="V171" s="117"/>
      <x:c r="W171" s="117"/>
      <x:c r="X171" s="117"/>
      <x:c r="Y171" s="117"/>
      <x:c r="Z171" s="117"/>
    </x:row>
    <x:row r="172">
      <x:c r="A172" s="117"/>
      <x:c r="B172" s="117"/>
      <x:c r="C172" s="117"/>
      <x:c r="D172" s="117"/>
      <x:c r="E172" s="117"/>
      <x:c r="F172" s="117"/>
      <x:c r="G172" s="117"/>
      <x:c r="H172" s="117"/>
      <x:c r="I172" s="117"/>
      <x:c r="J172" s="117"/>
      <x:c r="K172" s="117"/>
      <x:c r="L172" s="117"/>
      <x:c r="M172" s="117"/>
      <x:c r="N172" s="117"/>
      <x:c r="O172" s="117"/>
      <x:c r="P172" s="117"/>
      <x:c r="Q172" s="117"/>
      <x:c r="R172" s="117"/>
      <x:c r="S172" s="117"/>
      <x:c r="T172" s="117"/>
      <x:c r="U172" s="117"/>
      <x:c r="V172" s="117"/>
      <x:c r="W172" s="117"/>
      <x:c r="X172" s="117"/>
      <x:c r="Y172" s="117"/>
      <x:c r="Z172" s="117"/>
    </x:row>
    <x:row r="173">
      <x:c r="A173" s="117"/>
      <x:c r="B173" s="117"/>
      <x:c r="C173" s="117"/>
      <x:c r="D173" s="117"/>
      <x:c r="E173" s="117"/>
      <x:c r="F173" s="117"/>
      <x:c r="G173" s="117"/>
      <x:c r="H173" s="117"/>
      <x:c r="I173" s="117"/>
      <x:c r="J173" s="117"/>
      <x:c r="K173" s="117"/>
      <x:c r="L173" s="117"/>
      <x:c r="M173" s="117"/>
      <x:c r="N173" s="117"/>
      <x:c r="O173" s="117"/>
      <x:c r="P173" s="117"/>
      <x:c r="Q173" s="117"/>
      <x:c r="R173" s="117"/>
      <x:c r="S173" s="117"/>
      <x:c r="T173" s="117"/>
      <x:c r="U173" s="117"/>
      <x:c r="V173" s="117"/>
      <x:c r="W173" s="117"/>
      <x:c r="X173" s="117"/>
      <x:c r="Y173" s="117"/>
      <x:c r="Z173" s="117"/>
    </x:row>
    <x:row r="174">
      <x:c r="A174" s="117"/>
      <x:c r="B174" s="117"/>
      <x:c r="C174" s="117"/>
      <x:c r="D174" s="117"/>
      <x:c r="E174" s="117"/>
      <x:c r="F174" s="117"/>
      <x:c r="G174" s="117"/>
      <x:c r="H174" s="117"/>
      <x:c r="I174" s="117"/>
      <x:c r="J174" s="117"/>
      <x:c r="K174" s="117"/>
      <x:c r="L174" s="117"/>
      <x:c r="M174" s="117"/>
      <x:c r="N174" s="117"/>
      <x:c r="O174" s="117"/>
      <x:c r="P174" s="117"/>
      <x:c r="Q174" s="117"/>
      <x:c r="R174" s="117"/>
      <x:c r="S174" s="117"/>
      <x:c r="T174" s="117"/>
      <x:c r="U174" s="117"/>
      <x:c r="V174" s="117"/>
      <x:c r="W174" s="117"/>
      <x:c r="X174" s="117"/>
      <x:c r="Y174" s="117"/>
      <x:c r="Z174" s="117"/>
    </x:row>
    <x:row r="175">
      <x:c r="A175" s="117"/>
      <x:c r="B175" s="117"/>
      <x:c r="C175" s="117"/>
      <x:c r="D175" s="117"/>
      <x:c r="E175" s="117"/>
      <x:c r="F175" s="117"/>
      <x:c r="G175" s="117"/>
      <x:c r="H175" s="117"/>
      <x:c r="I175" s="117"/>
      <x:c r="J175" s="117"/>
      <x:c r="K175" s="117"/>
      <x:c r="L175" s="117"/>
      <x:c r="M175" s="117"/>
      <x:c r="N175" s="117"/>
      <x:c r="O175" s="117"/>
      <x:c r="P175" s="117"/>
      <x:c r="Q175" s="117"/>
      <x:c r="R175" s="117"/>
      <x:c r="S175" s="117"/>
      <x:c r="T175" s="117"/>
      <x:c r="U175" s="117"/>
      <x:c r="V175" s="117"/>
      <x:c r="W175" s="117"/>
      <x:c r="X175" s="117"/>
      <x:c r="Y175" s="117"/>
      <x:c r="Z175" s="117"/>
    </x:row>
    <x:row r="176">
      <x:c r="A176" s="117"/>
      <x:c r="B176" s="117"/>
      <x:c r="C176" s="117"/>
      <x:c r="D176" s="117"/>
      <x:c r="E176" s="117"/>
      <x:c r="F176" s="117"/>
      <x:c r="G176" s="117"/>
      <x:c r="H176" s="117"/>
      <x:c r="I176" s="117"/>
      <x:c r="J176" s="117"/>
      <x:c r="K176" s="117"/>
      <x:c r="L176" s="117"/>
      <x:c r="M176" s="117"/>
      <x:c r="N176" s="117"/>
      <x:c r="O176" s="117"/>
      <x:c r="P176" s="117"/>
      <x:c r="Q176" s="117"/>
      <x:c r="R176" s="117"/>
      <x:c r="S176" s="117"/>
      <x:c r="T176" s="117"/>
      <x:c r="U176" s="117"/>
      <x:c r="V176" s="117"/>
      <x:c r="W176" s="117"/>
      <x:c r="X176" s="117"/>
      <x:c r="Y176" s="117"/>
      <x:c r="Z176" s="117"/>
    </x:row>
    <x:row r="177">
      <x:c r="A177" s="117"/>
      <x:c r="B177" s="117"/>
      <x:c r="C177" s="117"/>
      <x:c r="D177" s="117"/>
      <x:c r="E177" s="117"/>
      <x:c r="F177" s="117"/>
      <x:c r="G177" s="117"/>
      <x:c r="H177" s="117"/>
      <x:c r="I177" s="117"/>
      <x:c r="J177" s="117"/>
      <x:c r="K177" s="117"/>
      <x:c r="L177" s="117"/>
      <x:c r="M177" s="117"/>
      <x:c r="N177" s="117"/>
      <x:c r="O177" s="117"/>
      <x:c r="P177" s="117"/>
      <x:c r="Q177" s="117"/>
      <x:c r="R177" s="117"/>
      <x:c r="S177" s="117"/>
      <x:c r="T177" s="117"/>
      <x:c r="U177" s="117"/>
      <x:c r="V177" s="117"/>
      <x:c r="W177" s="117"/>
      <x:c r="X177" s="117"/>
      <x:c r="Y177" s="117"/>
      <x:c r="Z177" s="117"/>
    </x:row>
    <x:row r="178">
      <x:c r="A178" s="117"/>
      <x:c r="B178" s="117"/>
      <x:c r="C178" s="117"/>
      <x:c r="D178" s="117"/>
      <x:c r="E178" s="117"/>
      <x:c r="F178" s="117"/>
      <x:c r="G178" s="117"/>
      <x:c r="H178" s="117"/>
      <x:c r="I178" s="117"/>
      <x:c r="J178" s="117"/>
      <x:c r="K178" s="117"/>
      <x:c r="L178" s="117"/>
      <x:c r="M178" s="117"/>
      <x:c r="N178" s="117"/>
      <x:c r="O178" s="117"/>
      <x:c r="P178" s="117"/>
      <x:c r="Q178" s="117"/>
      <x:c r="R178" s="117"/>
      <x:c r="S178" s="117"/>
      <x:c r="T178" s="117"/>
      <x:c r="U178" s="117"/>
      <x:c r="V178" s="117"/>
      <x:c r="W178" s="117"/>
      <x:c r="X178" s="117"/>
      <x:c r="Y178" s="117"/>
      <x:c r="Z178" s="117"/>
    </x:row>
    <x:row r="179">
      <x:c r="A179" s="117"/>
      <x:c r="B179" s="117"/>
      <x:c r="C179" s="117"/>
      <x:c r="D179" s="117"/>
      <x:c r="E179" s="117"/>
      <x:c r="F179" s="117"/>
      <x:c r="G179" s="117"/>
      <x:c r="H179" s="117"/>
      <x:c r="I179" s="117"/>
      <x:c r="J179" s="117"/>
      <x:c r="K179" s="117"/>
      <x:c r="L179" s="117"/>
      <x:c r="M179" s="117"/>
      <x:c r="N179" s="117"/>
      <x:c r="O179" s="117"/>
      <x:c r="P179" s="117"/>
      <x:c r="Q179" s="117"/>
      <x:c r="R179" s="117"/>
      <x:c r="S179" s="117"/>
      <x:c r="T179" s="117"/>
      <x:c r="U179" s="117"/>
      <x:c r="V179" s="117"/>
      <x:c r="W179" s="117"/>
      <x:c r="X179" s="117"/>
      <x:c r="Y179" s="117"/>
      <x:c r="Z179" s="117"/>
    </x:row>
    <x:row r="180">
      <x:c r="A180" s="117"/>
      <x:c r="B180" s="117"/>
      <x:c r="C180" s="117"/>
      <x:c r="D180" s="117"/>
      <x:c r="E180" s="117"/>
      <x:c r="F180" s="117"/>
      <x:c r="G180" s="117"/>
      <x:c r="H180" s="117"/>
      <x:c r="I180" s="117"/>
      <x:c r="J180" s="117"/>
      <x:c r="K180" s="117"/>
      <x:c r="L180" s="117"/>
      <x:c r="M180" s="117"/>
      <x:c r="N180" s="117"/>
      <x:c r="O180" s="117"/>
      <x:c r="P180" s="117"/>
      <x:c r="Q180" s="117"/>
      <x:c r="R180" s="117"/>
      <x:c r="S180" s="117"/>
      <x:c r="T180" s="117"/>
      <x:c r="U180" s="117"/>
      <x:c r="V180" s="117"/>
      <x:c r="W180" s="117"/>
      <x:c r="X180" s="117"/>
      <x:c r="Y180" s="117"/>
      <x:c r="Z180" s="117"/>
    </x:row>
    <x:row r="181">
      <x:c r="A181" s="117"/>
      <x:c r="B181" s="117"/>
      <x:c r="C181" s="117"/>
      <x:c r="D181" s="117"/>
      <x:c r="E181" s="117"/>
      <x:c r="F181" s="117"/>
      <x:c r="G181" s="117"/>
      <x:c r="H181" s="117"/>
      <x:c r="I181" s="117"/>
      <x:c r="J181" s="117"/>
      <x:c r="K181" s="117"/>
      <x:c r="L181" s="117"/>
      <x:c r="M181" s="117"/>
      <x:c r="N181" s="117"/>
      <x:c r="O181" s="117"/>
      <x:c r="P181" s="117"/>
      <x:c r="Q181" s="117"/>
      <x:c r="R181" s="117"/>
      <x:c r="S181" s="117"/>
      <x:c r="T181" s="117"/>
      <x:c r="U181" s="117"/>
      <x:c r="V181" s="117"/>
      <x:c r="W181" s="117"/>
      <x:c r="X181" s="117"/>
      <x:c r="Y181" s="117"/>
      <x:c r="Z181" s="117"/>
    </x:row>
    <x:row r="182">
      <x:c r="A182" s="117"/>
      <x:c r="B182" s="117"/>
      <x:c r="C182" s="117"/>
      <x:c r="D182" s="117"/>
      <x:c r="E182" s="117"/>
      <x:c r="F182" s="117"/>
      <x:c r="G182" s="117"/>
      <x:c r="H182" s="117"/>
      <x:c r="I182" s="117"/>
      <x:c r="J182" s="117"/>
      <x:c r="K182" s="117"/>
      <x:c r="L182" s="117"/>
      <x:c r="M182" s="117"/>
      <x:c r="N182" s="117"/>
      <x:c r="O182" s="117"/>
      <x:c r="P182" s="117"/>
      <x:c r="Q182" s="117"/>
      <x:c r="R182" s="117"/>
      <x:c r="S182" s="117"/>
      <x:c r="T182" s="117"/>
      <x:c r="U182" s="117"/>
      <x:c r="V182" s="117"/>
      <x:c r="W182" s="117"/>
      <x:c r="X182" s="117"/>
      <x:c r="Y182" s="117"/>
      <x:c r="Z182" s="117"/>
    </x:row>
    <x:row r="183">
      <x:c r="A183" s="117"/>
      <x:c r="B183" s="117"/>
      <x:c r="C183" s="117"/>
      <x:c r="D183" s="117"/>
      <x:c r="E183" s="117"/>
      <x:c r="F183" s="117"/>
      <x:c r="G183" s="117"/>
      <x:c r="H183" s="117"/>
      <x:c r="I183" s="117"/>
      <x:c r="J183" s="117"/>
      <x:c r="K183" s="117"/>
      <x:c r="L183" s="117"/>
      <x:c r="M183" s="117"/>
      <x:c r="N183" s="117"/>
      <x:c r="O183" s="117"/>
      <x:c r="P183" s="117"/>
      <x:c r="Q183" s="117"/>
      <x:c r="R183" s="117"/>
      <x:c r="S183" s="117"/>
      <x:c r="T183" s="117"/>
      <x:c r="U183" s="117"/>
      <x:c r="V183" s="117"/>
      <x:c r="W183" s="117"/>
      <x:c r="X183" s="117"/>
      <x:c r="Y183" s="117"/>
      <x:c r="Z183" s="117"/>
    </x:row>
    <x:row r="184">
      <x:c r="A184" s="117"/>
      <x:c r="B184" s="117"/>
      <x:c r="C184" s="117"/>
      <x:c r="D184" s="117"/>
      <x:c r="E184" s="117"/>
      <x:c r="F184" s="117"/>
      <x:c r="G184" s="117"/>
      <x:c r="H184" s="117"/>
      <x:c r="I184" s="117"/>
      <x:c r="J184" s="117"/>
      <x:c r="K184" s="117"/>
      <x:c r="L184" s="117"/>
      <x:c r="M184" s="117"/>
      <x:c r="N184" s="117"/>
      <x:c r="O184" s="117"/>
      <x:c r="P184" s="117"/>
      <x:c r="Q184" s="117"/>
      <x:c r="R184" s="117"/>
      <x:c r="S184" s="117"/>
      <x:c r="T184" s="117"/>
      <x:c r="U184" s="117"/>
      <x:c r="V184" s="117"/>
      <x:c r="W184" s="117"/>
      <x:c r="X184" s="117"/>
      <x:c r="Y184" s="117"/>
      <x:c r="Z184" s="117"/>
    </x:row>
    <x:row r="185">
      <x:c r="A185" s="117"/>
      <x:c r="B185" s="117"/>
      <x:c r="C185" s="117"/>
      <x:c r="D185" s="117"/>
      <x:c r="E185" s="117"/>
      <x:c r="F185" s="117"/>
      <x:c r="G185" s="117"/>
      <x:c r="H185" s="117"/>
      <x:c r="I185" s="117"/>
      <x:c r="J185" s="117"/>
      <x:c r="K185" s="117"/>
      <x:c r="L185" s="117"/>
      <x:c r="M185" s="117"/>
      <x:c r="N185" s="117"/>
      <x:c r="O185" s="117"/>
      <x:c r="P185" s="117"/>
      <x:c r="Q185" s="117"/>
      <x:c r="R185" s="117"/>
      <x:c r="S185" s="117"/>
      <x:c r="T185" s="117"/>
      <x:c r="U185" s="117"/>
      <x:c r="V185" s="117"/>
      <x:c r="W185" s="117"/>
      <x:c r="X185" s="117"/>
      <x:c r="Y185" s="117"/>
      <x:c r="Z185" s="117"/>
    </x:row>
    <x:row r="186">
      <x:c r="A186" s="117"/>
      <x:c r="B186" s="117"/>
      <x:c r="C186" s="117"/>
      <x:c r="D186" s="117"/>
      <x:c r="E186" s="117"/>
      <x:c r="F186" s="117"/>
      <x:c r="G186" s="117"/>
      <x:c r="H186" s="117"/>
      <x:c r="I186" s="117"/>
      <x:c r="J186" s="117"/>
      <x:c r="K186" s="117"/>
      <x:c r="L186" s="117"/>
      <x:c r="M186" s="117"/>
      <x:c r="N186" s="117"/>
      <x:c r="O186" s="117"/>
      <x:c r="P186" s="117"/>
      <x:c r="Q186" s="117"/>
      <x:c r="R186" s="117"/>
      <x:c r="S186" s="117"/>
      <x:c r="T186" s="117"/>
      <x:c r="U186" s="117"/>
      <x:c r="V186" s="117"/>
      <x:c r="W186" s="117"/>
      <x:c r="X186" s="117"/>
      <x:c r="Y186" s="117"/>
      <x:c r="Z186" s="117"/>
    </x:row>
    <x:row r="187">
      <x:c r="A187" s="117"/>
      <x:c r="B187" s="117"/>
      <x:c r="C187" s="117"/>
      <x:c r="D187" s="117"/>
      <x:c r="E187" s="117"/>
      <x:c r="F187" s="117"/>
      <x:c r="G187" s="117"/>
      <x:c r="H187" s="117"/>
      <x:c r="I187" s="117"/>
      <x:c r="J187" s="117"/>
      <x:c r="K187" s="117"/>
      <x:c r="L187" s="117"/>
      <x:c r="M187" s="117"/>
      <x:c r="N187" s="117"/>
      <x:c r="O187" s="117"/>
      <x:c r="P187" s="117"/>
      <x:c r="Q187" s="117"/>
      <x:c r="R187" s="117"/>
      <x:c r="S187" s="117"/>
      <x:c r="T187" s="117"/>
      <x:c r="U187" s="117"/>
      <x:c r="V187" s="117"/>
      <x:c r="W187" s="117"/>
      <x:c r="X187" s="117"/>
      <x:c r="Y187" s="117"/>
      <x:c r="Z187" s="117"/>
    </x:row>
    <x:row r="188">
      <x:c r="A188" s="117"/>
      <x:c r="B188" s="117"/>
      <x:c r="C188" s="117"/>
      <x:c r="D188" s="117"/>
      <x:c r="E188" s="117"/>
      <x:c r="F188" s="117"/>
      <x:c r="G188" s="117"/>
      <x:c r="H188" s="117"/>
      <x:c r="I188" s="117"/>
      <x:c r="J188" s="117"/>
      <x:c r="K188" s="117"/>
      <x:c r="L188" s="117"/>
      <x:c r="M188" s="117"/>
      <x:c r="N188" s="117"/>
      <x:c r="O188" s="117"/>
      <x:c r="P188" s="117"/>
      <x:c r="Q188" s="117"/>
      <x:c r="R188" s="117"/>
      <x:c r="S188" s="117"/>
      <x:c r="T188" s="117"/>
      <x:c r="U188" s="117"/>
      <x:c r="V188" s="117"/>
      <x:c r="W188" s="117"/>
      <x:c r="X188" s="117"/>
      <x:c r="Y188" s="117"/>
      <x:c r="Z188" s="117"/>
    </x:row>
    <x:row r="189">
      <x:c r="A189" s="117"/>
      <x:c r="B189" s="117"/>
      <x:c r="C189" s="117"/>
      <x:c r="D189" s="117"/>
      <x:c r="E189" s="117"/>
      <x:c r="F189" s="117"/>
      <x:c r="G189" s="117"/>
      <x:c r="H189" s="117"/>
      <x:c r="I189" s="117"/>
      <x:c r="J189" s="117"/>
      <x:c r="K189" s="117"/>
      <x:c r="L189" s="117"/>
      <x:c r="M189" s="117"/>
      <x:c r="N189" s="117"/>
      <x:c r="O189" s="117"/>
      <x:c r="P189" s="117"/>
      <x:c r="Q189" s="117"/>
      <x:c r="R189" s="117"/>
      <x:c r="S189" s="117"/>
      <x:c r="T189" s="117"/>
      <x:c r="U189" s="117"/>
      <x:c r="V189" s="117"/>
      <x:c r="W189" s="117"/>
      <x:c r="X189" s="117"/>
      <x:c r="Y189" s="117"/>
      <x:c r="Z189" s="117"/>
    </x:row>
    <x:row r="190">
      <x:c r="A190" s="117"/>
      <x:c r="B190" s="117"/>
      <x:c r="C190" s="117"/>
      <x:c r="D190" s="117"/>
      <x:c r="E190" s="117"/>
      <x:c r="F190" s="117"/>
      <x:c r="G190" s="117"/>
      <x:c r="H190" s="117"/>
      <x:c r="I190" s="117"/>
      <x:c r="J190" s="117"/>
      <x:c r="K190" s="117"/>
      <x:c r="L190" s="117"/>
      <x:c r="M190" s="117"/>
      <x:c r="N190" s="117"/>
      <x:c r="O190" s="117"/>
      <x:c r="P190" s="117"/>
      <x:c r="Q190" s="117"/>
      <x:c r="R190" s="117"/>
      <x:c r="S190" s="117"/>
      <x:c r="T190" s="117"/>
      <x:c r="U190" s="117"/>
      <x:c r="V190" s="117"/>
      <x:c r="W190" s="117"/>
      <x:c r="X190" s="117"/>
      <x:c r="Y190" s="117"/>
      <x:c r="Z190" s="117"/>
    </x:row>
    <x:row r="191">
      <x:c r="A191" s="117"/>
      <x:c r="B191" s="117"/>
      <x:c r="C191" s="117"/>
      <x:c r="D191" s="117"/>
      <x:c r="E191" s="117"/>
      <x:c r="F191" s="117"/>
      <x:c r="G191" s="117"/>
      <x:c r="H191" s="117"/>
      <x:c r="I191" s="117"/>
      <x:c r="J191" s="117"/>
      <x:c r="K191" s="117"/>
      <x:c r="L191" s="117"/>
      <x:c r="M191" s="117"/>
      <x:c r="N191" s="117"/>
      <x:c r="O191" s="117"/>
      <x:c r="P191" s="117"/>
      <x:c r="Q191" s="117"/>
      <x:c r="R191" s="117"/>
      <x:c r="S191" s="117"/>
      <x:c r="T191" s="117"/>
      <x:c r="U191" s="117"/>
      <x:c r="V191" s="117"/>
      <x:c r="W191" s="117"/>
      <x:c r="X191" s="117"/>
      <x:c r="Y191" s="117"/>
      <x:c r="Z191" s="117"/>
    </x:row>
    <x:row r="192">
      <x:c r="A192" s="117"/>
      <x:c r="B192" s="117"/>
      <x:c r="C192" s="117"/>
      <x:c r="D192" s="117"/>
      <x:c r="E192" s="117"/>
      <x:c r="F192" s="117"/>
      <x:c r="G192" s="117"/>
      <x:c r="H192" s="117"/>
      <x:c r="I192" s="117"/>
      <x:c r="J192" s="117"/>
      <x:c r="K192" s="117"/>
      <x:c r="L192" s="117"/>
      <x:c r="M192" s="117"/>
      <x:c r="N192" s="117"/>
      <x:c r="O192" s="117"/>
      <x:c r="P192" s="117"/>
      <x:c r="Q192" s="117"/>
      <x:c r="R192" s="117"/>
      <x:c r="S192" s="117"/>
      <x:c r="T192" s="117"/>
      <x:c r="U192" s="117"/>
      <x:c r="V192" s="117"/>
      <x:c r="W192" s="117"/>
      <x:c r="X192" s="117"/>
      <x:c r="Y192" s="117"/>
      <x:c r="Z192" s="117"/>
    </x:row>
    <x:row r="193">
      <x:c r="A193" s="117"/>
      <x:c r="B193" s="117"/>
      <x:c r="C193" s="117"/>
      <x:c r="D193" s="117"/>
      <x:c r="E193" s="117"/>
      <x:c r="F193" s="117"/>
      <x:c r="G193" s="117"/>
      <x:c r="H193" s="117"/>
      <x:c r="I193" s="117"/>
      <x:c r="J193" s="117"/>
      <x:c r="K193" s="117"/>
      <x:c r="L193" s="117"/>
      <x:c r="M193" s="117"/>
      <x:c r="N193" s="117"/>
      <x:c r="O193" s="117"/>
      <x:c r="P193" s="117"/>
      <x:c r="Q193" s="117"/>
      <x:c r="R193" s="117"/>
      <x:c r="S193" s="117"/>
      <x:c r="T193" s="117"/>
      <x:c r="U193" s="117"/>
      <x:c r="V193" s="117"/>
      <x:c r="W193" s="117"/>
      <x:c r="X193" s="117"/>
      <x:c r="Y193" s="117"/>
      <x:c r="Z193" s="117"/>
    </x:row>
    <x:row r="194">
      <x:c r="A194" s="117"/>
      <x:c r="B194" s="117"/>
      <x:c r="C194" s="117"/>
      <x:c r="D194" s="117"/>
      <x:c r="E194" s="117"/>
      <x:c r="F194" s="117"/>
      <x:c r="G194" s="117"/>
      <x:c r="H194" s="117"/>
      <x:c r="I194" s="117"/>
      <x:c r="J194" s="117"/>
      <x:c r="K194" s="117"/>
      <x:c r="L194" s="117"/>
      <x:c r="M194" s="117"/>
      <x:c r="N194" s="117"/>
      <x:c r="O194" s="117"/>
      <x:c r="P194" s="117"/>
      <x:c r="Q194" s="117"/>
      <x:c r="R194" s="117"/>
      <x:c r="S194" s="117"/>
      <x:c r="T194" s="117"/>
      <x:c r="U194" s="117"/>
      <x:c r="V194" s="117"/>
      <x:c r="W194" s="117"/>
      <x:c r="X194" s="117"/>
      <x:c r="Y194" s="117"/>
      <x:c r="Z194" s="117"/>
    </x:row>
    <x:row r="195">
      <x:c r="A195" s="117"/>
      <x:c r="B195" s="117"/>
      <x:c r="C195" s="117"/>
      <x:c r="D195" s="117"/>
      <x:c r="E195" s="117"/>
      <x:c r="F195" s="117"/>
      <x:c r="G195" s="117"/>
      <x:c r="H195" s="117"/>
      <x:c r="I195" s="117"/>
      <x:c r="J195" s="117"/>
      <x:c r="K195" s="117"/>
      <x:c r="L195" s="117"/>
      <x:c r="M195" s="117"/>
      <x:c r="N195" s="117"/>
      <x:c r="O195" s="117"/>
      <x:c r="P195" s="117"/>
      <x:c r="Q195" s="117"/>
      <x:c r="R195" s="117"/>
      <x:c r="S195" s="117"/>
      <x:c r="T195" s="117"/>
      <x:c r="U195" s="117"/>
      <x:c r="V195" s="117"/>
      <x:c r="W195" s="117"/>
      <x:c r="X195" s="117"/>
      <x:c r="Y195" s="117"/>
      <x:c r="Z195" s="117"/>
    </x:row>
    <x:row r="196">
      <x:c r="A196" s="117"/>
      <x:c r="B196" s="117"/>
      <x:c r="C196" s="117"/>
      <x:c r="D196" s="117"/>
      <x:c r="E196" s="117"/>
      <x:c r="F196" s="117"/>
      <x:c r="G196" s="117"/>
      <x:c r="H196" s="117"/>
      <x:c r="I196" s="117"/>
      <x:c r="J196" s="117"/>
      <x:c r="K196" s="117"/>
      <x:c r="L196" s="117"/>
      <x:c r="M196" s="117"/>
      <x:c r="N196" s="117"/>
      <x:c r="O196" s="117"/>
      <x:c r="P196" s="117"/>
      <x:c r="Q196" s="117"/>
      <x:c r="R196" s="117"/>
      <x:c r="S196" s="117"/>
      <x:c r="T196" s="117"/>
      <x:c r="U196" s="117"/>
      <x:c r="V196" s="117"/>
      <x:c r="W196" s="117"/>
      <x:c r="X196" s="117"/>
      <x:c r="Y196" s="117"/>
      <x:c r="Z196" s="117"/>
    </x:row>
    <x:row r="197">
      <x:c r="A197" s="117"/>
      <x:c r="B197" s="117"/>
      <x:c r="C197" s="117"/>
      <x:c r="D197" s="117"/>
      <x:c r="E197" s="117"/>
      <x:c r="F197" s="117"/>
      <x:c r="G197" s="117"/>
      <x:c r="H197" s="117"/>
      <x:c r="I197" s="117"/>
      <x:c r="J197" s="117"/>
      <x:c r="K197" s="117"/>
      <x:c r="L197" s="117"/>
      <x:c r="M197" s="117"/>
      <x:c r="N197" s="117"/>
      <x:c r="O197" s="117"/>
      <x:c r="P197" s="117"/>
      <x:c r="Q197" s="117"/>
      <x:c r="R197" s="117"/>
      <x:c r="S197" s="117"/>
      <x:c r="T197" s="117"/>
      <x:c r="U197" s="117"/>
      <x:c r="V197" s="117"/>
      <x:c r="W197" s="117"/>
      <x:c r="X197" s="117"/>
      <x:c r="Y197" s="117"/>
      <x:c r="Z197" s="117"/>
    </x:row>
    <x:row r="198">
      <x:c r="A198" s="117"/>
      <x:c r="B198" s="117"/>
      <x:c r="C198" s="117"/>
      <x:c r="D198" s="117"/>
      <x:c r="E198" s="117"/>
      <x:c r="F198" s="117"/>
      <x:c r="G198" s="117"/>
      <x:c r="H198" s="117"/>
      <x:c r="I198" s="117"/>
      <x:c r="J198" s="117"/>
      <x:c r="K198" s="117"/>
      <x:c r="L198" s="117"/>
      <x:c r="M198" s="117"/>
      <x:c r="N198" s="117"/>
      <x:c r="O198" s="117"/>
      <x:c r="P198" s="117"/>
      <x:c r="Q198" s="117"/>
      <x:c r="R198" s="117"/>
      <x:c r="S198" s="117"/>
      <x:c r="T198" s="117"/>
      <x:c r="U198" s="117"/>
      <x:c r="V198" s="117"/>
      <x:c r="W198" s="117"/>
      <x:c r="X198" s="117"/>
      <x:c r="Y198" s="117"/>
      <x:c r="Z198" s="117"/>
    </x:row>
    <x:row r="199">
      <x:c r="A199" s="117"/>
      <x:c r="B199" s="117"/>
      <x:c r="C199" s="117"/>
      <x:c r="D199" s="117"/>
      <x:c r="E199" s="117"/>
      <x:c r="F199" s="117"/>
      <x:c r="G199" s="117"/>
      <x:c r="H199" s="117"/>
      <x:c r="I199" s="117"/>
      <x:c r="J199" s="117"/>
      <x:c r="K199" s="117"/>
      <x:c r="L199" s="117"/>
      <x:c r="M199" s="117"/>
      <x:c r="N199" s="117"/>
      <x:c r="O199" s="117"/>
      <x:c r="P199" s="117"/>
      <x:c r="Q199" s="117"/>
      <x:c r="R199" s="117"/>
      <x:c r="S199" s="117"/>
      <x:c r="T199" s="117"/>
      <x:c r="U199" s="117"/>
      <x:c r="V199" s="117"/>
      <x:c r="W199" s="117"/>
      <x:c r="X199" s="117"/>
      <x:c r="Y199" s="117"/>
      <x:c r="Z199" s="117"/>
    </x:row>
    <x:row r="200">
      <x:c r="A200" s="117"/>
      <x:c r="B200" s="117"/>
      <x:c r="C200" s="117"/>
      <x:c r="D200" s="117"/>
      <x:c r="E200" s="117"/>
      <x:c r="F200" s="117"/>
      <x:c r="G200" s="117"/>
      <x:c r="H200" s="117"/>
      <x:c r="I200" s="117"/>
      <x:c r="J200" s="117"/>
      <x:c r="K200" s="117"/>
      <x:c r="L200" s="117"/>
      <x:c r="M200" s="117"/>
      <x:c r="N200" s="117"/>
      <x:c r="O200" s="117"/>
      <x:c r="P200" s="117"/>
      <x:c r="Q200" s="117"/>
      <x:c r="R200" s="117"/>
      <x:c r="S200" s="117"/>
      <x:c r="T200" s="117"/>
      <x:c r="U200" s="117"/>
      <x:c r="V200" s="117"/>
      <x:c r="W200" s="117"/>
      <x:c r="X200" s="117"/>
      <x:c r="Y200" s="117"/>
      <x:c r="Z200" s="117"/>
    </x:row>
  </x:sheetData>
  <x:mergeCells>
    <x:mergeCell ref="A1:H1"/>
    <x:mergeCell ref="A2:H2"/>
  </x:mergeCell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10" hidden="0" customWidth="1"/>
    <x:col min="3" max="3" width="16" hidden="0" customWidth="1"/>
    <x:col min="4" max="4" width="42" hidden="0" customWidth="1"/>
    <x:col min="5" max="5" width="32" hidden="0" customWidth="1"/>
    <x:col min="6" max="6" width="16" hidden="0" customWidth="1"/>
    <x:col min="7" max="7" width="18" hidden="0" customWidth="1"/>
    <x:col min="8" max="8" width="12" hidden="0" customWidth="1"/>
    <x:col min="9" max="9" width="24" hidden="0" customWidth="1"/>
    <x:col min="10" max="10" width="28" hidden="0" customWidth="1"/>
    <x:col min="11" max="11" width="28" hidden="0" customWidth="1"/>
    <x:col min="12" max="12" width="14" hidden="0" customWidth="1"/>
    <x:col min="13" max="13" width="18" hidden="0" customWidth="1"/>
    <x:col min="14" max="14" width="14" hidden="0" customWidth="1"/>
  </x:cols>
  <x:sheetData>
    <x:row r="1" ht="28" customHeight="1">
      <x:c r="A1" s="116" t="str">
        <x:v>01_LP質問票</x:v>
      </x:c>
      <x:c r="B1" s="116"/>
      <x:c r="C1" s="116"/>
      <x:c r="D1" s="116"/>
      <x:c r="E1" s="116"/>
      <x:c r="F1" s="116"/>
      <x:c r="G1" s="116"/>
      <x:c r="H1" s="116"/>
      <x:c r="I1" s="116"/>
      <x:c r="J1" s="116"/>
      <x:c r="K1" s="116"/>
      <x:c r="L1" s="116"/>
      <x:c r="M1" s="116"/>
      <x:c r="N1" s="116"/>
      <x:c r="O1" s="117"/>
      <x:c r="P1" s="117"/>
      <x:c r="Q1" s="117"/>
      <x:c r="R1" s="117"/>
      <x:c r="S1" s="117"/>
      <x:c r="T1" s="117"/>
      <x:c r="U1" s="117"/>
      <x:c r="V1" s="117"/>
      <x:c r="W1" s="117"/>
      <x:c r="X1" s="117"/>
      <x:c r="Y1" s="117"/>
      <x:c r="Z1" s="117"/>
    </x:row>
    <x:row r="2" ht="34" customHeight="1">
      <x:c r="A2" s="118" t="str">
        <x:v>08_レポート可変項目定義から逆算して作成するLP表示質問。次工程で詳細化。</x:v>
      </x:c>
      <x:c r="B2" s="118"/>
      <x:c r="C2" s="118"/>
      <x:c r="D2" s="118"/>
      <x:c r="E2" s="118"/>
      <x:c r="F2" s="118"/>
      <x:c r="G2" s="118"/>
      <x:c r="H2" s="118"/>
      <x:c r="I2" s="118"/>
      <x:c r="J2" s="118"/>
      <x:c r="K2" s="118"/>
      <x:c r="L2" s="118"/>
      <x:c r="M2" s="118"/>
      <x:c r="N2" s="118"/>
      <x:c r="O2" s="117"/>
      <x:c r="P2" s="117"/>
      <x:c r="Q2" s="117"/>
      <x:c r="R2" s="117"/>
      <x:c r="S2" s="117"/>
      <x:c r="T2" s="117"/>
      <x:c r="U2" s="117"/>
      <x:c r="V2" s="117"/>
      <x:c r="W2" s="117"/>
      <x:c r="X2" s="117"/>
      <x:c r="Y2" s="117"/>
      <x:c r="Z2" s="117"/>
    </x:row>
    <x:row r="3">
      <x:c r="A3" s="117"/>
      <x:c r="B3" s="117"/>
      <x:c r="C3" s="117"/>
      <x:c r="D3" s="117"/>
      <x:c r="E3" s="117"/>
      <x:c r="F3" s="117"/>
      <x:c r="G3" s="117"/>
      <x:c r="H3" s="117"/>
      <x:c r="I3" s="117"/>
      <x:c r="J3" s="117"/>
      <x:c r="K3" s="117"/>
      <x:c r="L3" s="117"/>
      <x:c r="M3" s="117"/>
      <x:c r="N3" s="117"/>
      <x:c r="O3" s="117"/>
      <x:c r="P3" s="117"/>
      <x:c r="Q3" s="117"/>
      <x:c r="R3" s="117"/>
      <x:c r="S3" s="117"/>
      <x:c r="T3" s="117"/>
      <x:c r="U3" s="117"/>
      <x:c r="V3" s="117"/>
      <x:c r="W3" s="117"/>
      <x:c r="X3" s="117"/>
      <x:c r="Y3" s="117"/>
      <x:c r="Z3" s="117"/>
    </x:row>
    <x:row r="4" ht="36" customHeight="1">
      <x:c r="A4" s="139" t="str">
        <x:v>質問ID</x:v>
      </x:c>
      <x:c r="B4" s="140" t="str">
        <x:v>画面Step</x:v>
      </x:c>
      <x:c r="C4" s="140" t="str">
        <x:v>質問テーマ</x:v>
      </x:c>
      <x:c r="D4" s="140" t="str">
        <x:v>LP表示質問文</x:v>
      </x:c>
      <x:c r="E4" s="140" t="str">
        <x:v>補足説明</x:v>
      </x:c>
      <x:c r="F4" s="140" t="str">
        <x:v>回答形式</x:v>
      </x:c>
      <x:c r="G4" s="140" t="str">
        <x:v>回答選択肢ID</x:v>
      </x:c>
      <x:c r="H4" s="140" t="str">
        <x:v>必須区分</x:v>
      </x:c>
      <x:c r="I4" s="140" t="str">
        <x:v>分岐条件</x:v>
      </x:c>
      <x:c r="J4" s="140" t="str">
        <x:v>Evidence依頼</x:v>
      </x:c>
      <x:c r="K4" s="140" t="str">
        <x:v>対応出力項目ID</x:v>
      </x:c>
      <x:c r="L4" s="140" t="str">
        <x:v>主KPI</x:v>
      </x:c>
      <x:c r="M4" s="140" t="str">
        <x:v>Guardrail候補</x:v>
      </x:c>
      <x:c r="N4" s="141" t="str">
        <x:v>設計状態</x:v>
      </x:c>
      <x:c r="O4" s="117"/>
      <x:c r="P4" s="117"/>
      <x:c r="Q4" s="117"/>
      <x:c r="R4" s="117"/>
      <x:c r="S4" s="117"/>
      <x:c r="T4" s="117"/>
      <x:c r="U4" s="117"/>
      <x:c r="V4" s="117"/>
      <x:c r="W4" s="117"/>
      <x:c r="X4" s="117"/>
      <x:c r="Y4" s="117"/>
      <x:c r="Z4" s="117"/>
    </x:row>
    <x:row r="5">
      <x:c r="A5" s="144" t="str">
        <x:v>Q001</x:v>
      </x:c>
      <x:c r="B5" s="145" t="str">
        <x:v>Step1</x:v>
      </x:c>
      <x:c r="C5" s="145" t="str">
        <x:v>会社情報</x:v>
      </x:c>
      <x:c r="D5" s="145" t="str">
        <x:v>会社名を入力してください。</x:v>
      </x:c>
      <x:c r="E5" s="145" t="str"/>
      <x:c r="F5" s="145" t="str">
        <x:v>テキスト</x:v>
      </x:c>
      <x:c r="G5" s="145" t="str"/>
      <x:c r="H5" s="145" t="str">
        <x:v>必須</x:v>
      </x:c>
      <x:c r="I5" s="145" t="str"/>
      <x:c r="J5" s="145" t="str">
        <x:v>なし</x:v>
      </x:c>
      <x:c r="K5" s="145" t="str">
        <x:v>R1-BASIC-01</x:v>
      </x:c>
      <x:c r="L5" s="145" t="str">
        <x:v>なし</x:v>
      </x:c>
      <x:c r="M5" s="145" t="str">
        <x:v>なし</x:v>
      </x:c>
      <x:c r="N5" s="146" t="str">
        <x:v>確定候補</x:v>
      </x:c>
      <x:c r="O5" s="117"/>
      <x:c r="P5" s="117"/>
      <x:c r="Q5" s="117"/>
      <x:c r="R5" s="117"/>
      <x:c r="S5" s="117"/>
      <x:c r="T5" s="117"/>
      <x:c r="U5" s="117"/>
      <x:c r="V5" s="117"/>
      <x:c r="W5" s="117"/>
      <x:c r="X5" s="117"/>
      <x:c r="Y5" s="117"/>
      <x:c r="Z5" s="117"/>
    </x:row>
    <x:row r="6">
      <x:c r="A6" s="147" t="str">
        <x:v>Q002</x:v>
      </x:c>
      <x:c r="B6" s="148" t="str">
        <x:v>Step1</x:v>
      </x:c>
      <x:c r="C6" s="148" t="str">
        <x:v>工場情報</x:v>
      </x:c>
      <x:c r="D6" s="148" t="str">
        <x:v>診断対象の工場・事業所名を入力してください。</x:v>
      </x:c>
      <x:c r="E6" s="148" t="str"/>
      <x:c r="F6" s="148" t="str">
        <x:v>テキスト</x:v>
      </x:c>
      <x:c r="G6" s="148" t="str"/>
      <x:c r="H6" s="148" t="str">
        <x:v>必須</x:v>
      </x:c>
      <x:c r="I6" s="148" t="str"/>
      <x:c r="J6" s="148" t="str">
        <x:v>なし</x:v>
      </x:c>
      <x:c r="K6" s="148" t="str">
        <x:v>R1-BASIC-01</x:v>
      </x:c>
      <x:c r="L6" s="148" t="str">
        <x:v>なし</x:v>
      </x:c>
      <x:c r="M6" s="148" t="str">
        <x:v>なし</x:v>
      </x:c>
      <x:c r="N6" s="149" t="str">
        <x:v>確定候補</x:v>
      </x:c>
      <x:c r="O6" s="117"/>
      <x:c r="P6" s="117"/>
      <x:c r="Q6" s="117"/>
      <x:c r="R6" s="117"/>
      <x:c r="S6" s="117"/>
      <x:c r="T6" s="117"/>
      <x:c r="U6" s="117"/>
      <x:c r="V6" s="117"/>
      <x:c r="W6" s="117"/>
      <x:c r="X6" s="117"/>
      <x:c r="Y6" s="117"/>
      <x:c r="Z6" s="117"/>
    </x:row>
    <x:row r="7">
      <x:c r="A7" s="147" t="str">
        <x:v>Q003</x:v>
      </x:c>
      <x:c r="B7" s="148" t="str">
        <x:v>Step1</x:v>
      </x:c>
      <x:c r="C7" s="148" t="str">
        <x:v>業種</x:v>
      </x:c>
      <x:c r="D7" s="148" t="str">
        <x:v>主な業種を選択してください。</x:v>
      </x:c>
      <x:c r="E7" s="148" t="str"/>
      <x:c r="F7" s="148" t="str">
        <x:v>単一選択</x:v>
      </x:c>
      <x:c r="G7" s="148" t="str">
        <x:v>ANS-INDUSTRY</x:v>
      </x:c>
      <x:c r="H7" s="148" t="str">
        <x:v>必須</x:v>
      </x:c>
      <x:c r="I7" s="148" t="str"/>
      <x:c r="J7" s="148" t="str">
        <x:v>なし</x:v>
      </x:c>
      <x:c r="K7" s="148" t="str">
        <x:v>R1-BASIC-01</x:v>
      </x:c>
      <x:c r="L7" s="148" t="str">
        <x:v>なし</x:v>
      </x:c>
      <x:c r="M7" s="148" t="str">
        <x:v>なし</x:v>
      </x:c>
      <x:c r="N7" s="149" t="str">
        <x:v>確定候補</x:v>
      </x:c>
      <x:c r="O7" s="117"/>
      <x:c r="P7" s="117"/>
      <x:c r="Q7" s="117"/>
      <x:c r="R7" s="117"/>
      <x:c r="S7" s="117"/>
      <x:c r="T7" s="117"/>
      <x:c r="U7" s="117"/>
      <x:c r="V7" s="117"/>
      <x:c r="W7" s="117"/>
      <x:c r="X7" s="117"/>
      <x:c r="Y7" s="117"/>
      <x:c r="Z7" s="117"/>
    </x:row>
    <x:row r="8">
      <x:c r="A8" s="147" t="str">
        <x:v>Q004</x:v>
      </x:c>
      <x:c r="B8" s="148" t="str">
        <x:v>Step1</x:v>
      </x:c>
      <x:c r="C8" s="148" t="str">
        <x:v>回答者属性</x:v>
      </x:c>
      <x:c r="D8" s="148" t="str">
        <x:v>回答者の役割を選択してください。</x:v>
      </x:c>
      <x:c r="E8" s="148" t="str">
        <x:v>複数担当の場合は主担当を選択</x:v>
      </x:c>
      <x:c r="F8" s="148" t="str">
        <x:v>単一選択</x:v>
      </x:c>
      <x:c r="G8" s="148" t="str">
        <x:v>ANS-ROLE</x:v>
      </x:c>
      <x:c r="H8" s="148" t="str">
        <x:v>必須</x:v>
      </x:c>
      <x:c r="I8" s="148" t="str"/>
      <x:c r="J8" s="148" t="str">
        <x:v>なし</x:v>
      </x:c>
      <x:c r="K8" s="148" t="str">
        <x:v>R1-BASIC-01,R1-KPI-CONF</x:v>
      </x:c>
      <x:c r="L8" s="148" t="str">
        <x:v>診断品質</x:v>
      </x:c>
      <x:c r="M8" s="148" t="str">
        <x:v>なし</x:v>
      </x:c>
      <x:c r="N8" s="149" t="str">
        <x:v>確定候補</x:v>
      </x:c>
      <x:c r="O8" s="117"/>
      <x:c r="P8" s="117"/>
      <x:c r="Q8" s="117"/>
      <x:c r="R8" s="117"/>
      <x:c r="S8" s="117"/>
      <x:c r="T8" s="117"/>
      <x:c r="U8" s="117"/>
      <x:c r="V8" s="117"/>
      <x:c r="W8" s="117"/>
      <x:c r="X8" s="117"/>
      <x:c r="Y8" s="117"/>
      <x:c r="Z8" s="117"/>
    </x:row>
    <x:row r="9">
      <x:c r="A9" s="147" t="str">
        <x:v>Q101</x:v>
      </x:c>
      <x:c r="B9" s="148" t="str">
        <x:v>Step2</x:v>
      </x:c>
      <x:c r="C9" s="148" t="str">
        <x:v>異常兆候</x:v>
      </x:c>
      <x:c r="D9" s="148" t="str">
        <x:v>現在、発熱、焦げ臭、異音、変色、煙、漏電、油漏れなどの異常兆候がありますか。</x:v>
      </x:c>
      <x:c r="E9" s="148" t="str">
        <x:v>直近1か月以内の状況</x:v>
      </x:c>
      <x:c r="F9" s="148" t="str">
        <x:v>単一選択</x:v>
      </x:c>
      <x:c r="G9" s="148" t="str">
        <x:v>ANS-SEVERITY4</x:v>
      </x:c>
      <x:c r="H9" s="148" t="str">
        <x:v>必須</x:v>
      </x:c>
      <x:c r="I9" s="148" t="str"/>
      <x:c r="J9" s="148" t="str">
        <x:v>写真・点検記録</x:v>
      </x:c>
      <x:c r="K9" s="148" t="str">
        <x:v>R1-GR-01,R1-TOP-01,R2-CONS-01</x:v>
      </x:c>
      <x:c r="L9" s="148" t="str">
        <x:v>EDI/EPI</x:v>
      </x:c>
      <x:c r="M9" s="148" t="str">
        <x:v>安全</x:v>
      </x:c>
      <x:c r="N9" s="149" t="str">
        <x:v>確定候補</x:v>
      </x:c>
      <x:c r="O9" s="117"/>
      <x:c r="P9" s="117"/>
      <x:c r="Q9" s="117"/>
      <x:c r="R9" s="117"/>
      <x:c r="S9" s="117"/>
      <x:c r="T9" s="117"/>
      <x:c r="U9" s="117"/>
      <x:c r="V9" s="117"/>
      <x:c r="W9" s="117"/>
      <x:c r="X9" s="117"/>
      <x:c r="Y9" s="117"/>
      <x:c r="Z9" s="117"/>
    </x:row>
    <x:row r="10">
      <x:c r="A10" s="147" t="str">
        <x:v>Q102</x:v>
      </x:c>
      <x:c r="B10" s="148" t="str">
        <x:v>Step2</x:v>
      </x:c>
      <x:c r="C10" s="148" t="str">
        <x:v>緊急停止</x:v>
      </x:c>
      <x:c r="D10" s="148" t="str">
        <x:v>異常や故障により、直近12か月で設備を緊急停止したことがありますか。</x:v>
      </x:c>
      <x:c r="E10" s="148" t="str"/>
      <x:c r="F10" s="148" t="str">
        <x:v>単一選択</x:v>
      </x:c>
      <x:c r="G10" s="148" t="str">
        <x:v>ANS-FREQ4</x:v>
      </x:c>
      <x:c r="H10" s="148" t="str">
        <x:v>必須</x:v>
      </x:c>
      <x:c r="I10" s="148" t="str"/>
      <x:c r="J10" s="148" t="str">
        <x:v>故障記録・日報</x:v>
      </x:c>
      <x:c r="K10" s="148" t="str">
        <x:v>R1-GR-01,R1-TOP-01</x:v>
      </x:c>
      <x:c r="L10" s="148" t="str">
        <x:v>EDI/EPI</x:v>
      </x:c>
      <x:c r="M10" s="148" t="str">
        <x:v>安全/BCP</x:v>
      </x:c>
      <x:c r="N10" s="149" t="str">
        <x:v>確定候補</x:v>
      </x:c>
      <x:c r="O10" s="117"/>
      <x:c r="P10" s="117"/>
      <x:c r="Q10" s="117"/>
      <x:c r="R10" s="117"/>
      <x:c r="S10" s="117"/>
      <x:c r="T10" s="117"/>
      <x:c r="U10" s="117"/>
      <x:c r="V10" s="117"/>
      <x:c r="W10" s="117"/>
      <x:c r="X10" s="117"/>
      <x:c r="Y10" s="117"/>
      <x:c r="Z10" s="117"/>
    </x:row>
    <x:row r="11">
      <x:c r="A11" s="147" t="str">
        <x:v>Q103</x:v>
      </x:c>
      <x:c r="B11" s="148" t="str">
        <x:v>Step2</x:v>
      </x:c>
      <x:c r="C11" s="148" t="str">
        <x:v>点検指摘</x:v>
      </x:c>
      <x:c r="D11" s="148" t="str">
        <x:v>法定点検または保安点検で、未是正の指摘がありますか。</x:v>
      </x:c>
      <x:c r="E11" s="148" t="str">
        <x:v>軽微な推奨事項と、期限付き是正を区別</x:v>
      </x:c>
      <x:c r="F11" s="148" t="str">
        <x:v>単一選択</x:v>
      </x:c>
      <x:c r="G11" s="148" t="str">
        <x:v>ANS-FINDING4</x:v>
      </x:c>
      <x:c r="H11" s="148" t="str">
        <x:v>必須</x:v>
      </x:c>
      <x:c r="I11" s="148" t="str"/>
      <x:c r="J11" s="148" t="str">
        <x:v>点検報告書</x:v>
      </x:c>
      <x:c r="K11" s="148" t="str">
        <x:v>R1-GR-01,R2-EV-01</x:v>
      </x:c>
      <x:c r="L11" s="148" t="str">
        <x:v>EPI</x:v>
      </x:c>
      <x:c r="M11" s="148" t="str">
        <x:v>法令/安全</x:v>
      </x:c>
      <x:c r="N11" s="149" t="str">
        <x:v>確定候補</x:v>
      </x:c>
      <x:c r="O11" s="117"/>
      <x:c r="P11" s="117"/>
      <x:c r="Q11" s="117"/>
      <x:c r="R11" s="117"/>
      <x:c r="S11" s="117"/>
      <x:c r="T11" s="117"/>
      <x:c r="U11" s="117"/>
      <x:c r="V11" s="117"/>
      <x:c r="W11" s="117"/>
      <x:c r="X11" s="117"/>
      <x:c r="Y11" s="117"/>
      <x:c r="Z11" s="117"/>
    </x:row>
    <x:row r="12">
      <x:c r="A12" s="147" t="str">
        <x:v>Q104</x:v>
      </x:c>
      <x:c r="B12" s="148" t="str">
        <x:v>Step2</x:v>
      </x:c>
      <x:c r="C12" s="148" t="str">
        <x:v>法定点検</x:v>
      </x:c>
      <x:c r="D12" s="148" t="str">
        <x:v>必要な法定点検・自主点検は期限内に実施されていますか。</x:v>
      </x:c>
      <x:c r="E12" s="148" t="str"/>
      <x:c r="F12" s="148" t="str">
        <x:v>単一選択</x:v>
      </x:c>
      <x:c r="G12" s="148" t="str">
        <x:v>ANS-COMPLIANCE4</x:v>
      </x:c>
      <x:c r="H12" s="148" t="str">
        <x:v>必須</x:v>
      </x:c>
      <x:c r="I12" s="148" t="str"/>
      <x:c r="J12" s="148" t="str">
        <x:v>点検記録</x:v>
      </x:c>
      <x:c r="K12" s="148" t="str">
        <x:v>R1-GR-01,R2-DQ-01</x:v>
      </x:c>
      <x:c r="L12" s="148" t="str">
        <x:v>DRI/EPI</x:v>
      </x:c>
      <x:c r="M12" s="148" t="str">
        <x:v>法令</x:v>
      </x:c>
      <x:c r="N12" s="149" t="str">
        <x:v>確定候補</x:v>
      </x:c>
      <x:c r="O12" s="117"/>
      <x:c r="P12" s="117"/>
      <x:c r="Q12" s="117"/>
      <x:c r="R12" s="117"/>
      <x:c r="S12" s="117"/>
      <x:c r="T12" s="117"/>
      <x:c r="U12" s="117"/>
      <x:c r="V12" s="117"/>
      <x:c r="W12" s="117"/>
      <x:c r="X12" s="117"/>
      <x:c r="Y12" s="117"/>
      <x:c r="Z12" s="117"/>
    </x:row>
    <x:row r="13">
      <x:c r="A13" s="150" t="str">
        <x:v>Q105</x:v>
      </x:c>
      <x:c r="B13" s="89" t="str">
        <x:v>Step2</x:v>
      </x:c>
      <x:c r="C13" s="89" t="str">
        <x:v>保護機能</x:v>
      </x:c>
      <x:c r="D13" s="89" t="str">
        <x:v>保護継電器、遮断器、漏電保護などの安全保護機能について、直近の動作確認結果は把握されていますか。</x:v>
      </x:c>
      <x:c r="E13" s="89" t="str"/>
      <x:c r="F13" s="89" t="str">
        <x:v>単一選択</x:v>
      </x:c>
      <x:c r="G13" s="89" t="str">
        <x:v>ANS-EVIDENCE4</x:v>
      </x:c>
      <x:c r="H13" s="89" t="str">
        <x:v>必須</x:v>
      </x:c>
      <x:c r="I13" s="89" t="str"/>
      <x:c r="J13" s="89" t="str">
        <x:v>試験成績書</x:v>
      </x:c>
      <x:c r="K13" s="89" t="str">
        <x:v>R1-GR-01,R2-EDI-01</x:v>
      </x:c>
      <x:c r="L13" s="89" t="str">
        <x:v>EDI/DRI</x:v>
      </x:c>
      <x:c r="M13" s="89" t="str">
        <x:v>安全</x:v>
      </x:c>
      <x:c r="N13" s="151" t="str">
        <x:v>確定候補</x:v>
      </x:c>
      <x:c r="O13" s="117"/>
      <x:c r="P13" s="117"/>
      <x:c r="Q13" s="117"/>
      <x:c r="R13" s="117"/>
      <x:c r="S13" s="117"/>
      <x:c r="T13" s="117"/>
      <x:c r="U13" s="117"/>
      <x:c r="V13" s="117"/>
      <x:c r="W13" s="117"/>
      <x:c r="X13" s="117"/>
      <x:c r="Y13" s="117"/>
      <x:c r="Z13" s="117"/>
    </x:row>
    <x:row r="14">
      <x:c r="A14" s="147" t="str">
        <x:v>Q106</x:v>
      </x:c>
      <x:c r="B14" s="148" t="str">
        <x:v>Step2</x:v>
      </x:c>
      <x:c r="C14" s="148" t="str">
        <x:v>保守終了</x:v>
      </x:c>
      <x:c r="D14" s="148" t="str">
        <x:v>メーカー保守終了または部品供給終了の設備がありますか。</x:v>
      </x:c>
      <x:c r="E14" s="148" t="str">
        <x:v>不明の場合は「分からない」</x:v>
      </x:c>
      <x:c r="F14" s="148" t="str">
        <x:v>単一選択</x:v>
      </x:c>
      <x:c r="G14" s="148" t="str">
        <x:v>ANS-YESNOUNK</x:v>
      </x:c>
      <x:c r="H14" s="148" t="str">
        <x:v>必須</x:v>
      </x:c>
      <x:c r="I14" s="148" t="str"/>
      <x:c r="J14" s="148" t="str">
        <x:v>メーカー回答・型式資料</x:v>
      </x:c>
      <x:c r="K14" s="148" t="str">
        <x:v>R1-GR-01,R1-KPI-EPI,R2-EPI-01</x:v>
      </x:c>
      <x:c r="L14" s="148" t="str">
        <x:v>EPI</x:v>
      </x:c>
      <x:c r="M14" s="148" t="str">
        <x:v>EOL</x:v>
      </x:c>
      <x:c r="N14" s="149" t="str">
        <x:v>確定候補</x:v>
      </x:c>
      <x:c r="O14" s="117"/>
      <x:c r="P14" s="117"/>
      <x:c r="Q14" s="117"/>
      <x:c r="R14" s="117"/>
      <x:c r="S14" s="117"/>
      <x:c r="T14" s="117"/>
      <x:c r="U14" s="117"/>
      <x:c r="V14" s="117"/>
      <x:c r="W14" s="117"/>
      <x:c r="X14" s="117"/>
      <x:c r="Y14" s="117"/>
      <x:c r="Z14" s="117"/>
    </x:row>
    <x:row r="15">
      <x:c r="A15" s="147" t="str">
        <x:v>Q107</x:v>
      </x:c>
      <x:c r="B15" s="148" t="str">
        <x:v>Step2</x:v>
      </x:c>
      <x:c r="C15" s="148" t="str">
        <x:v>予備品</x:v>
      </x:c>
      <x:c r="D15" s="148" t="str">
        <x:v>重要設備の故障時に必要な予備品または代替品を確保していますか。</x:v>
      </x:c>
      <x:c r="E15" s="148" t="str"/>
      <x:c r="F15" s="148" t="str">
        <x:v>単一選択</x:v>
      </x:c>
      <x:c r="G15" s="148" t="str">
        <x:v>ANS-COVERAGE4</x:v>
      </x:c>
      <x:c r="H15" s="148" t="str">
        <x:v>必須</x:v>
      </x:c>
      <x:c r="I15" s="148" t="str"/>
      <x:c r="J15" s="148" t="str">
        <x:v>予備品台帳</x:v>
      </x:c>
      <x:c r="K15" s="148" t="str">
        <x:v>R1-GR-01,R2-EDI-01</x:v>
      </x:c>
      <x:c r="L15" s="148" t="str">
        <x:v>EDI/DRI/EPI</x:v>
      </x:c>
      <x:c r="M15" s="148" t="str">
        <x:v>EOL/BCP</x:v>
      </x:c>
      <x:c r="N15" s="149" t="str">
        <x:v>確定候補</x:v>
      </x:c>
      <x:c r="O15" s="117"/>
      <x:c r="P15" s="117"/>
      <x:c r="Q15" s="117"/>
      <x:c r="R15" s="117"/>
      <x:c r="S15" s="117"/>
      <x:c r="T15" s="117"/>
      <x:c r="U15" s="117"/>
      <x:c r="V15" s="117"/>
      <x:c r="W15" s="117"/>
      <x:c r="X15" s="117"/>
      <x:c r="Y15" s="117"/>
      <x:c r="Z15" s="117"/>
    </x:row>
    <x:row r="16">
      <x:c r="A16" s="147" t="str">
        <x:v>Q108</x:v>
      </x:c>
      <x:c r="B16" s="148" t="str">
        <x:v>Step2</x:v>
      </x:c>
      <x:c r="C16" s="148" t="str">
        <x:v>停止影響</x:v>
      </x:c>
      <x:c r="D16" s="148" t="str">
        <x:v>対象設備が停止した場合、生産・出荷・サービスへの影響はどの程度ですか。</x:v>
      </x:c>
      <x:c r="E16" s="148" t="str"/>
      <x:c r="F16" s="148" t="str">
        <x:v>単一選択</x:v>
      </x:c>
      <x:c r="G16" s="148" t="str">
        <x:v>ANS-IMPACT4</x:v>
      </x:c>
      <x:c r="H16" s="148" t="str">
        <x:v>必須</x:v>
      </x:c>
      <x:c r="I16" s="148" t="str"/>
      <x:c r="J16" s="148" t="str">
        <x:v>BCP資料・停止損失資料</x:v>
      </x:c>
      <x:c r="K16" s="148" t="str">
        <x:v>R1-GR-01,R1-HM-01,R2-EPI-01</x:v>
      </x:c>
      <x:c r="L16" s="148" t="str">
        <x:v>EPI</x:v>
      </x:c>
      <x:c r="M16" s="148" t="str">
        <x:v>BCP</x:v>
      </x:c>
      <x:c r="N16" s="149" t="str">
        <x:v>確定候補</x:v>
      </x:c>
      <x:c r="O16" s="117"/>
      <x:c r="P16" s="117"/>
      <x:c r="Q16" s="117"/>
      <x:c r="R16" s="117"/>
      <x:c r="S16" s="117"/>
      <x:c r="T16" s="117"/>
      <x:c r="U16" s="117"/>
      <x:c r="V16" s="117"/>
      <x:c r="W16" s="117"/>
      <x:c r="X16" s="117"/>
      <x:c r="Y16" s="117"/>
      <x:c r="Z16" s="117"/>
    </x:row>
    <x:row r="17">
      <x:c r="A17" s="147" t="str">
        <x:v>Q109</x:v>
      </x:c>
      <x:c r="B17" s="148" t="str">
        <x:v>Step2</x:v>
      </x:c>
      <x:c r="C17" s="148" t="str">
        <x:v>代替手段</x:v>
      </x:c>
      <x:c r="D17" s="148" t="str">
        <x:v>故障時に代替設備、迂回運転、外注などで事業継続できますか。</x:v>
      </x:c>
      <x:c r="E17" s="148" t="str"/>
      <x:c r="F17" s="148" t="str">
        <x:v>単一選択</x:v>
      </x:c>
      <x:c r="G17" s="148" t="str">
        <x:v>ANS-BACKUP4</x:v>
      </x:c>
      <x:c r="H17" s="148" t="str">
        <x:v>必須</x:v>
      </x:c>
      <x:c r="I17" s="148" t="str"/>
      <x:c r="J17" s="148" t="str">
        <x:v>設備構成図・BCP資料</x:v>
      </x:c>
      <x:c r="K17" s="148" t="str">
        <x:v>R1-GR-01,R1-HM-01</x:v>
      </x:c>
      <x:c r="L17" s="148" t="str">
        <x:v>DRI/EPI</x:v>
      </x:c>
      <x:c r="M17" s="148" t="str">
        <x:v>BCP</x:v>
      </x:c>
      <x:c r="N17" s="149" t="str">
        <x:v>確定候補</x:v>
      </x:c>
      <x:c r="O17" s="117"/>
      <x:c r="P17" s="117"/>
      <x:c r="Q17" s="117"/>
      <x:c r="R17" s="117"/>
      <x:c r="S17" s="117"/>
      <x:c r="T17" s="117"/>
      <x:c r="U17" s="117"/>
      <x:c r="V17" s="117"/>
      <x:c r="W17" s="117"/>
      <x:c r="X17" s="117"/>
      <x:c r="Y17" s="117"/>
      <x:c r="Z17" s="117"/>
    </x:row>
    <x:row r="18">
      <x:c r="A18" s="147" t="str">
        <x:v>Q110</x:v>
      </x:c>
      <x:c r="B18" s="148" t="str">
        <x:v>Step2</x:v>
      </x:c>
      <x:c r="C18" s="148" t="str">
        <x:v>復旧時間</x:v>
      </x:c>
      <x:c r="D18" s="148" t="str">
        <x:v>重大故障時の想定復旧時間を把握していますか。</x:v>
      </x:c>
      <x:c r="E18" s="148" t="str"/>
      <x:c r="F18" s="148" t="str">
        <x:v>単一選択</x:v>
      </x:c>
      <x:c r="G18" s="148" t="str">
        <x:v>ANS-RESTORE4</x:v>
      </x:c>
      <x:c r="H18" s="148" t="str">
        <x:v>必須</x:v>
      </x:c>
      <x:c r="I18" s="148" t="str"/>
      <x:c r="J18" s="148" t="str">
        <x:v>保守契約・復旧計画</x:v>
      </x:c>
      <x:c r="K18" s="148" t="str">
        <x:v>R1-GR-01,R2-DRI-01</x:v>
      </x:c>
      <x:c r="L18" s="148" t="str">
        <x:v>DRI/EPI</x:v>
      </x:c>
      <x:c r="M18" s="148" t="str">
        <x:v>BCP</x:v>
      </x:c>
      <x:c r="N18" s="149" t="str">
        <x:v>確定候補</x:v>
      </x:c>
      <x:c r="O18" s="117"/>
      <x:c r="P18" s="117"/>
      <x:c r="Q18" s="117"/>
      <x:c r="R18" s="117"/>
      <x:c r="S18" s="117"/>
      <x:c r="T18" s="117"/>
      <x:c r="U18" s="117"/>
      <x:c r="V18" s="117"/>
      <x:c r="W18" s="117"/>
      <x:c r="X18" s="117"/>
      <x:c r="Y18" s="117"/>
      <x:c r="Z18" s="117"/>
    </x:row>
    <x:row r="19">
      <x:c r="A19" s="147" t="str">
        <x:v>Q111</x:v>
      </x:c>
      <x:c r="B19" s="148" t="str">
        <x:v>Step2</x:v>
      </x:c>
      <x:c r="C19" s="148" t="str">
        <x:v>期限事項</x:v>
      </x:c>
      <x:c r="D19" s="148" t="str">
        <x:v>監査、顧客要求、補助金、定修、契約更新など、対応期限が決まっている事項がありますか。</x:v>
      </x:c>
      <x:c r="E19" s="148" t="str"/>
      <x:c r="F19" s="148" t="str">
        <x:v>単一選択</x:v>
      </x:c>
      <x:c r="G19" s="148" t="str">
        <x:v>ANS-DEADLINE4</x:v>
      </x:c>
      <x:c r="H19" s="148" t="str">
        <x:v>必須</x:v>
      </x:c>
      <x:c r="I19" s="148" t="str"/>
      <x:c r="J19" s="148" t="str">
        <x:v>監査通知・補助金資料・定修計画</x:v>
      </x:c>
      <x:c r="K19" s="148" t="str">
        <x:v>R1-GR-01,R1-RM-01</x:v>
      </x:c>
      <x:c r="L19" s="148" t="str">
        <x:v>EPI</x:v>
      </x:c>
      <x:c r="M19" s="148" t="str">
        <x:v>期限/顧客要求</x:v>
      </x:c>
      <x:c r="N19" s="149" t="str">
        <x:v>確定候補</x:v>
      </x:c>
      <x:c r="O19" s="117"/>
      <x:c r="P19" s="117"/>
      <x:c r="Q19" s="117"/>
      <x:c r="R19" s="117"/>
      <x:c r="S19" s="117"/>
      <x:c r="T19" s="117"/>
      <x:c r="U19" s="117"/>
      <x:c r="V19" s="117"/>
      <x:c r="W19" s="117"/>
      <x:c r="X19" s="117"/>
      <x:c r="Y19" s="117"/>
      <x:c r="Z19" s="117"/>
    </x:row>
    <x:row r="20">
      <x:c r="A20" s="147" t="str">
        <x:v>Q112</x:v>
      </x:c>
      <x:c r="B20" s="148" t="str">
        <x:v>Step2</x:v>
      </x:c>
      <x:c r="C20" s="148" t="str">
        <x:v>安全影響</x:v>
      </x:c>
      <x:c r="D20" s="148" t="str">
        <x:v>設備故障や建屋不具合が、人身安全または食品・医薬・製品品質に影響する可能性がありますか。</x:v>
      </x:c>
      <x:c r="E20" s="148" t="str"/>
      <x:c r="F20" s="148" t="str">
        <x:v>単一選択</x:v>
      </x:c>
      <x:c r="G20" s="148" t="str">
        <x:v>ANS-IMPACT4</x:v>
      </x:c>
      <x:c r="H20" s="148" t="str">
        <x:v>必須</x:v>
      </x:c>
      <x:c r="I20" s="148" t="str"/>
      <x:c r="J20" s="148" t="str">
        <x:v>リスク評価・品質記録</x:v>
      </x:c>
      <x:c r="K20" s="148" t="str">
        <x:v>R1-GR-01,R1-TOP-01</x:v>
      </x:c>
      <x:c r="L20" s="148" t="str">
        <x:v>EPI</x:v>
      </x:c>
      <x:c r="M20" s="148" t="str">
        <x:v>安全/顧客要求</x:v>
      </x:c>
      <x:c r="N20" s="149" t="str">
        <x:v>確定候補</x:v>
      </x:c>
      <x:c r="O20" s="117"/>
      <x:c r="P20" s="117"/>
      <x:c r="Q20" s="117"/>
      <x:c r="R20" s="117"/>
      <x:c r="S20" s="117"/>
      <x:c r="T20" s="117"/>
      <x:c r="U20" s="117"/>
      <x:c r="V20" s="117"/>
      <x:c r="W20" s="117"/>
      <x:c r="X20" s="117"/>
      <x:c r="Y20" s="117"/>
      <x:c r="Z20" s="117"/>
    </x:row>
    <x:row r="21">
      <x:c r="A21" s="147" t="str">
        <x:v>Q201</x:v>
      </x:c>
      <x:c r="B21" s="148" t="str">
        <x:v>Step3</x:v>
      </x:c>
      <x:c r="C21" s="148" t="str">
        <x:v>設備年齢</x:v>
      </x:c>
      <x:c r="D21" s="148" t="str">
        <x:v>主要な受変電設備の設置年または更新年は分かりますか。</x:v>
      </x:c>
      <x:c r="E21" s="148" t="str"/>
      <x:c r="F21" s="148" t="str">
        <x:v>年＋不明</x:v>
      </x:c>
      <x:c r="G21" s="148" t="str">
        <x:v>ANS-YEARKNOWN</x:v>
      </x:c>
      <x:c r="H21" s="148" t="str">
        <x:v>必須</x:v>
      </x:c>
      <x:c r="I21" s="148" t="str"/>
      <x:c r="J21" s="148" t="str">
        <x:v>銘板写真・設備台帳</x:v>
      </x:c>
      <x:c r="K21" s="148" t="str">
        <x:v>R1-KPI-EDI,R1-DOM-01,R2-EDI-01</x:v>
      </x:c>
      <x:c r="L21" s="148" t="str">
        <x:v>EDI</x:v>
      </x:c>
      <x:c r="M21" s="148" t="str">
        <x:v>EOL/経年</x:v>
      </x:c>
      <x:c r="N21" s="149" t="str">
        <x:v>確定候補</x:v>
      </x:c>
      <x:c r="O21" s="117"/>
      <x:c r="P21" s="117"/>
      <x:c r="Q21" s="117"/>
      <x:c r="R21" s="117"/>
      <x:c r="S21" s="117"/>
      <x:c r="T21" s="117"/>
      <x:c r="U21" s="117"/>
      <x:c r="V21" s="117"/>
      <x:c r="W21" s="117"/>
      <x:c r="X21" s="117"/>
      <x:c r="Y21" s="117"/>
      <x:c r="Z21" s="117"/>
    </x:row>
    <x:row r="22">
      <x:c r="A22" s="147" t="str">
        <x:v>Q202</x:v>
      </x:c>
      <x:c r="B22" s="148" t="str">
        <x:v>Step3</x:v>
      </x:c>
      <x:c r="C22" s="148" t="str">
        <x:v>設備年齢帯</x:v>
      </x:c>
      <x:c r="D22" s="148" t="str">
        <x:v>主要設備のうち、設置後20年以上の設備はどの程度ありますか。</x:v>
      </x:c>
      <x:c r="E22" s="148" t="str"/>
      <x:c r="F22" s="148" t="str">
        <x:v>単一選択</x:v>
      </x:c>
      <x:c r="G22" s="148" t="str">
        <x:v>ANS-COVERAGE4</x:v>
      </x:c>
      <x:c r="H22" s="148" t="str">
        <x:v>必須</x:v>
      </x:c>
      <x:c r="I22" s="148" t="str">
        <x:v>Q201が不明でも表示</x:v>
      </x:c>
      <x:c r="J22" s="148" t="str">
        <x:v>設備台帳</x:v>
      </x:c>
      <x:c r="K22" s="148" t="str">
        <x:v>R1-KPI-EDI,R1-DOM-01</x:v>
      </x:c>
      <x:c r="L22" s="148" t="str">
        <x:v>EDI</x:v>
      </x:c>
      <x:c r="M22" s="148" t="str">
        <x:v>経年</x:v>
      </x:c>
      <x:c r="N22" s="149" t="str">
        <x:v>確定候補</x:v>
      </x:c>
      <x:c r="O22" s="117"/>
      <x:c r="P22" s="117"/>
      <x:c r="Q22" s="117"/>
      <x:c r="R22" s="117"/>
      <x:c r="S22" s="117"/>
      <x:c r="T22" s="117"/>
      <x:c r="U22" s="117"/>
      <x:c r="V22" s="117"/>
      <x:c r="W22" s="117"/>
      <x:c r="X22" s="117"/>
      <x:c r="Y22" s="117"/>
      <x:c r="Z22" s="117"/>
    </x:row>
    <x:row r="23">
      <x:c r="A23" s="147" t="str">
        <x:v>Q203</x:v>
      </x:c>
      <x:c r="B23" s="148" t="str">
        <x:v>Step3</x:v>
      </x:c>
      <x:c r="C23" s="148" t="str">
        <x:v>故障頻度</x:v>
      </x:c>
      <x:c r="D23" s="148" t="str">
        <x:v>主要設備の故障・異常発生頻度は、過去3年間で増えていますか。</x:v>
      </x:c>
      <x:c r="E23" s="148" t="str"/>
      <x:c r="F23" s="148" t="str">
        <x:v>単一選択</x:v>
      </x:c>
      <x:c r="G23" s="148" t="str">
        <x:v>ANS-TREND4</x:v>
      </x:c>
      <x:c r="H23" s="148" t="str">
        <x:v>必須</x:v>
      </x:c>
      <x:c r="I23" s="148" t="str"/>
      <x:c r="J23" s="148" t="str">
        <x:v>故障履歴</x:v>
      </x:c>
      <x:c r="K23" s="148" t="str">
        <x:v>R1-KPI-EDI,R1-TOP-01</x:v>
      </x:c>
      <x:c r="L23" s="148" t="str">
        <x:v>EDI</x:v>
      </x:c>
      <x:c r="M23" s="148" t="str">
        <x:v>安全/BCP</x:v>
      </x:c>
      <x:c r="N23" s="149" t="str">
        <x:v>確定候補</x:v>
      </x:c>
      <x:c r="O23" s="117"/>
      <x:c r="P23" s="117"/>
      <x:c r="Q23" s="117"/>
      <x:c r="R23" s="117"/>
      <x:c r="S23" s="117"/>
      <x:c r="T23" s="117"/>
      <x:c r="U23" s="117"/>
      <x:c r="V23" s="117"/>
      <x:c r="W23" s="117"/>
      <x:c r="X23" s="117"/>
      <x:c r="Y23" s="117"/>
      <x:c r="Z23" s="117"/>
    </x:row>
    <x:row r="24">
      <x:c r="A24" s="147" t="str">
        <x:v>Q204</x:v>
      </x:c>
      <x:c r="B24" s="148" t="str">
        <x:v>Step3</x:v>
      </x:c>
      <x:c r="C24" s="148" t="str">
        <x:v>保全方式</x:v>
      </x:c>
      <x:c r="D24" s="148" t="str">
        <x:v>主要設備の保全は、どの方法で実施していますか。</x:v>
      </x:c>
      <x:c r="E24" s="148" t="str"/>
      <x:c r="F24" s="148" t="str">
        <x:v>単一選択</x:v>
      </x:c>
      <x:c r="G24" s="148" t="str">
        <x:v>ANS-MAINT4</x:v>
      </x:c>
      <x:c r="H24" s="148" t="str">
        <x:v>必須</x:v>
      </x:c>
      <x:c r="I24" s="148" t="str"/>
      <x:c r="J24" s="148" t="str">
        <x:v>保全計画</x:v>
      </x:c>
      <x:c r="K24" s="148" t="str">
        <x:v>R1-KPI-EDI,R1-DOM-01</x:v>
      </x:c>
      <x:c r="L24" s="148" t="str">
        <x:v>EDI</x:v>
      </x:c>
      <x:c r="M24" s="148" t="str">
        <x:v>なし</x:v>
      </x:c>
      <x:c r="N24" s="149" t="str">
        <x:v>確定候補</x:v>
      </x:c>
      <x:c r="O24" s="117"/>
      <x:c r="P24" s="117"/>
      <x:c r="Q24" s="117"/>
      <x:c r="R24" s="117"/>
      <x:c r="S24" s="117"/>
      <x:c r="T24" s="117"/>
      <x:c r="U24" s="117"/>
      <x:c r="V24" s="117"/>
      <x:c r="W24" s="117"/>
      <x:c r="X24" s="117"/>
      <x:c r="Y24" s="117"/>
      <x:c r="Z24" s="117"/>
    </x:row>
    <x:row r="25">
      <x:c r="A25" s="147" t="str">
        <x:v>Q205</x:v>
      </x:c>
      <x:c r="B25" s="148" t="str">
        <x:v>Step3</x:v>
      </x:c>
      <x:c r="C25" s="148" t="str">
        <x:v>点検結果</x:v>
      </x:c>
      <x:c r="D25" s="148" t="str">
        <x:v>直近の点検結果で、劣化・要経過観察・更新推奨の設備はありますか。</x:v>
      </x:c>
      <x:c r="E25" s="148" t="str"/>
      <x:c r="F25" s="148" t="str">
        <x:v>単一選択</x:v>
      </x:c>
      <x:c r="G25" s="148" t="str">
        <x:v>ANS-FINDING4</x:v>
      </x:c>
      <x:c r="H25" s="148" t="str">
        <x:v>必須</x:v>
      </x:c>
      <x:c r="I25" s="148" t="str"/>
      <x:c r="J25" s="148" t="str">
        <x:v>点検報告書</x:v>
      </x:c>
      <x:c r="K25" s="148" t="str">
        <x:v>R1-KPI-EDI,R1-TOP-01</x:v>
      </x:c>
      <x:c r="L25" s="148" t="str">
        <x:v>EDI</x:v>
      </x:c>
      <x:c r="M25" s="148" t="str">
        <x:v>安全</x:v>
      </x:c>
      <x:c r="N25" s="149" t="str">
        <x:v>確定候補</x:v>
      </x:c>
      <x:c r="O25" s="117"/>
      <x:c r="P25" s="117"/>
      <x:c r="Q25" s="117"/>
      <x:c r="R25" s="117"/>
      <x:c r="S25" s="117"/>
      <x:c r="T25" s="117"/>
      <x:c r="U25" s="117"/>
      <x:c r="V25" s="117"/>
      <x:c r="W25" s="117"/>
      <x:c r="X25" s="117"/>
      <x:c r="Y25" s="117"/>
      <x:c r="Z25" s="117"/>
    </x:row>
    <x:row r="26">
      <x:c r="A26" s="147" t="str">
        <x:v>Q206</x:v>
      </x:c>
      <x:c r="B26" s="148" t="str">
        <x:v>Step3</x:v>
      </x:c>
      <x:c r="C26" s="148" t="str">
        <x:v>保守契約</x:v>
      </x:c>
      <x:c r="D26" s="148" t="str">
        <x:v>重要設備について、メーカーまたは保守会社との保守体制が明確ですか。</x:v>
      </x:c>
      <x:c r="E26" s="148" t="str"/>
      <x:c r="F26" s="148" t="str">
        <x:v>単一選択</x:v>
      </x:c>
      <x:c r="G26" s="148" t="str">
        <x:v>ANS-COVERAGE4</x:v>
      </x:c>
      <x:c r="H26" s="148" t="str">
        <x:v>必須</x:v>
      </x:c>
      <x:c r="I26" s="148" t="str"/>
      <x:c r="J26" s="148" t="str">
        <x:v>保守契約</x:v>
      </x:c>
      <x:c r="K26" s="148" t="str">
        <x:v>R1-KPI-EDI,R1-KPI-DRI</x:v>
      </x:c>
      <x:c r="L26" s="148" t="str">
        <x:v>EDI/DRI</x:v>
      </x:c>
      <x:c r="M26" s="148" t="str">
        <x:v>EOL/BCP</x:v>
      </x:c>
      <x:c r="N26" s="149" t="str">
        <x:v>確定候補</x:v>
      </x:c>
      <x:c r="O26" s="117"/>
      <x:c r="P26" s="117"/>
      <x:c r="Q26" s="117"/>
      <x:c r="R26" s="117"/>
      <x:c r="S26" s="117"/>
      <x:c r="T26" s="117"/>
      <x:c r="U26" s="117"/>
      <x:c r="V26" s="117"/>
      <x:c r="W26" s="117"/>
      <x:c r="X26" s="117"/>
      <x:c r="Y26" s="117"/>
      <x:c r="Z26" s="117"/>
    </x:row>
    <x:row r="27">
      <x:c r="A27" s="147" t="str">
        <x:v>Q207</x:v>
      </x:c>
      <x:c r="B27" s="148" t="str">
        <x:v>Step3</x:v>
      </x:c>
      <x:c r="C27" s="148" t="str">
        <x:v>予備容量</x:v>
      </x:c>
      <x:c r="D27" s="148" t="str">
        <x:v>受変電・空調・生産設備に、故障や増産時の予備容量がありますか。</x:v>
      </x:c>
      <x:c r="E27" s="148" t="str"/>
      <x:c r="F27" s="148" t="str">
        <x:v>単一選択</x:v>
      </x:c>
      <x:c r="G27" s="148" t="str">
        <x:v>ANS-COVERAGE4</x:v>
      </x:c>
      <x:c r="H27" s="148" t="str">
        <x:v>必須</x:v>
      </x:c>
      <x:c r="I27" s="148" t="str"/>
      <x:c r="J27" s="148" t="str">
        <x:v>単線結線図・設備仕様</x:v>
      </x:c>
      <x:c r="K27" s="148" t="str">
        <x:v>R1-DOM-01,R1-HM-01</x:v>
      </x:c>
      <x:c r="L27" s="148" t="str">
        <x:v>EDI/EPI</x:v>
      </x:c>
      <x:c r="M27" s="148" t="str">
        <x:v>BCP</x:v>
      </x:c>
      <x:c r="N27" s="149" t="str">
        <x:v>確定候補</x:v>
      </x:c>
      <x:c r="O27" s="117"/>
      <x:c r="P27" s="117"/>
      <x:c r="Q27" s="117"/>
      <x:c r="R27" s="117"/>
      <x:c r="S27" s="117"/>
      <x:c r="T27" s="117"/>
      <x:c r="U27" s="117"/>
      <x:c r="V27" s="117"/>
      <x:c r="W27" s="117"/>
      <x:c r="X27" s="117"/>
      <x:c r="Y27" s="117"/>
      <x:c r="Z27" s="117"/>
    </x:row>
    <x:row r="28">
      <x:c r="A28" s="147" t="str">
        <x:v>Q208</x:v>
      </x:c>
      <x:c r="B28" s="148" t="str">
        <x:v>Step3</x:v>
      </x:c>
      <x:c r="C28" s="148" t="str">
        <x:v>更新履歴</x:v>
      </x:c>
      <x:c r="D28" s="148" t="str">
        <x:v>主要設備の更新・改造履歴が記録されていますか。</x:v>
      </x:c>
      <x:c r="E28" s="148" t="str"/>
      <x:c r="F28" s="148" t="str">
        <x:v>単一選択</x:v>
      </x:c>
      <x:c r="G28" s="148" t="str">
        <x:v>ANS-EVIDENCE4</x:v>
      </x:c>
      <x:c r="H28" s="148" t="str">
        <x:v>必須</x:v>
      </x:c>
      <x:c r="I28" s="148" t="str"/>
      <x:c r="J28" s="148" t="str">
        <x:v>更新履歴</x:v>
      </x:c>
      <x:c r="K28" s="148" t="str">
        <x:v>R1-KPI-EDI,R1-KPI-DRI</x:v>
      </x:c>
      <x:c r="L28" s="148" t="str">
        <x:v>EDI/DRI</x:v>
      </x:c>
      <x:c r="M28" s="148" t="str">
        <x:v>なし</x:v>
      </x:c>
      <x:c r="N28" s="149" t="str">
        <x:v>確定候補</x:v>
      </x:c>
      <x:c r="O28" s="117"/>
      <x:c r="P28" s="117"/>
      <x:c r="Q28" s="117"/>
      <x:c r="R28" s="117"/>
      <x:c r="S28" s="117"/>
      <x:c r="T28" s="117"/>
      <x:c r="U28" s="117"/>
      <x:c r="V28" s="117"/>
      <x:c r="W28" s="117"/>
      <x:c r="X28" s="117"/>
      <x:c r="Y28" s="117"/>
      <x:c r="Z28" s="117"/>
    </x:row>
    <x:row r="29">
      <x:c r="A29" s="147" t="str">
        <x:v>Q221</x:v>
      </x:c>
      <x:c r="B29" s="148" t="str">
        <x:v>Step3</x:v>
      </x:c>
      <x:c r="C29" s="148" t="str">
        <x:v>電力把握</x:v>
      </x:c>
      <x:c r="D29" s="148" t="str">
        <x:v>月別の電力使用量と最大需要電力を把握していますか。</x:v>
      </x:c>
      <x:c r="E29" s="148" t="str"/>
      <x:c r="F29" s="148" t="str">
        <x:v>単一選択</x:v>
      </x:c>
      <x:c r="G29" s="148" t="str">
        <x:v>ANS-EVIDENCE4</x:v>
      </x:c>
      <x:c r="H29" s="148" t="str">
        <x:v>必須</x:v>
      </x:c>
      <x:c r="I29" s="148" t="str"/>
      <x:c r="J29" s="148" t="str">
        <x:v>電力請求書・デマンドデータ</x:v>
      </x:c>
      <x:c r="K29" s="148" t="str">
        <x:v>R1-DOM-02,R2-EDI-01</x:v>
      </x:c>
      <x:c r="L29" s="148" t="str">
        <x:v>EDI/DRI</x:v>
      </x:c>
      <x:c r="M29" s="148" t="str">
        <x:v>なし</x:v>
      </x:c>
      <x:c r="N29" s="149" t="str">
        <x:v>確定候補</x:v>
      </x:c>
      <x:c r="O29" s="117"/>
      <x:c r="P29" s="117"/>
      <x:c r="Q29" s="117"/>
      <x:c r="R29" s="117"/>
      <x:c r="S29" s="117"/>
      <x:c r="T29" s="117"/>
      <x:c r="U29" s="117"/>
      <x:c r="V29" s="117"/>
      <x:c r="W29" s="117"/>
      <x:c r="X29" s="117"/>
      <x:c r="Y29" s="117"/>
      <x:c r="Z29" s="117"/>
    </x:row>
    <x:row r="30">
      <x:c r="A30" s="147" t="str">
        <x:v>Q222</x:v>
      </x:c>
      <x:c r="B30" s="148" t="str">
        <x:v>Step3</x:v>
      </x:c>
      <x:c r="C30" s="148" t="str">
        <x:v>設備別計測</x:v>
      </x:c>
      <x:c r="D30" s="148" t="str">
        <x:v>主要設備・工程別の電力使用量を把握していますか。</x:v>
      </x:c>
      <x:c r="E30" s="148" t="str"/>
      <x:c r="F30" s="148" t="str">
        <x:v>単一選択</x:v>
      </x:c>
      <x:c r="G30" s="148" t="str">
        <x:v>ANS-COVERAGE4</x:v>
      </x:c>
      <x:c r="H30" s="148" t="str">
        <x:v>必須</x:v>
      </x:c>
      <x:c r="I30" s="148" t="str"/>
      <x:c r="J30" s="148" t="str">
        <x:v>計測データ</x:v>
      </x:c>
      <x:c r="K30" s="148" t="str">
        <x:v>R1-DOM-02,R1-KPI-DRI</x:v>
      </x:c>
      <x:c r="L30" s="148" t="str">
        <x:v>EDI/DRI</x:v>
      </x:c>
      <x:c r="M30" s="148" t="str">
        <x:v>なし</x:v>
      </x:c>
      <x:c r="N30" s="149" t="str">
        <x:v>確定候補</x:v>
      </x:c>
      <x:c r="O30" s="117"/>
      <x:c r="P30" s="117"/>
      <x:c r="Q30" s="117"/>
      <x:c r="R30" s="117"/>
      <x:c r="S30" s="117"/>
      <x:c r="T30" s="117"/>
      <x:c r="U30" s="117"/>
      <x:c r="V30" s="117"/>
      <x:c r="W30" s="117"/>
      <x:c r="X30" s="117"/>
      <x:c r="Y30" s="117"/>
      <x:c r="Z30" s="117"/>
    </x:row>
    <x:row r="31">
      <x:c r="A31" s="147" t="str">
        <x:v>Q223</x:v>
      </x:c>
      <x:c r="B31" s="148" t="str">
        <x:v>Step3</x:v>
      </x:c>
      <x:c r="C31" s="148" t="str">
        <x:v>原単位管理</x:v>
      </x:c>
      <x:c r="D31" s="148" t="str">
        <x:v>生産量、売上、床面積などに対するエネルギー原単位を管理していますか。</x:v>
      </x:c>
      <x:c r="E31" s="148" t="str"/>
      <x:c r="F31" s="148" t="str">
        <x:v>単一選択</x:v>
      </x:c>
      <x:c r="G31" s="148" t="str">
        <x:v>ANS-EVIDENCE4</x:v>
      </x:c>
      <x:c r="H31" s="148" t="str">
        <x:v>必須</x:v>
      </x:c>
      <x:c r="I31" s="148" t="str"/>
      <x:c r="J31" s="148" t="str">
        <x:v>原単位資料</x:v>
      </x:c>
      <x:c r="K31" s="148" t="str">
        <x:v>R1-DOM-02,R2-DRI-01</x:v>
      </x:c>
      <x:c r="L31" s="148" t="str">
        <x:v>EDI/DRI</x:v>
      </x:c>
      <x:c r="M31" s="148" t="str">
        <x:v>なし</x:v>
      </x:c>
      <x:c r="N31" s="149" t="str">
        <x:v>確定候補</x:v>
      </x:c>
      <x:c r="O31" s="117"/>
      <x:c r="P31" s="117"/>
      <x:c r="Q31" s="117"/>
      <x:c r="R31" s="117"/>
      <x:c r="S31" s="117"/>
      <x:c r="T31" s="117"/>
      <x:c r="U31" s="117"/>
      <x:c r="V31" s="117"/>
      <x:c r="W31" s="117"/>
      <x:c r="X31" s="117"/>
      <x:c r="Y31" s="117"/>
      <x:c r="Z31" s="117"/>
    </x:row>
    <x:row r="32">
      <x:c r="A32" s="147" t="str">
        <x:v>Q224</x:v>
      </x:c>
      <x:c r="B32" s="148" t="str">
        <x:v>Step3</x:v>
      </x:c>
      <x:c r="C32" s="148" t="str">
        <x:v>省エネ改善</x:v>
      </x:c>
      <x:c r="D32" s="148" t="str">
        <x:v>過去3年間に省エネ改善を実施し、効果を検証していますか。</x:v>
      </x:c>
      <x:c r="E32" s="148" t="str"/>
      <x:c r="F32" s="148" t="str">
        <x:v>単一選択</x:v>
      </x:c>
      <x:c r="G32" s="148" t="str">
        <x:v>ANS-IMPL4</x:v>
      </x:c>
      <x:c r="H32" s="148" t="str">
        <x:v>必須</x:v>
      </x:c>
      <x:c r="I32" s="148" t="str"/>
      <x:c r="J32" s="148" t="str">
        <x:v>改善報告・計測結果</x:v>
      </x:c>
      <x:c r="K32" s="148" t="str">
        <x:v>R1-DOM-02,R1-INV-01</x:v>
      </x:c>
      <x:c r="L32" s="148" t="str">
        <x:v>EDI/DRI</x:v>
      </x:c>
      <x:c r="M32" s="148" t="str">
        <x:v>なし</x:v>
      </x:c>
      <x:c r="N32" s="149" t="str">
        <x:v>確定候補</x:v>
      </x:c>
      <x:c r="O32" s="117"/>
      <x:c r="P32" s="117"/>
      <x:c r="Q32" s="117"/>
      <x:c r="R32" s="117"/>
      <x:c r="S32" s="117"/>
      <x:c r="T32" s="117"/>
      <x:c r="U32" s="117"/>
      <x:c r="V32" s="117"/>
      <x:c r="W32" s="117"/>
      <x:c r="X32" s="117"/>
      <x:c r="Y32" s="117"/>
      <x:c r="Z32" s="117"/>
    </x:row>
    <x:row r="33">
      <x:c r="A33" s="147" t="str">
        <x:v>Q225</x:v>
      </x:c>
      <x:c r="B33" s="148" t="str">
        <x:v>Step3</x:v>
      </x:c>
      <x:c r="C33" s="148" t="str">
        <x:v>高効率機器</x:v>
      </x:c>
      <x:c r="D33" s="148" t="str">
        <x:v>モータ、インバータ、空調、照明等の高効率化状況を把握していますか。</x:v>
      </x:c>
      <x:c r="E33" s="148" t="str"/>
      <x:c r="F33" s="148" t="str">
        <x:v>単一選択</x:v>
      </x:c>
      <x:c r="G33" s="148" t="str">
        <x:v>ANS-COVERAGE4</x:v>
      </x:c>
      <x:c r="H33" s="148" t="str">
        <x:v>必須</x:v>
      </x:c>
      <x:c r="I33" s="148" t="str"/>
      <x:c r="J33" s="148" t="str">
        <x:v>設備台帳</x:v>
      </x:c>
      <x:c r="K33" s="148" t="str">
        <x:v>R1-DOM-02,R1-TOP-01</x:v>
      </x:c>
      <x:c r="L33" s="148" t="str">
        <x:v>EDI</x:v>
      </x:c>
      <x:c r="M33" s="148" t="str">
        <x:v>なし</x:v>
      </x:c>
      <x:c r="N33" s="149" t="str">
        <x:v>確定候補</x:v>
      </x:c>
      <x:c r="O33" s="117"/>
      <x:c r="P33" s="117"/>
      <x:c r="Q33" s="117"/>
      <x:c r="R33" s="117"/>
      <x:c r="S33" s="117"/>
      <x:c r="T33" s="117"/>
      <x:c r="U33" s="117"/>
      <x:c r="V33" s="117"/>
      <x:c r="W33" s="117"/>
      <x:c r="X33" s="117"/>
      <x:c r="Y33" s="117"/>
      <x:c r="Z33" s="117"/>
    </x:row>
    <x:row r="34">
      <x:c r="A34" s="147" t="str">
        <x:v>Q226</x:v>
      </x:c>
      <x:c r="B34" s="148" t="str">
        <x:v>Step3</x:v>
      </x:c>
      <x:c r="C34" s="148" t="str">
        <x:v>デマンド管理</x:v>
      </x:c>
      <x:c r="D34" s="148" t="str">
        <x:v>最大需要電力の超過や契約電力の余裕を管理していますか。</x:v>
      </x:c>
      <x:c r="E34" s="148" t="str"/>
      <x:c r="F34" s="148" t="str">
        <x:v>単一選択</x:v>
      </x:c>
      <x:c r="G34" s="148" t="str">
        <x:v>ANS-EVIDENCE4</x:v>
      </x:c>
      <x:c r="H34" s="148" t="str">
        <x:v>必須</x:v>
      </x:c>
      <x:c r="I34" s="148" t="str"/>
      <x:c r="J34" s="148" t="str">
        <x:v>デマンド履歴</x:v>
      </x:c>
      <x:c r="K34" s="148" t="str">
        <x:v>R1-DOM-02,R1-TOP-01</x:v>
      </x:c>
      <x:c r="L34" s="148" t="str">
        <x:v>EDI/DRI</x:v>
      </x:c>
      <x:c r="M34" s="148" t="str">
        <x:v>なし</x:v>
      </x:c>
      <x:c r="N34" s="149" t="str">
        <x:v>確定候補</x:v>
      </x:c>
      <x:c r="O34" s="117"/>
      <x:c r="P34" s="117"/>
      <x:c r="Q34" s="117"/>
      <x:c r="R34" s="117"/>
      <x:c r="S34" s="117"/>
      <x:c r="T34" s="117"/>
      <x:c r="U34" s="117"/>
      <x:c r="V34" s="117"/>
      <x:c r="W34" s="117"/>
      <x:c r="X34" s="117"/>
      <x:c r="Y34" s="117"/>
      <x:c r="Z34" s="117"/>
    </x:row>
    <x:row r="35">
      <x:c r="A35" s="147" t="str">
        <x:v>Q241</x:v>
      </x:c>
      <x:c r="B35" s="148" t="str">
        <x:v>Step3</x:v>
      </x:c>
      <x:c r="C35" s="148" t="str">
        <x:v>雨漏り</x:v>
      </x:c>
      <x:c r="D35" s="148" t="str">
        <x:v>屋根、外壁、開口部からの雨漏りや浸水がありますか。</x:v>
      </x:c>
      <x:c r="E35" s="148" t="str"/>
      <x:c r="F35" s="148" t="str">
        <x:v>単一選択</x:v>
      </x:c>
      <x:c r="G35" s="148" t="str">
        <x:v>ANS-SEVERITY4</x:v>
      </x:c>
      <x:c r="H35" s="148" t="str">
        <x:v>必須</x:v>
      </x:c>
      <x:c r="I35" s="148" t="str"/>
      <x:c r="J35" s="148" t="str">
        <x:v>写真・修繕履歴</x:v>
      </x:c>
      <x:c r="K35" s="148" t="str">
        <x:v>R1-DOM-03,R1-GR-01</x:v>
      </x:c>
      <x:c r="L35" s="148" t="str">
        <x:v>EDI/EPI</x:v>
      </x:c>
      <x:c r="M35" s="148" t="str">
        <x:v>安全/品質</x:v>
      </x:c>
      <x:c r="N35" s="149" t="str">
        <x:v>確定候補</x:v>
      </x:c>
      <x:c r="O35" s="117"/>
      <x:c r="P35" s="117"/>
      <x:c r="Q35" s="117"/>
      <x:c r="R35" s="117"/>
      <x:c r="S35" s="117"/>
      <x:c r="T35" s="117"/>
      <x:c r="U35" s="117"/>
      <x:c r="V35" s="117"/>
      <x:c r="W35" s="117"/>
      <x:c r="X35" s="117"/>
      <x:c r="Y35" s="117"/>
      <x:c r="Z35" s="117"/>
    </x:row>
    <x:row r="36">
      <x:c r="A36" s="147" t="str">
        <x:v>Q242</x:v>
      </x:c>
      <x:c r="B36" s="148" t="str">
        <x:v>Step3</x:v>
      </x:c>
      <x:c r="C36" s="148" t="str">
        <x:v>結露</x:v>
      </x:c>
      <x:c r="D36" s="148" t="str">
        <x:v>天井裏、配管、壁面、設備周辺で結露が発生していますか。</x:v>
      </x:c>
      <x:c r="E36" s="148" t="str"/>
      <x:c r="F36" s="148" t="str">
        <x:v>単一選択</x:v>
      </x:c>
      <x:c r="G36" s="148" t="str">
        <x:v>ANS-SEVERITY4</x:v>
      </x:c>
      <x:c r="H36" s="148" t="str">
        <x:v>必須</x:v>
      </x:c>
      <x:c r="I36" s="148" t="str"/>
      <x:c r="J36" s="148" t="str">
        <x:v>写真・温湿度データ</x:v>
      </x:c>
      <x:c r="K36" s="148" t="str">
        <x:v>R1-DOM-03,R1-GR-01</x:v>
      </x:c>
      <x:c r="L36" s="148" t="str">
        <x:v>EDI/EPI</x:v>
      </x:c>
      <x:c r="M36" s="148" t="str">
        <x:v>安全/品質</x:v>
      </x:c>
      <x:c r="N36" s="149" t="str">
        <x:v>確定候補</x:v>
      </x:c>
      <x:c r="O36" s="117"/>
      <x:c r="P36" s="117"/>
      <x:c r="Q36" s="117"/>
      <x:c r="R36" s="117"/>
      <x:c r="S36" s="117"/>
      <x:c r="T36" s="117"/>
      <x:c r="U36" s="117"/>
      <x:c r="V36" s="117"/>
      <x:c r="W36" s="117"/>
      <x:c r="X36" s="117"/>
      <x:c r="Y36" s="117"/>
      <x:c r="Z36" s="117"/>
    </x:row>
    <x:row r="37">
      <x:c r="A37" s="147" t="str">
        <x:v>Q243</x:v>
      </x:c>
      <x:c r="B37" s="148" t="str">
        <x:v>Step3</x:v>
      </x:c>
      <x:c r="C37" s="148" t="str">
        <x:v>暑熱環境</x:v>
      </x:c>
      <x:c r="D37" s="148" t="str">
        <x:v>夏季の作業環境や設備周辺温度に問題がありますか。</x:v>
      </x:c>
      <x:c r="E37" s="148" t="str"/>
      <x:c r="F37" s="148" t="str">
        <x:v>単一選択</x:v>
      </x:c>
      <x:c r="G37" s="148" t="str">
        <x:v>ANS-SEVERITY4</x:v>
      </x:c>
      <x:c r="H37" s="148" t="str">
        <x:v>必須</x:v>
      </x:c>
      <x:c r="I37" s="148" t="str"/>
      <x:c r="J37" s="148" t="str">
        <x:v>温度記録・写真</x:v>
      </x:c>
      <x:c r="K37" s="148" t="str">
        <x:v>R1-DOM-03,R1-TOP-01</x:v>
      </x:c>
      <x:c r="L37" s="148" t="str">
        <x:v>EDI/EPI</x:v>
      </x:c>
      <x:c r="M37" s="148" t="str">
        <x:v>安全</x:v>
      </x:c>
      <x:c r="N37" s="149" t="str">
        <x:v>確定候補</x:v>
      </x:c>
      <x:c r="O37" s="117"/>
      <x:c r="P37" s="117"/>
      <x:c r="Q37" s="117"/>
      <x:c r="R37" s="117"/>
      <x:c r="S37" s="117"/>
      <x:c r="T37" s="117"/>
      <x:c r="U37" s="117"/>
      <x:c r="V37" s="117"/>
      <x:c r="W37" s="117"/>
      <x:c r="X37" s="117"/>
      <x:c r="Y37" s="117"/>
      <x:c r="Z37" s="117"/>
    </x:row>
    <x:row r="38">
      <x:c r="A38" s="147" t="str">
        <x:v>Q244</x:v>
      </x:c>
      <x:c r="B38" s="148" t="str">
        <x:v>Step3</x:v>
      </x:c>
      <x:c r="C38" s="148" t="str">
        <x:v>腐食・劣化</x:v>
      </x:c>
      <x:c r="D38" s="148" t="str">
        <x:v>建屋、盤、配管、支持金具に腐食・塗膜劣化・ひび割れがありますか。</x:v>
      </x:c>
      <x:c r="E38" s="148" t="str"/>
      <x:c r="F38" s="148" t="str">
        <x:v>単一選択</x:v>
      </x:c>
      <x:c r="G38" s="148" t="str">
        <x:v>ANS-SEVERITY4</x:v>
      </x:c>
      <x:c r="H38" s="148" t="str">
        <x:v>必須</x:v>
      </x:c>
      <x:c r="I38" s="148" t="str"/>
      <x:c r="J38" s="148" t="str">
        <x:v>写真・点検記録</x:v>
      </x:c>
      <x:c r="K38" s="148" t="str">
        <x:v>R1-DOM-03,R1-TOP-01</x:v>
      </x:c>
      <x:c r="L38" s="148" t="str">
        <x:v>EDI</x:v>
      </x:c>
      <x:c r="M38" s="148" t="str">
        <x:v>安全</x:v>
      </x:c>
      <x:c r="N38" s="149" t="str">
        <x:v>確定候補</x:v>
      </x:c>
      <x:c r="O38" s="117"/>
      <x:c r="P38" s="117"/>
      <x:c r="Q38" s="117"/>
      <x:c r="R38" s="117"/>
      <x:c r="S38" s="117"/>
      <x:c r="T38" s="117"/>
      <x:c r="U38" s="117"/>
      <x:c r="V38" s="117"/>
      <x:c r="W38" s="117"/>
      <x:c r="X38" s="117"/>
      <x:c r="Y38" s="117"/>
      <x:c r="Z38" s="117"/>
    </x:row>
    <x:row r="39">
      <x:c r="A39" s="147" t="str">
        <x:v>Q245</x:v>
      </x:c>
      <x:c r="B39" s="148" t="str">
        <x:v>Step3</x:v>
      </x:c>
      <x:c r="C39" s="148" t="str">
        <x:v>修繕計画</x:v>
      </x:c>
      <x:c r="D39" s="148" t="str">
        <x:v>建屋修繕の優先順位と中期計画がありますか。</x:v>
      </x:c>
      <x:c r="E39" s="148" t="str"/>
      <x:c r="F39" s="148" t="str">
        <x:v>単一選択</x:v>
      </x:c>
      <x:c r="G39" s="148" t="str">
        <x:v>ANS-EVIDENCE4</x:v>
      </x:c>
      <x:c r="H39" s="148" t="str">
        <x:v>必須</x:v>
      </x:c>
      <x:c r="I39" s="148" t="str"/>
      <x:c r="J39" s="148" t="str">
        <x:v>修繕計画</x:v>
      </x:c>
      <x:c r="K39" s="148" t="str">
        <x:v>R1-DOM-03,R1-DOM-04</x:v>
      </x:c>
      <x:c r="L39" s="148" t="str">
        <x:v>EDI/DRI</x:v>
      </x:c>
      <x:c r="M39" s="148" t="str">
        <x:v>なし</x:v>
      </x:c>
      <x:c r="N39" s="149" t="str">
        <x:v>確定候補</x:v>
      </x:c>
      <x:c r="O39" s="117"/>
      <x:c r="P39" s="117"/>
      <x:c r="Q39" s="117"/>
      <x:c r="R39" s="117"/>
      <x:c r="S39" s="117"/>
      <x:c r="T39" s="117"/>
      <x:c r="U39" s="117"/>
      <x:c r="V39" s="117"/>
      <x:c r="W39" s="117"/>
      <x:c r="X39" s="117"/>
      <x:c r="Y39" s="117"/>
      <x:c r="Z39" s="117"/>
    </x:row>
    <x:row r="40">
      <x:c r="A40" s="147" t="str">
        <x:v>Q261</x:v>
      </x:c>
      <x:c r="B40" s="148" t="str">
        <x:v>Step3</x:v>
      </x:c>
      <x:c r="C40" s="148" t="str">
        <x:v>設備台帳</x:v>
      </x:c>
      <x:c r="D40" s="148" t="str">
        <x:v>主要設備の型式、製造年、数量、重要度を整理した設備台帳がありますか。</x:v>
      </x:c>
      <x:c r="E40" s="148" t="str"/>
      <x:c r="F40" s="148" t="str">
        <x:v>単一選択</x:v>
      </x:c>
      <x:c r="G40" s="148" t="str">
        <x:v>ANS-EVIDENCE4</x:v>
      </x:c>
      <x:c r="H40" s="148" t="str">
        <x:v>必須</x:v>
      </x:c>
      <x:c r="I40" s="148" t="str"/>
      <x:c r="J40" s="148" t="str">
        <x:v>設備台帳</x:v>
      </x:c>
      <x:c r="K40" s="148" t="str">
        <x:v>R1-DOM-04,R1-KPI-DRI</x:v>
      </x:c>
      <x:c r="L40" s="148" t="str">
        <x:v>EDI/DRI</x:v>
      </x:c>
      <x:c r="M40" s="148" t="str">
        <x:v>なし</x:v>
      </x:c>
      <x:c r="N40" s="149" t="str">
        <x:v>確定候補</x:v>
      </x:c>
      <x:c r="O40" s="117"/>
      <x:c r="P40" s="117"/>
      <x:c r="Q40" s="117"/>
      <x:c r="R40" s="117"/>
      <x:c r="S40" s="117"/>
      <x:c r="T40" s="117"/>
      <x:c r="U40" s="117"/>
      <x:c r="V40" s="117"/>
      <x:c r="W40" s="117"/>
      <x:c r="X40" s="117"/>
      <x:c r="Y40" s="117"/>
      <x:c r="Z40" s="117"/>
    </x:row>
    <x:row r="41">
      <x:c r="A41" s="147" t="str">
        <x:v>Q262</x:v>
      </x:c>
      <x:c r="B41" s="148" t="str">
        <x:v>Step3</x:v>
      </x:c>
      <x:c r="C41" s="148" t="str">
        <x:v>更新計画</x:v>
      </x:c>
      <x:c r="D41" s="148" t="str">
        <x:v>3～5年程度の設備更新計画がありますか。</x:v>
      </x:c>
      <x:c r="E41" s="148" t="str"/>
      <x:c r="F41" s="148" t="str">
        <x:v>単一選択</x:v>
      </x:c>
      <x:c r="G41" s="148" t="str">
        <x:v>ANS-EVIDENCE4</x:v>
      </x:c>
      <x:c r="H41" s="148" t="str">
        <x:v>必須</x:v>
      </x:c>
      <x:c r="I41" s="148" t="str"/>
      <x:c r="J41" s="148" t="str">
        <x:v>更新計画</x:v>
      </x:c>
      <x:c r="K41" s="148" t="str">
        <x:v>R1-DOM-04,R1-RM-01</x:v>
      </x:c>
      <x:c r="L41" s="148" t="str">
        <x:v>EDI/DRI</x:v>
      </x:c>
      <x:c r="M41" s="148" t="str">
        <x:v>なし</x:v>
      </x:c>
      <x:c r="N41" s="149" t="str">
        <x:v>確定候補</x:v>
      </x:c>
      <x:c r="O41" s="117"/>
      <x:c r="P41" s="117"/>
      <x:c r="Q41" s="117"/>
      <x:c r="R41" s="117"/>
      <x:c r="S41" s="117"/>
      <x:c r="T41" s="117"/>
      <x:c r="U41" s="117"/>
      <x:c r="V41" s="117"/>
      <x:c r="W41" s="117"/>
      <x:c r="X41" s="117"/>
      <x:c r="Y41" s="117"/>
      <x:c r="Z41" s="117"/>
    </x:row>
    <x:row r="42">
      <x:c r="A42" s="147" t="str">
        <x:v>Q263</x:v>
      </x:c>
      <x:c r="B42" s="148" t="str">
        <x:v>Step3</x:v>
      </x:c>
      <x:c r="C42" s="148" t="str">
        <x:v>重要度分類</x:v>
      </x:c>
      <x:c r="D42" s="148" t="str">
        <x:v>設備を生産影響、安全、品質、代替性などで重要度分類していますか。</x:v>
      </x:c>
      <x:c r="E42" s="148" t="str"/>
      <x:c r="F42" s="148" t="str">
        <x:v>単一選択</x:v>
      </x:c>
      <x:c r="G42" s="148" t="str">
        <x:v>ANS-EVIDENCE4</x:v>
      </x:c>
      <x:c r="H42" s="148" t="str">
        <x:v>必須</x:v>
      </x:c>
      <x:c r="I42" s="148" t="str"/>
      <x:c r="J42" s="148" t="str">
        <x:v>重要度評価表</x:v>
      </x:c>
      <x:c r="K42" s="148" t="str">
        <x:v>R1-DOM-04,R1-HM-01</x:v>
      </x:c>
      <x:c r="L42" s="148" t="str">
        <x:v>EDI/DRI</x:v>
      </x:c>
      <x:c r="M42" s="148" t="str">
        <x:v>BCP</x:v>
      </x:c>
      <x:c r="N42" s="149" t="str">
        <x:v>確定候補</x:v>
      </x:c>
      <x:c r="O42" s="117"/>
      <x:c r="P42" s="117"/>
      <x:c r="Q42" s="117"/>
      <x:c r="R42" s="117"/>
      <x:c r="S42" s="117"/>
      <x:c r="T42" s="117"/>
      <x:c r="U42" s="117"/>
      <x:c r="V42" s="117"/>
      <x:c r="W42" s="117"/>
      <x:c r="X42" s="117"/>
      <x:c r="Y42" s="117"/>
      <x:c r="Z42" s="117"/>
    </x:row>
    <x:row r="43">
      <x:c r="A43" s="147" t="str">
        <x:v>Q264</x:v>
      </x:c>
      <x:c r="B43" s="148" t="str">
        <x:v>Step3</x:v>
      </x:c>
      <x:c r="C43" s="148" t="str">
        <x:v>責任体制</x:v>
      </x:c>
      <x:c r="D43" s="148" t="str">
        <x:v>設備・エネルギー・建屋の管理責任者と承認ルートが明確ですか。</x:v>
      </x:c>
      <x:c r="E43" s="148" t="str"/>
      <x:c r="F43" s="148" t="str">
        <x:v>単一選択</x:v>
      </x:c>
      <x:c r="G43" s="148" t="str">
        <x:v>ANS-COVERAGE4</x:v>
      </x:c>
      <x:c r="H43" s="148" t="str">
        <x:v>必須</x:v>
      </x:c>
      <x:c r="I43" s="148" t="str"/>
      <x:c r="J43" s="148" t="str">
        <x:v>組織図・規程</x:v>
      </x:c>
      <x:c r="K43" s="148" t="str">
        <x:v>R1-DOM-04,R1-KPI-DRI</x:v>
      </x:c>
      <x:c r="L43" s="148" t="str">
        <x:v>EDI/DRI</x:v>
      </x:c>
      <x:c r="M43" s="148" t="str">
        <x:v>なし</x:v>
      </x:c>
      <x:c r="N43" s="149" t="str">
        <x:v>確定候補</x:v>
      </x:c>
      <x:c r="O43" s="117"/>
      <x:c r="P43" s="117"/>
      <x:c r="Q43" s="117"/>
      <x:c r="R43" s="117"/>
      <x:c r="S43" s="117"/>
      <x:c r="T43" s="117"/>
      <x:c r="U43" s="117"/>
      <x:c r="V43" s="117"/>
      <x:c r="W43" s="117"/>
      <x:c r="X43" s="117"/>
      <x:c r="Y43" s="117"/>
      <x:c r="Z43" s="117"/>
    </x:row>
    <x:row r="44">
      <x:c r="A44" s="147" t="str">
        <x:v>Q301</x:v>
      </x:c>
      <x:c r="B44" s="148" t="str">
        <x:v>Step4</x:v>
      </x:c>
      <x:c r="C44" s="148" t="str">
        <x:v>図面整備</x:v>
      </x:c>
      <x:c r="D44" s="148" t="str">
        <x:v>単線結線図、配置図、回路図、配管図などの現行図面がありますか。</x:v>
      </x:c>
      <x:c r="E44" s="148" t="str"/>
      <x:c r="F44" s="148" t="str">
        <x:v>単一選択</x:v>
      </x:c>
      <x:c r="G44" s="148" t="str">
        <x:v>ANS-EVIDENCE4</x:v>
      </x:c>
      <x:c r="H44" s="148" t="str">
        <x:v>必須</x:v>
      </x:c>
      <x:c r="I44" s="148" t="str"/>
      <x:c r="J44" s="148" t="str">
        <x:v>現行図面</x:v>
      </x:c>
      <x:c r="K44" s="148" t="str">
        <x:v>R1-KPI-DRI,R2-DRI-01</x:v>
      </x:c>
      <x:c r="L44" s="148" t="str">
        <x:v>DRI</x:v>
      </x:c>
      <x:c r="M44" s="148" t="str">
        <x:v>なし</x:v>
      </x:c>
      <x:c r="N44" s="149" t="str">
        <x:v>確定候補</x:v>
      </x:c>
      <x:c r="O44" s="117"/>
      <x:c r="P44" s="117"/>
      <x:c r="Q44" s="117"/>
      <x:c r="R44" s="117"/>
      <x:c r="S44" s="117"/>
      <x:c r="T44" s="117"/>
      <x:c r="U44" s="117"/>
      <x:c r="V44" s="117"/>
      <x:c r="W44" s="117"/>
      <x:c r="X44" s="117"/>
      <x:c r="Y44" s="117"/>
      <x:c r="Z44" s="117"/>
    </x:row>
    <x:row r="45">
      <x:c r="A45" s="147" t="str">
        <x:v>Q302</x:v>
      </x:c>
      <x:c r="B45" s="148" t="str">
        <x:v>Step4</x:v>
      </x:c>
      <x:c r="C45" s="148" t="str">
        <x:v>点検履歴</x:v>
      </x:c>
      <x:c r="D45" s="148" t="str">
        <x:v>点検・故障・修理履歴を、設備ごとに追跡できますか。</x:v>
      </x:c>
      <x:c r="E45" s="148" t="str"/>
      <x:c r="F45" s="148" t="str">
        <x:v>単一選択</x:v>
      </x:c>
      <x:c r="G45" s="148" t="str">
        <x:v>ANS-EVIDENCE4</x:v>
      </x:c>
      <x:c r="H45" s="148" t="str">
        <x:v>必須</x:v>
      </x:c>
      <x:c r="I45" s="148" t="str"/>
      <x:c r="J45" s="148" t="str">
        <x:v>点検・故障履歴</x:v>
      </x:c>
      <x:c r="K45" s="148" t="str">
        <x:v>R1-KPI-DRI,R2-DRI-01</x:v>
      </x:c>
      <x:c r="L45" s="148" t="str">
        <x:v>DRI</x:v>
      </x:c>
      <x:c r="M45" s="148" t="str">
        <x:v>なし</x:v>
      </x:c>
      <x:c r="N45" s="149" t="str">
        <x:v>確定候補</x:v>
      </x:c>
      <x:c r="O45" s="117"/>
      <x:c r="P45" s="117"/>
      <x:c r="Q45" s="117"/>
      <x:c r="R45" s="117"/>
      <x:c r="S45" s="117"/>
      <x:c r="T45" s="117"/>
      <x:c r="U45" s="117"/>
      <x:c r="V45" s="117"/>
      <x:c r="W45" s="117"/>
      <x:c r="X45" s="117"/>
      <x:c r="Y45" s="117"/>
      <x:c r="Z45" s="117"/>
    </x:row>
    <x:row r="46">
      <x:c r="A46" s="147" t="str">
        <x:v>Q303</x:v>
      </x:c>
      <x:c r="B46" s="148" t="str">
        <x:v>Step4</x:v>
      </x:c>
      <x:c r="C46" s="148" t="str">
        <x:v>型式情報</x:v>
      </x:c>
      <x:c r="D46" s="148" t="str">
        <x:v>更新候補設備のメーカー・型式・仕様を特定できますか。</x:v>
      </x:c>
      <x:c r="E46" s="148" t="str"/>
      <x:c r="F46" s="148" t="str">
        <x:v>単一選択</x:v>
      </x:c>
      <x:c r="G46" s="148" t="str">
        <x:v>ANS-COVERAGE4</x:v>
      </x:c>
      <x:c r="H46" s="148" t="str">
        <x:v>必須</x:v>
      </x:c>
      <x:c r="I46" s="148" t="str"/>
      <x:c r="J46" s="148" t="str">
        <x:v>銘板写真・台帳</x:v>
      </x:c>
      <x:c r="K46" s="148" t="str">
        <x:v>R1-KPI-DRI,R2-MISS-01</x:v>
      </x:c>
      <x:c r="L46" s="148" t="str">
        <x:v>DRI</x:v>
      </x:c>
      <x:c r="M46" s="148" t="str">
        <x:v>EOL</x:v>
      </x:c>
      <x:c r="N46" s="149" t="str">
        <x:v>確定候補</x:v>
      </x:c>
      <x:c r="O46" s="117"/>
      <x:c r="P46" s="117"/>
      <x:c r="Q46" s="117"/>
      <x:c r="R46" s="117"/>
      <x:c r="S46" s="117"/>
      <x:c r="T46" s="117"/>
      <x:c r="U46" s="117"/>
      <x:c r="V46" s="117"/>
      <x:c r="W46" s="117"/>
      <x:c r="X46" s="117"/>
      <x:c r="Y46" s="117"/>
      <x:c r="Z46" s="117"/>
    </x:row>
    <x:row r="47">
      <x:c r="A47" s="147" t="str">
        <x:v>Q304</x:v>
      </x:c>
      <x:c r="B47" s="148" t="str">
        <x:v>Step4</x:v>
      </x:c>
      <x:c r="C47" s="148" t="str">
        <x:v>工事範囲</x:v>
      </x:c>
      <x:c r="D47" s="148" t="str">
        <x:v>更新対象と流用範囲を関係者で合意していますか。</x:v>
      </x:c>
      <x:c r="E47" s="148" t="str"/>
      <x:c r="F47" s="148" t="str">
        <x:v>単一選択</x:v>
      </x:c>
      <x:c r="G47" s="148" t="str">
        <x:v>ANS-DECISION4</x:v>
      </x:c>
      <x:c r="H47" s="148" t="str">
        <x:v>必須</x:v>
      </x:c>
      <x:c r="I47" s="148" t="str"/>
      <x:c r="J47" s="148" t="str">
        <x:v>会議記録・仕様書</x:v>
      </x:c>
      <x:c r="K47" s="148" t="str">
        <x:v>R1-KPI-DRI,R1-DEC-01</x:v>
      </x:c>
      <x:c r="L47" s="148" t="str">
        <x:v>DRI</x:v>
      </x:c>
      <x:c r="M47" s="148" t="str">
        <x:v>なし</x:v>
      </x:c>
      <x:c r="N47" s="149" t="str">
        <x:v>確定候補</x:v>
      </x:c>
      <x:c r="O47" s="117"/>
      <x:c r="P47" s="117"/>
      <x:c r="Q47" s="117"/>
      <x:c r="R47" s="117"/>
      <x:c r="S47" s="117"/>
      <x:c r="T47" s="117"/>
      <x:c r="U47" s="117"/>
      <x:c r="V47" s="117"/>
      <x:c r="W47" s="117"/>
      <x:c r="X47" s="117"/>
      <x:c r="Y47" s="117"/>
      <x:c r="Z47" s="117"/>
    </x:row>
    <x:row r="48">
      <x:c r="A48" s="147" t="str">
        <x:v>Q305</x:v>
      </x:c>
      <x:c r="B48" s="148" t="str">
        <x:v>Step4</x:v>
      </x:c>
      <x:c r="C48" s="148" t="str">
        <x:v>停止条件</x:v>
      </x:c>
      <x:c r="D48" s="148" t="str">
        <x:v>工事に必要な停電・停止可能時間を把握していますか。</x:v>
      </x:c>
      <x:c r="E48" s="148" t="str"/>
      <x:c r="F48" s="148" t="str">
        <x:v>単一選択</x:v>
      </x:c>
      <x:c r="G48" s="148" t="str">
        <x:v>ANS-DECISION4</x:v>
      </x:c>
      <x:c r="H48" s="148" t="str">
        <x:v>必須</x:v>
      </x:c>
      <x:c r="I48" s="148" t="str"/>
      <x:c r="J48" s="148" t="str">
        <x:v>操業計画・定修計画</x:v>
      </x:c>
      <x:c r="K48" s="148" t="str">
        <x:v>R1-KPI-DRI,R1-RM-01</x:v>
      </x:c>
      <x:c r="L48" s="148" t="str">
        <x:v>DRI/EPI</x:v>
      </x:c>
      <x:c r="M48" s="148" t="str">
        <x:v>期限/BCP</x:v>
      </x:c>
      <x:c r="N48" s="149" t="str">
        <x:v>確定候補</x:v>
      </x:c>
      <x:c r="O48" s="117"/>
      <x:c r="P48" s="117"/>
      <x:c r="Q48" s="117"/>
      <x:c r="R48" s="117"/>
      <x:c r="S48" s="117"/>
      <x:c r="T48" s="117"/>
      <x:c r="U48" s="117"/>
      <x:c r="V48" s="117"/>
      <x:c r="W48" s="117"/>
      <x:c r="X48" s="117"/>
      <x:c r="Y48" s="117"/>
      <x:c r="Z48" s="117"/>
    </x:row>
    <x:row r="49">
      <x:c r="A49" s="147" t="str">
        <x:v>Q306</x:v>
      </x:c>
      <x:c r="B49" s="148" t="str">
        <x:v>Step4</x:v>
      </x:c>
      <x:c r="C49" s="148" t="str">
        <x:v>予算枠</x:v>
      </x:c>
      <x:c r="D49" s="148" t="str">
        <x:v>検討対象について、概算予算または予算化時期がありますか。</x:v>
      </x:c>
      <x:c r="E49" s="148" t="str"/>
      <x:c r="F49" s="148" t="str">
        <x:v>単一選択</x:v>
      </x:c>
      <x:c r="G49" s="148" t="str">
        <x:v>ANS-BUDGET4</x:v>
      </x:c>
      <x:c r="H49" s="148" t="str">
        <x:v>必須</x:v>
      </x:c>
      <x:c r="I49" s="148" t="str"/>
      <x:c r="J49" s="148" t="str">
        <x:v>予算資料</x:v>
      </x:c>
      <x:c r="K49" s="148" t="str">
        <x:v>R1-KPI-DRI,R1-INV-01</x:v>
      </x:c>
      <x:c r="L49" s="148" t="str">
        <x:v>DRI</x:v>
      </x:c>
      <x:c r="M49" s="148" t="str">
        <x:v>なし</x:v>
      </x:c>
      <x:c r="N49" s="149" t="str">
        <x:v>確定候補</x:v>
      </x:c>
      <x:c r="O49" s="117"/>
      <x:c r="P49" s="117"/>
      <x:c r="Q49" s="117"/>
      <x:c r="R49" s="117"/>
      <x:c r="S49" s="117"/>
      <x:c r="T49" s="117"/>
      <x:c r="U49" s="117"/>
      <x:c r="V49" s="117"/>
      <x:c r="W49" s="117"/>
      <x:c r="X49" s="117"/>
      <x:c r="Y49" s="117"/>
      <x:c r="Z49" s="117"/>
    </x:row>
    <x:row r="50">
      <x:c r="A50" s="147" t="str">
        <x:v>Q307</x:v>
      </x:c>
      <x:c r="B50" s="148" t="str">
        <x:v>Step4</x:v>
      </x:c>
      <x:c r="C50" s="148" t="str">
        <x:v>費用比較</x:v>
      </x:c>
      <x:c r="D50" s="148" t="str">
        <x:v>修理継続、部分更新、全面更新の費用とリスクを比較していますか。</x:v>
      </x:c>
      <x:c r="E50" s="148" t="str"/>
      <x:c r="F50" s="148" t="str">
        <x:v>単一選択</x:v>
      </x:c>
      <x:c r="G50" s="148" t="str">
        <x:v>ANS-DECISION4</x:v>
      </x:c>
      <x:c r="H50" s="148" t="str">
        <x:v>必須</x:v>
      </x:c>
      <x:c r="I50" s="148" t="str"/>
      <x:c r="J50" s="148" t="str">
        <x:v>比較表・見積</x:v>
      </x:c>
      <x:c r="K50" s="148" t="str">
        <x:v>R1-KPI-DRI,R1-INV-01</x:v>
      </x:c>
      <x:c r="L50" s="148" t="str">
        <x:v>DRI</x:v>
      </x:c>
      <x:c r="M50" s="148" t="str">
        <x:v>なし</x:v>
      </x:c>
      <x:c r="N50" s="149" t="str">
        <x:v>確定候補</x:v>
      </x:c>
      <x:c r="O50" s="117"/>
      <x:c r="P50" s="117"/>
      <x:c r="Q50" s="117"/>
      <x:c r="R50" s="117"/>
      <x:c r="S50" s="117"/>
      <x:c r="T50" s="117"/>
      <x:c r="U50" s="117"/>
      <x:c r="V50" s="117"/>
      <x:c r="W50" s="117"/>
      <x:c r="X50" s="117"/>
      <x:c r="Y50" s="117"/>
      <x:c r="Z50" s="117"/>
    </x:row>
    <x:row r="51">
      <x:c r="A51" s="147" t="str">
        <x:v>Q308</x:v>
      </x:c>
      <x:c r="B51" s="148" t="str">
        <x:v>Step4</x:v>
      </x:c>
      <x:c r="C51" s="148" t="str">
        <x:v>効果算定</x:v>
      </x:c>
      <x:c r="D51" s="148" t="str">
        <x:v>省エネ、停止回避、保全費削減などの期待効果を定量化できますか。</x:v>
      </x:c>
      <x:c r="E51" s="148" t="str"/>
      <x:c r="F51" s="148" t="str">
        <x:v>単一選択</x:v>
      </x:c>
      <x:c r="G51" s="148" t="str">
        <x:v>ANS-EVIDENCE4</x:v>
      </x:c>
      <x:c r="H51" s="148" t="str">
        <x:v>必須</x:v>
      </x:c>
      <x:c r="I51" s="148" t="str"/>
      <x:c r="J51" s="148" t="str">
        <x:v>効果試算</x:v>
      </x:c>
      <x:c r="K51" s="148" t="str">
        <x:v>R1-KPI-DRI,R1-INV-01</x:v>
      </x:c>
      <x:c r="L51" s="148" t="str">
        <x:v>DRI</x:v>
      </x:c>
      <x:c r="M51" s="148" t="str">
        <x:v>なし</x:v>
      </x:c>
      <x:c r="N51" s="149" t="str">
        <x:v>確定候補</x:v>
      </x:c>
      <x:c r="O51" s="117"/>
      <x:c r="P51" s="117"/>
      <x:c r="Q51" s="117"/>
      <x:c r="R51" s="117"/>
      <x:c r="S51" s="117"/>
      <x:c r="T51" s="117"/>
      <x:c r="U51" s="117"/>
      <x:c r="V51" s="117"/>
      <x:c r="W51" s="117"/>
      <x:c r="X51" s="117"/>
      <x:c r="Y51" s="117"/>
      <x:c r="Z51" s="117"/>
    </x:row>
    <x:row r="52">
      <x:c r="A52" s="147" t="str">
        <x:v>Q309</x:v>
      </x:c>
      <x:c r="B52" s="148" t="str">
        <x:v>Step4</x:v>
      </x:c>
      <x:c r="C52" s="148" t="str">
        <x:v>意思決定者</x:v>
      </x:c>
      <x:c r="D52" s="148" t="str">
        <x:v>設備更新の起案者、技術確認者、予算承認者が明確ですか。</x:v>
      </x:c>
      <x:c r="E52" s="148" t="str"/>
      <x:c r="F52" s="148" t="str">
        <x:v>単一選択</x:v>
      </x:c>
      <x:c r="G52" s="148" t="str">
        <x:v>ANS-COVERAGE4</x:v>
      </x:c>
      <x:c r="H52" s="148" t="str">
        <x:v>必須</x:v>
      </x:c>
      <x:c r="I52" s="148" t="str"/>
      <x:c r="J52" s="148" t="str">
        <x:v>稟議ルール</x:v>
      </x:c>
      <x:c r="K52" s="148" t="str">
        <x:v>R1-KPI-DRI,R1-DEC-01</x:v>
      </x:c>
      <x:c r="L52" s="148" t="str">
        <x:v>DRI</x:v>
      </x:c>
      <x:c r="M52" s="148" t="str">
        <x:v>なし</x:v>
      </x:c>
      <x:c r="N52" s="149" t="str">
        <x:v>確定候補</x:v>
      </x:c>
      <x:c r="O52" s="117"/>
      <x:c r="P52" s="117"/>
      <x:c r="Q52" s="117"/>
      <x:c r="R52" s="117"/>
      <x:c r="S52" s="117"/>
      <x:c r="T52" s="117"/>
      <x:c r="U52" s="117"/>
      <x:c r="V52" s="117"/>
      <x:c r="W52" s="117"/>
      <x:c r="X52" s="117"/>
      <x:c r="Y52" s="117"/>
      <x:c r="Z52" s="117"/>
    </x:row>
    <x:row r="53">
      <x:c r="A53" s="147" t="str">
        <x:v>Q310</x:v>
      </x:c>
      <x:c r="B53" s="148" t="str">
        <x:v>Step4</x:v>
      </x:c>
      <x:c r="C53" s="148" t="str">
        <x:v>関係部門合意</x:v>
      </x:c>
      <x:c r="D53" s="148" t="str">
        <x:v>生産、保全、品質、安全、経理などの関係部門と論点共有できていますか。</x:v>
      </x:c>
      <x:c r="E53" s="148" t="str"/>
      <x:c r="F53" s="148" t="str">
        <x:v>単一選択</x:v>
      </x:c>
      <x:c r="G53" s="148" t="str">
        <x:v>ANS-DECISION4</x:v>
      </x:c>
      <x:c r="H53" s="148" t="str">
        <x:v>必須</x:v>
      </x:c>
      <x:c r="I53" s="148" t="str"/>
      <x:c r="J53" s="148" t="str">
        <x:v>会議記録</x:v>
      </x:c>
      <x:c r="K53" s="148" t="str">
        <x:v>R1-KPI-DRI,R2-DRI-01</x:v>
      </x:c>
      <x:c r="L53" s="148" t="str">
        <x:v>DRI</x:v>
      </x:c>
      <x:c r="M53" s="148" t="str">
        <x:v>顧客要求</x:v>
      </x:c>
      <x:c r="N53" s="149" t="str">
        <x:v>確定候補</x:v>
      </x:c>
      <x:c r="O53" s="117"/>
      <x:c r="P53" s="117"/>
      <x:c r="Q53" s="117"/>
      <x:c r="R53" s="117"/>
      <x:c r="S53" s="117"/>
      <x:c r="T53" s="117"/>
      <x:c r="U53" s="117"/>
      <x:c r="V53" s="117"/>
      <x:c r="W53" s="117"/>
      <x:c r="X53" s="117"/>
      <x:c r="Y53" s="117"/>
      <x:c r="Z53" s="117"/>
    </x:row>
    <x:row r="54">
      <x:c r="A54" s="147" t="str">
        <x:v>Q311</x:v>
      </x:c>
      <x:c r="B54" s="148" t="str">
        <x:v>Step4</x:v>
      </x:c>
      <x:c r="C54" s="148" t="str">
        <x:v>メーカー確認</x:v>
      </x:c>
      <x:c r="D54" s="148" t="str">
        <x:v>EOL、互換性、納期、工事条件をメーカーまたは専門会社へ確認していますか。</x:v>
      </x:c>
      <x:c r="E54" s="148" t="str"/>
      <x:c r="F54" s="148" t="str">
        <x:v>単一選択</x:v>
      </x:c>
      <x:c r="G54" s="148" t="str">
        <x:v>ANS-EVIDENCE4</x:v>
      </x:c>
      <x:c r="H54" s="148" t="str">
        <x:v>必須</x:v>
      </x:c>
      <x:c r="I54" s="148" t="str"/>
      <x:c r="J54" s="148" t="str">
        <x:v>メーカー回答</x:v>
      </x:c>
      <x:c r="K54" s="148" t="str">
        <x:v>R1-KPI-DRI,R2-EV-01</x:v>
      </x:c>
      <x:c r="L54" s="148" t="str">
        <x:v>DRI</x:v>
      </x:c>
      <x:c r="M54" s="148" t="str">
        <x:v>EOL</x:v>
      </x:c>
      <x:c r="N54" s="149" t="str">
        <x:v>確定候補</x:v>
      </x:c>
      <x:c r="O54" s="117"/>
      <x:c r="P54" s="117"/>
      <x:c r="Q54" s="117"/>
      <x:c r="R54" s="117"/>
      <x:c r="S54" s="117"/>
      <x:c r="T54" s="117"/>
      <x:c r="U54" s="117"/>
      <x:c r="V54" s="117"/>
      <x:c r="W54" s="117"/>
      <x:c r="X54" s="117"/>
      <x:c r="Y54" s="117"/>
      <x:c r="Z54" s="117"/>
    </x:row>
    <x:row r="55">
      <x:c r="A55" s="147" t="str">
        <x:v>Q312</x:v>
      </x:c>
      <x:c r="B55" s="148" t="str">
        <x:v>Step4</x:v>
      </x:c>
      <x:c r="C55" s="148" t="str">
        <x:v>見積取得</x:v>
      </x:c>
      <x:c r="D55" s="148" t="str">
        <x:v>必要な概算見積または更新費用レンジを把握していますか。</x:v>
      </x:c>
      <x:c r="E55" s="148" t="str"/>
      <x:c r="F55" s="148" t="str">
        <x:v>単一選択</x:v>
      </x:c>
      <x:c r="G55" s="148" t="str">
        <x:v>ANS-EVIDENCE4</x:v>
      </x:c>
      <x:c r="H55" s="148" t="str">
        <x:v>必須</x:v>
      </x:c>
      <x:c r="I55" s="148" t="str"/>
      <x:c r="J55" s="148" t="str">
        <x:v>見積書</x:v>
      </x:c>
      <x:c r="K55" s="148" t="str">
        <x:v>R1-KPI-DRI,R1-INV-01</x:v>
      </x:c>
      <x:c r="L55" s="148" t="str">
        <x:v>DRI</x:v>
      </x:c>
      <x:c r="M55" s="148" t="str">
        <x:v>なし</x:v>
      </x:c>
      <x:c r="N55" s="149" t="str">
        <x:v>確定候補</x:v>
      </x:c>
      <x:c r="O55" s="117"/>
      <x:c r="P55" s="117"/>
      <x:c r="Q55" s="117"/>
      <x:c r="R55" s="117"/>
      <x:c r="S55" s="117"/>
      <x:c r="T55" s="117"/>
      <x:c r="U55" s="117"/>
      <x:c r="V55" s="117"/>
      <x:c r="W55" s="117"/>
      <x:c r="X55" s="117"/>
      <x:c r="Y55" s="117"/>
      <x:c r="Z55" s="117"/>
    </x:row>
    <x:row r="56">
      <x:c r="A56" s="147" t="str">
        <x:v>Q401</x:v>
      </x:c>
      <x:c r="B56" s="148" t="str">
        <x:v>Step5</x:v>
      </x:c>
      <x:c r="C56" s="148" t="str">
        <x:v>緊急度</x:v>
      </x:c>
      <x:c r="D56" s="148" t="str">
        <x:v>現状の課題は、いつまでに対応が必要ですか。</x:v>
      </x:c>
      <x:c r="E56" s="148" t="str"/>
      <x:c r="F56" s="148" t="str">
        <x:v>単一選択</x:v>
      </x:c>
      <x:c r="G56" s="148" t="str">
        <x:v>ANS-URGENCY4</x:v>
      </x:c>
      <x:c r="H56" s="148" t="str">
        <x:v>必須</x:v>
      </x:c>
      <x:c r="I56" s="148" t="str"/>
      <x:c r="J56" s="148" t="str">
        <x:v>期限資料</x:v>
      </x:c>
      <x:c r="K56" s="148" t="str">
        <x:v>R1-KPI-EPI,R1-RM-01</x:v>
      </x:c>
      <x:c r="L56" s="148" t="str">
        <x:v>EPI</x:v>
      </x:c>
      <x:c r="M56" s="148" t="str">
        <x:v>期限</x:v>
      </x:c>
      <x:c r="N56" s="149" t="str">
        <x:v>確定候補</x:v>
      </x:c>
      <x:c r="O56" s="117"/>
      <x:c r="P56" s="117"/>
      <x:c r="Q56" s="117"/>
      <x:c r="R56" s="117"/>
      <x:c r="S56" s="117"/>
      <x:c r="T56" s="117"/>
      <x:c r="U56" s="117"/>
      <x:c r="V56" s="117"/>
      <x:c r="W56" s="117"/>
      <x:c r="X56" s="117"/>
      <x:c r="Y56" s="117"/>
      <x:c r="Z56" s="117"/>
    </x:row>
    <x:row r="57">
      <x:c r="A57" s="147" t="str">
        <x:v>Q402</x:v>
      </x:c>
      <x:c r="B57" s="148" t="str">
        <x:v>Step5</x:v>
      </x:c>
      <x:c r="C57" s="148" t="str">
        <x:v>停止影響規模</x:v>
      </x:c>
      <x:c r="D57" s="148" t="str">
        <x:v>1日停止した場合の生産・売上・顧客影響を把握していますか。</x:v>
      </x:c>
      <x:c r="E57" s="148" t="str"/>
      <x:c r="F57" s="148" t="str">
        <x:v>単一選択</x:v>
      </x:c>
      <x:c r="G57" s="148" t="str">
        <x:v>ANS-IMPACTVALUE4</x:v>
      </x:c>
      <x:c r="H57" s="148" t="str">
        <x:v>必須</x:v>
      </x:c>
      <x:c r="I57" s="148" t="str"/>
      <x:c r="J57" s="148" t="str">
        <x:v>停止影響試算</x:v>
      </x:c>
      <x:c r="K57" s="148" t="str">
        <x:v>R1-KPI-EPI,R1-HM-01</x:v>
      </x:c>
      <x:c r="L57" s="148" t="str">
        <x:v>EPI/DRI</x:v>
      </x:c>
      <x:c r="M57" s="148" t="str">
        <x:v>BCP</x:v>
      </x:c>
      <x:c r="N57" s="149" t="str">
        <x:v>確定候補</x:v>
      </x:c>
      <x:c r="O57" s="117"/>
      <x:c r="P57" s="117"/>
      <x:c r="Q57" s="117"/>
      <x:c r="R57" s="117"/>
      <x:c r="S57" s="117"/>
      <x:c r="T57" s="117"/>
      <x:c r="U57" s="117"/>
      <x:c r="V57" s="117"/>
      <x:c r="W57" s="117"/>
      <x:c r="X57" s="117"/>
      <x:c r="Y57" s="117"/>
      <x:c r="Z57" s="117"/>
    </x:row>
    <x:row r="58">
      <x:c r="A58" s="147" t="str">
        <x:v>Q403</x:v>
      </x:c>
      <x:c r="B58" s="148" t="str">
        <x:v>Step5</x:v>
      </x:c>
      <x:c r="C58" s="148" t="str">
        <x:v>故障確率兆候</x:v>
      </x:c>
      <x:c r="D58" s="148" t="str">
        <x:v>点検結果や故障傾向から、今後1～3年の故障リスクが高まっていると考えますか。</x:v>
      </x:c>
      <x:c r="E58" s="148" t="str"/>
      <x:c r="F58" s="148" t="str">
        <x:v>単一選択</x:v>
      </x:c>
      <x:c r="G58" s="148" t="str">
        <x:v>ANS-RISK4</x:v>
      </x:c>
      <x:c r="H58" s="148" t="str">
        <x:v>必須</x:v>
      </x:c>
      <x:c r="I58" s="148" t="str"/>
      <x:c r="J58" s="148" t="str">
        <x:v>点検・故障履歴</x:v>
      </x:c>
      <x:c r="K58" s="148" t="str">
        <x:v>R1-KPI-EPI,R1-HM-01</x:v>
      </x:c>
      <x:c r="L58" s="148" t="str">
        <x:v>EPI</x:v>
      </x:c>
      <x:c r="M58" s="148" t="str">
        <x:v>安全/BCP</x:v>
      </x:c>
      <x:c r="N58" s="149" t="str">
        <x:v>確定候補</x:v>
      </x:c>
      <x:c r="O58" s="117"/>
      <x:c r="P58" s="117"/>
      <x:c r="Q58" s="117"/>
      <x:c r="R58" s="117"/>
      <x:c r="S58" s="117"/>
      <x:c r="T58" s="117"/>
      <x:c r="U58" s="117"/>
      <x:c r="V58" s="117"/>
      <x:c r="W58" s="117"/>
      <x:c r="X58" s="117"/>
      <x:c r="Y58" s="117"/>
      <x:c r="Z58" s="117"/>
    </x:row>
    <x:row r="59">
      <x:c r="A59" s="147" t="str">
        <x:v>Q404</x:v>
      </x:c>
      <x:c r="B59" s="148" t="str">
        <x:v>Step5</x:v>
      </x:c>
      <x:c r="C59" s="148" t="str">
        <x:v>供給リスク</x:v>
      </x:c>
      <x:c r="D59" s="148" t="str">
        <x:v>部品納期長期化、代替品なし、メーカー撤退などの供給リスクがありますか。</x:v>
      </x:c>
      <x:c r="E59" s="148" t="str"/>
      <x:c r="F59" s="148" t="str">
        <x:v>単一選択</x:v>
      </x:c>
      <x:c r="G59" s="148" t="str">
        <x:v>ANS-SEVERITY4</x:v>
      </x:c>
      <x:c r="H59" s="148" t="str">
        <x:v>必須</x:v>
      </x:c>
      <x:c r="I59" s="148" t="str"/>
      <x:c r="J59" s="148" t="str">
        <x:v>メーカー回答・市場情報</x:v>
      </x:c>
      <x:c r="K59" s="148" t="str">
        <x:v>R1-KPI-EPI,R1-GR-01</x:v>
      </x:c>
      <x:c r="L59" s="148" t="str">
        <x:v>EPI</x:v>
      </x:c>
      <x:c r="M59" s="148" t="str">
        <x:v>EOL/BCP</x:v>
      </x:c>
      <x:c r="N59" s="149" t="str">
        <x:v>確定候補</x:v>
      </x:c>
      <x:c r="O59" s="117"/>
      <x:c r="P59" s="117"/>
      <x:c r="Q59" s="117"/>
      <x:c r="R59" s="117"/>
      <x:c r="S59" s="117"/>
      <x:c r="T59" s="117"/>
      <x:c r="U59" s="117"/>
      <x:c r="V59" s="117"/>
      <x:c r="W59" s="117"/>
      <x:c r="X59" s="117"/>
      <x:c r="Y59" s="117"/>
      <x:c r="Z59" s="117"/>
    </x:row>
    <x:row r="60">
      <x:c r="A60" s="147" t="str">
        <x:v>Q405</x:v>
      </x:c>
      <x:c r="B60" s="148" t="str">
        <x:v>Step5</x:v>
      </x:c>
      <x:c r="C60" s="148" t="str">
        <x:v>実施機会</x:v>
      </x:c>
      <x:c r="D60" s="148" t="str">
        <x:v>定修、長期休暇、設備停止期間など、更新工事を実施しやすい時期がありますか。</x:v>
      </x:c>
      <x:c r="E60" s="148" t="str"/>
      <x:c r="F60" s="148" t="str">
        <x:v>単一選択</x:v>
      </x:c>
      <x:c r="G60" s="148" t="str">
        <x:v>ANS-OPPORTUNITY4</x:v>
      </x:c>
      <x:c r="H60" s="148" t="str">
        <x:v>必須</x:v>
      </x:c>
      <x:c r="I60" s="148" t="str"/>
      <x:c r="J60" s="148" t="str">
        <x:v>操業・定修計画</x:v>
      </x:c>
      <x:c r="K60" s="148" t="str">
        <x:v>R1-KPI-EPI,R1-RM-01</x:v>
      </x:c>
      <x:c r="L60" s="148" t="str">
        <x:v>EPI/DRI</x:v>
      </x:c>
      <x:c r="M60" s="148" t="str">
        <x:v>期限</x:v>
      </x:c>
      <x:c r="N60" s="149" t="str">
        <x:v>確定候補</x:v>
      </x:c>
      <x:c r="O60" s="117"/>
      <x:c r="P60" s="117"/>
      <x:c r="Q60" s="117"/>
      <x:c r="R60" s="117"/>
      <x:c r="S60" s="117"/>
      <x:c r="T60" s="117"/>
      <x:c r="U60" s="117"/>
      <x:c r="V60" s="117"/>
      <x:c r="W60" s="117"/>
      <x:c r="X60" s="117"/>
      <x:c r="Y60" s="117"/>
      <x:c r="Z60" s="117"/>
    </x:row>
    <x:row r="61">
      <x:c r="A61" s="147" t="str">
        <x:v>Q406</x:v>
      </x:c>
      <x:c r="B61" s="148" t="str">
        <x:v>Step5</x:v>
      </x:c>
      <x:c r="C61" s="148" t="str">
        <x:v>省エネ効果</x:v>
      </x:c>
      <x:c r="D61" s="148" t="str">
        <x:v>更新により大きな省エネ・電力料金削減が見込まれますか。</x:v>
      </x:c>
      <x:c r="E61" s="148" t="str"/>
      <x:c r="F61" s="148" t="str">
        <x:v>単一選択</x:v>
      </x:c>
      <x:c r="G61" s="148" t="str">
        <x:v>ANS-BENEFIT4</x:v>
      </x:c>
      <x:c r="H61" s="148" t="str">
        <x:v>必須</x:v>
      </x:c>
      <x:c r="I61" s="148" t="str"/>
      <x:c r="J61" s="148" t="str">
        <x:v>計測・試算</x:v>
      </x:c>
      <x:c r="K61" s="148" t="str">
        <x:v>R1-KPI-EPI,R1-INV-01</x:v>
      </x:c>
      <x:c r="L61" s="148" t="str">
        <x:v>EPI</x:v>
      </x:c>
      <x:c r="M61" s="148" t="str">
        <x:v>なし</x:v>
      </x:c>
      <x:c r="N61" s="149" t="str">
        <x:v>確定候補</x:v>
      </x:c>
      <x:c r="O61" s="117"/>
      <x:c r="P61" s="117"/>
      <x:c r="Q61" s="117"/>
      <x:c r="R61" s="117"/>
      <x:c r="S61" s="117"/>
      <x:c r="T61" s="117"/>
      <x:c r="U61" s="117"/>
      <x:c r="V61" s="117"/>
      <x:c r="W61" s="117"/>
      <x:c r="X61" s="117"/>
      <x:c r="Y61" s="117"/>
      <x:c r="Z61" s="117"/>
    </x:row>
    <x:row r="62">
      <x:c r="A62" s="147" t="str">
        <x:v>Q407</x:v>
      </x:c>
      <x:c r="B62" s="148" t="str">
        <x:v>Step5</x:v>
      </x:c>
      <x:c r="C62" s="148" t="str">
        <x:v>予算年度</x:v>
      </x:c>
      <x:c r="D62" s="148" t="str">
        <x:v>次回の予算申請・投資審議に間に合わせる必要がありますか。</x:v>
      </x:c>
      <x:c r="E62" s="148" t="str"/>
      <x:c r="F62" s="148" t="str">
        <x:v>単一選択</x:v>
      </x:c>
      <x:c r="G62" s="148" t="str">
        <x:v>ANS-DEADLINE4</x:v>
      </x:c>
      <x:c r="H62" s="148" t="str">
        <x:v>必須</x:v>
      </x:c>
      <x:c r="I62" s="148" t="str"/>
      <x:c r="J62" s="148" t="str">
        <x:v>予算日程</x:v>
      </x:c>
      <x:c r="K62" s="148" t="str">
        <x:v>R1-KPI-EPI,R1-RM-01</x:v>
      </x:c>
      <x:c r="L62" s="148" t="str">
        <x:v>EPI</x:v>
      </x:c>
      <x:c r="M62" s="148" t="str">
        <x:v>期限</x:v>
      </x:c>
      <x:c r="N62" s="149" t="str">
        <x:v>確定候補</x:v>
      </x:c>
      <x:c r="O62" s="117"/>
      <x:c r="P62" s="117"/>
      <x:c r="Q62" s="117"/>
      <x:c r="R62" s="117"/>
      <x:c r="S62" s="117"/>
      <x:c r="T62" s="117"/>
      <x:c r="U62" s="117"/>
      <x:c r="V62" s="117"/>
      <x:c r="W62" s="117"/>
      <x:c r="X62" s="117"/>
      <x:c r="Y62" s="117"/>
      <x:c r="Z62" s="117"/>
    </x:row>
    <x:row r="63">
      <x:c r="A63" s="147" t="str">
        <x:v>Q408</x:v>
      </x:c>
      <x:c r="B63" s="148" t="str">
        <x:v>Step5</x:v>
      </x:c>
      <x:c r="C63" s="148" t="str">
        <x:v>顧客・監査要求</x:v>
      </x:c>
      <x:c r="D63" s="148" t="str">
        <x:v>顧客監査、ISO、品質監査、保険、行政等から改善要求がありますか。</x:v>
      </x:c>
      <x:c r="E63" s="148" t="str"/>
      <x:c r="F63" s="148" t="str">
        <x:v>単一選択</x:v>
      </x:c>
      <x:c r="G63" s="148" t="str">
        <x:v>ANS-FINDING4</x:v>
      </x:c>
      <x:c r="H63" s="148" t="str">
        <x:v>必須</x:v>
      </x:c>
      <x:c r="I63" s="148" t="str"/>
      <x:c r="J63" s="148" t="str">
        <x:v>要求書・監査記録</x:v>
      </x:c>
      <x:c r="K63" s="148" t="str">
        <x:v>R1-KPI-EPI,R1-GR-01</x:v>
      </x:c>
      <x:c r="L63" s="148" t="str">
        <x:v>EPI</x:v>
      </x:c>
      <x:c r="M63" s="148" t="str">
        <x:v>顧客要求/法令</x:v>
      </x:c>
      <x:c r="N63" s="149" t="str">
        <x:v>確定候補</x:v>
      </x:c>
      <x:c r="O63" s="117"/>
      <x:c r="P63" s="117"/>
      <x:c r="Q63" s="117"/>
      <x:c r="R63" s="117"/>
      <x:c r="S63" s="117"/>
      <x:c r="T63" s="117"/>
      <x:c r="U63" s="117"/>
      <x:c r="V63" s="117"/>
      <x:c r="W63" s="117"/>
      <x:c r="X63" s="117"/>
      <x:c r="Y63" s="117"/>
      <x:c r="Z63" s="117"/>
    </x:row>
    <x:row r="64">
      <x:c r="A64" s="147" t="str">
        <x:v>Q409</x:v>
      </x:c>
      <x:c r="B64" s="148" t="str">
        <x:v>Step5</x:v>
      </x:c>
      <x:c r="C64" s="148" t="str">
        <x:v>事業計画連動</x:v>
      </x:c>
      <x:c r="D64" s="148" t="str">
        <x:v>増産、新製品、レイアウト変更、脱炭素計画など、他の事業計画と連動していますか。</x:v>
      </x:c>
      <x:c r="E64" s="148" t="str"/>
      <x:c r="F64" s="148" t="str">
        <x:v>単一選択</x:v>
      </x:c>
      <x:c r="G64" s="148" t="str">
        <x:v>ANS-OPPORTUNITY4</x:v>
      </x:c>
      <x:c r="H64" s="148" t="str">
        <x:v>必須</x:v>
      </x:c>
      <x:c r="I64" s="148" t="str"/>
      <x:c r="J64" s="148" t="str">
        <x:v>事業計画</x:v>
      </x:c>
      <x:c r="K64" s="148" t="str">
        <x:v>R1-KPI-EPI,R1-DEC-01</x:v>
      </x:c>
      <x:c r="L64" s="148" t="str">
        <x:v>EPI/DRI</x:v>
      </x:c>
      <x:c r="M64" s="148" t="str">
        <x:v>期限</x:v>
      </x:c>
      <x:c r="N64" s="149" t="str">
        <x:v>確定候補</x:v>
      </x:c>
      <x:c r="O64" s="117"/>
      <x:c r="P64" s="117"/>
      <x:c r="Q64" s="117"/>
      <x:c r="R64" s="117"/>
      <x:c r="S64" s="117"/>
      <x:c r="T64" s="117"/>
      <x:c r="U64" s="117"/>
      <x:c r="V64" s="117"/>
      <x:c r="W64" s="117"/>
      <x:c r="X64" s="117"/>
      <x:c r="Y64" s="117"/>
      <x:c r="Z64" s="117"/>
    </x:row>
    <x:row r="65">
      <x:c r="A65" s="147" t="str">
        <x:v>Q501</x:v>
      </x:c>
      <x:c r="B65" s="148" t="str">
        <x:v>Step6</x:v>
      </x:c>
      <x:c r="C65" s="148" t="str">
        <x:v>写真添付</x:v>
      </x:c>
      <x:c r="D65" s="148" t="str">
        <x:v>設備銘板、全景、異常箇所、建屋状況の写真を添付できます。</x:v>
      </x:c>
      <x:c r="E65" s="148" t="str">
        <x:v>任意。個人情報や機密情報を除いてください。</x:v>
      </x:c>
      <x:c r="F65" s="148" t="str">
        <x:v>ファイル</x:v>
      </x:c>
      <x:c r="G65" s="148" t="str"/>
      <x:c r="H65" s="148" t="str">
        <x:v>任意</x:v>
      </x:c>
      <x:c r="I65" s="148" t="str"/>
      <x:c r="J65" s="148" t="str">
        <x:v>写真</x:v>
      </x:c>
      <x:c r="K65" s="148" t="str">
        <x:v>R1-KPI-CONF,R1-KPI-COMP,R2-EV-01</x:v>
      </x:c>
      <x:c r="L65" s="148" t="str">
        <x:v>診断品質</x:v>
      </x:c>
      <x:c r="M65" s="148" t="str">
        <x:v>なし</x:v>
      </x:c>
      <x:c r="N65" s="149" t="str">
        <x:v>確定候補</x:v>
      </x:c>
      <x:c r="O65" s="117"/>
      <x:c r="P65" s="117"/>
      <x:c r="Q65" s="117"/>
      <x:c r="R65" s="117"/>
      <x:c r="S65" s="117"/>
      <x:c r="T65" s="117"/>
      <x:c r="U65" s="117"/>
      <x:c r="V65" s="117"/>
      <x:c r="W65" s="117"/>
      <x:c r="X65" s="117"/>
      <x:c r="Y65" s="117"/>
      <x:c r="Z65" s="117"/>
    </x:row>
    <x:row r="66">
      <x:c r="A66" s="147" t="str">
        <x:v>Q502</x:v>
      </x:c>
      <x:c r="B66" s="148" t="str">
        <x:v>Step6</x:v>
      </x:c>
      <x:c r="C66" s="148" t="str">
        <x:v>図面添付</x:v>
      </x:c>
      <x:c r="D66" s="148" t="str">
        <x:v>単線結線図、配置図、回路図、配管図等を添付できます。</x:v>
      </x:c>
      <x:c r="E66" s="148" t="str"/>
      <x:c r="F66" s="148" t="str">
        <x:v>ファイル</x:v>
      </x:c>
      <x:c r="G66" s="148" t="str"/>
      <x:c r="H66" s="148" t="str">
        <x:v>任意</x:v>
      </x:c>
      <x:c r="I66" s="148" t="str"/>
      <x:c r="J66" s="148" t="str">
        <x:v>図面</x:v>
      </x:c>
      <x:c r="K66" s="148" t="str">
        <x:v>R1-KPI-CONF,R1-KPI-COMP,R2-EV-01</x:v>
      </x:c>
      <x:c r="L66" s="148" t="str">
        <x:v>診断品質</x:v>
      </x:c>
      <x:c r="M66" s="148" t="str">
        <x:v>なし</x:v>
      </x:c>
      <x:c r="N66" s="149" t="str">
        <x:v>確定候補</x:v>
      </x:c>
      <x:c r="O66" s="117"/>
      <x:c r="P66" s="117"/>
      <x:c r="Q66" s="117"/>
      <x:c r="R66" s="117"/>
      <x:c r="S66" s="117"/>
      <x:c r="T66" s="117"/>
      <x:c r="U66" s="117"/>
      <x:c r="V66" s="117"/>
      <x:c r="W66" s="117"/>
      <x:c r="X66" s="117"/>
      <x:c r="Y66" s="117"/>
      <x:c r="Z66" s="117"/>
    </x:row>
    <x:row r="67">
      <x:c r="A67" s="158" t="str">
        <x:v>Q503</x:v>
      </x:c>
      <x:c r="B67" s="159" t="str">
        <x:v>Step6</x:v>
      </x:c>
      <x:c r="C67" s="159" t="str">
        <x:v>報告書添付</x:v>
      </x:c>
      <x:c r="D67" s="159" t="str">
        <x:v>点検報告書、故障履歴、メーカー回答、見積書を添付できます。</x:v>
      </x:c>
      <x:c r="E67" s="159" t="str"/>
      <x:c r="F67" s="159" t="str">
        <x:v>ファイル</x:v>
      </x:c>
      <x:c r="G67" s="159" t="str"/>
      <x:c r="H67" s="159" t="str">
        <x:v>任意</x:v>
      </x:c>
      <x:c r="I67" s="159" t="str"/>
      <x:c r="J67" s="159" t="str">
        <x:v>報告書</x:v>
      </x:c>
      <x:c r="K67" s="159" t="str">
        <x:v>R1-KPI-CONF,R1-KPI-COMP,R2-EV-01</x:v>
      </x:c>
      <x:c r="L67" s="159" t="str">
        <x:v>診断品質</x:v>
      </x:c>
      <x:c r="M67" s="159" t="str">
        <x:v>なし</x:v>
      </x:c>
      <x:c r="N67" s="160" t="str">
        <x:v>確定候補</x:v>
      </x:c>
      <x:c r="O67" s="117"/>
      <x:c r="P67" s="117"/>
      <x:c r="Q67" s="117"/>
      <x:c r="R67" s="117"/>
      <x:c r="S67" s="117"/>
      <x:c r="T67" s="117"/>
      <x:c r="U67" s="117"/>
      <x:c r="V67" s="117"/>
      <x:c r="W67" s="117"/>
      <x:c r="X67" s="117"/>
      <x:c r="Y67" s="117"/>
      <x:c r="Z67" s="117"/>
    </x:row>
    <x:row r="68">
      <x:c r="A68" s="117"/>
      <x:c r="B68" s="117"/>
      <x:c r="C68" s="117"/>
      <x:c r="D68" s="117"/>
      <x:c r="E68" s="117"/>
      <x:c r="F68" s="117"/>
      <x:c r="G68" s="117"/>
      <x:c r="H68" s="117"/>
      <x:c r="I68" s="117"/>
      <x:c r="J68" s="117"/>
      <x:c r="K68" s="117"/>
      <x:c r="L68" s="117"/>
      <x:c r="M68" s="117"/>
      <x:c r="N68" s="117"/>
      <x:c r="O68" s="117"/>
      <x:c r="P68" s="117"/>
      <x:c r="Q68" s="117"/>
      <x:c r="R68" s="117"/>
      <x:c r="S68" s="117"/>
      <x:c r="T68" s="117"/>
      <x:c r="U68" s="117"/>
      <x:c r="V68" s="117"/>
      <x:c r="W68" s="117"/>
      <x:c r="X68" s="117"/>
      <x:c r="Y68" s="117"/>
      <x:c r="Z68" s="117"/>
    </x:row>
    <x:row r="69">
      <x:c r="A69" s="117"/>
      <x:c r="B69" s="117"/>
      <x:c r="C69" s="117"/>
      <x:c r="D69" s="117"/>
      <x:c r="E69" s="117"/>
      <x:c r="F69" s="117"/>
      <x:c r="G69" s="117"/>
      <x:c r="H69" s="117"/>
      <x:c r="I69" s="117"/>
      <x:c r="J69" s="117"/>
      <x:c r="K69" s="117"/>
      <x:c r="L69" s="117"/>
      <x:c r="M69" s="117"/>
      <x:c r="N69" s="117"/>
      <x:c r="O69" s="117"/>
      <x:c r="P69" s="117"/>
      <x:c r="Q69" s="117"/>
      <x:c r="R69" s="117"/>
      <x:c r="S69" s="117"/>
      <x:c r="T69" s="117"/>
      <x:c r="U69" s="117"/>
      <x:c r="V69" s="117"/>
      <x:c r="W69" s="117"/>
      <x:c r="X69" s="117"/>
      <x:c r="Y69" s="117"/>
      <x:c r="Z69" s="117"/>
    </x:row>
    <x:row r="70">
      <x:c r="A70" s="117"/>
      <x:c r="B70" s="117"/>
      <x:c r="C70" s="117"/>
      <x:c r="D70" s="117"/>
      <x:c r="E70" s="117"/>
      <x:c r="F70" s="117"/>
      <x:c r="G70" s="117"/>
      <x:c r="H70" s="117"/>
      <x:c r="I70" s="117"/>
      <x:c r="J70" s="117"/>
      <x:c r="K70" s="117"/>
      <x:c r="L70" s="117"/>
      <x:c r="M70" s="117"/>
      <x:c r="N70" s="117"/>
      <x:c r="O70" s="117"/>
      <x:c r="P70" s="117"/>
      <x:c r="Q70" s="117"/>
      <x:c r="R70" s="117"/>
      <x:c r="S70" s="117"/>
      <x:c r="T70" s="117"/>
      <x:c r="U70" s="117"/>
      <x:c r="V70" s="117"/>
      <x:c r="W70" s="117"/>
      <x:c r="X70" s="117"/>
      <x:c r="Y70" s="117"/>
      <x:c r="Z70" s="117"/>
    </x:row>
    <x:row r="71">
      <x:c r="A71" s="117"/>
      <x:c r="B71" s="117"/>
      <x:c r="C71" s="117"/>
      <x:c r="D71" s="117"/>
      <x:c r="E71" s="117"/>
      <x:c r="F71" s="117"/>
      <x:c r="G71" s="117"/>
      <x:c r="H71" s="117"/>
      <x:c r="I71" s="117"/>
      <x:c r="J71" s="117"/>
      <x:c r="K71" s="117"/>
      <x:c r="L71" s="117"/>
      <x:c r="M71" s="117"/>
      <x:c r="N71" s="117"/>
      <x:c r="O71" s="117"/>
      <x:c r="P71" s="117"/>
      <x:c r="Q71" s="117"/>
      <x:c r="R71" s="117"/>
      <x:c r="S71" s="117"/>
      <x:c r="T71" s="117"/>
      <x:c r="U71" s="117"/>
      <x:c r="V71" s="117"/>
      <x:c r="W71" s="117"/>
      <x:c r="X71" s="117"/>
      <x:c r="Y71" s="117"/>
      <x:c r="Z71" s="117"/>
    </x:row>
    <x:row r="72">
      <x:c r="A72" s="117"/>
      <x:c r="B72" s="117"/>
      <x:c r="C72" s="117"/>
      <x:c r="D72" s="117"/>
      <x:c r="E72" s="117"/>
      <x:c r="F72" s="117"/>
      <x:c r="G72" s="117"/>
      <x:c r="H72" s="117"/>
      <x:c r="I72" s="117"/>
      <x:c r="J72" s="117"/>
      <x:c r="K72" s="117"/>
      <x:c r="L72" s="117"/>
      <x:c r="M72" s="117"/>
      <x:c r="N72" s="117"/>
      <x:c r="O72" s="117"/>
      <x:c r="P72" s="117"/>
      <x:c r="Q72" s="117"/>
      <x:c r="R72" s="117"/>
      <x:c r="S72" s="117"/>
      <x:c r="T72" s="117"/>
      <x:c r="U72" s="117"/>
      <x:c r="V72" s="117"/>
      <x:c r="W72" s="117"/>
      <x:c r="X72" s="117"/>
      <x:c r="Y72" s="117"/>
      <x:c r="Z72" s="117"/>
    </x:row>
    <x:row r="73">
      <x:c r="A73" s="117"/>
      <x:c r="B73" s="117"/>
      <x:c r="C73" s="117"/>
      <x:c r="D73" s="117"/>
      <x:c r="E73" s="117"/>
      <x:c r="F73" s="117"/>
      <x:c r="G73" s="117"/>
      <x:c r="H73" s="117"/>
      <x:c r="I73" s="117"/>
      <x:c r="J73" s="117"/>
      <x:c r="K73" s="117"/>
      <x:c r="L73" s="117"/>
      <x:c r="M73" s="117"/>
      <x:c r="N73" s="117"/>
      <x:c r="O73" s="117"/>
      <x:c r="P73" s="117"/>
      <x:c r="Q73" s="117"/>
      <x:c r="R73" s="117"/>
      <x:c r="S73" s="117"/>
      <x:c r="T73" s="117"/>
      <x:c r="U73" s="117"/>
      <x:c r="V73" s="117"/>
      <x:c r="W73" s="117"/>
      <x:c r="X73" s="117"/>
      <x:c r="Y73" s="117"/>
      <x:c r="Z73" s="117"/>
    </x:row>
    <x:row r="74">
      <x:c r="A74" s="117"/>
      <x:c r="B74" s="117"/>
      <x:c r="C74" s="117"/>
      <x:c r="D74" s="117"/>
      <x:c r="E74" s="117"/>
      <x:c r="F74" s="117"/>
      <x:c r="G74" s="117"/>
      <x:c r="H74" s="117"/>
      <x:c r="I74" s="117"/>
      <x:c r="J74" s="117"/>
      <x:c r="K74" s="117"/>
      <x:c r="L74" s="117"/>
      <x:c r="M74" s="117"/>
      <x:c r="N74" s="117"/>
      <x:c r="O74" s="117"/>
      <x:c r="P74" s="117"/>
      <x:c r="Q74" s="117"/>
      <x:c r="R74" s="117"/>
      <x:c r="S74" s="117"/>
      <x:c r="T74" s="117"/>
      <x:c r="U74" s="117"/>
      <x:c r="V74" s="117"/>
      <x:c r="W74" s="117"/>
      <x:c r="X74" s="117"/>
      <x:c r="Y74" s="117"/>
      <x:c r="Z74" s="117"/>
    </x:row>
    <x:row r="75">
      <x:c r="A75" s="117"/>
      <x:c r="B75" s="117"/>
      <x:c r="C75" s="117"/>
      <x:c r="D75" s="117"/>
      <x:c r="E75" s="117"/>
      <x:c r="F75" s="117"/>
      <x:c r="G75" s="117"/>
      <x:c r="H75" s="117"/>
      <x:c r="I75" s="117"/>
      <x:c r="J75" s="117"/>
      <x:c r="K75" s="117"/>
      <x:c r="L75" s="117"/>
      <x:c r="M75" s="117"/>
      <x:c r="N75" s="117"/>
      <x:c r="O75" s="117"/>
      <x:c r="P75" s="117"/>
      <x:c r="Q75" s="117"/>
      <x:c r="R75" s="117"/>
      <x:c r="S75" s="117"/>
      <x:c r="T75" s="117"/>
      <x:c r="U75" s="117"/>
      <x:c r="V75" s="117"/>
      <x:c r="W75" s="117"/>
      <x:c r="X75" s="117"/>
      <x:c r="Y75" s="117"/>
      <x:c r="Z75" s="117"/>
    </x:row>
    <x:row r="76">
      <x:c r="A76" s="117"/>
      <x:c r="B76" s="117"/>
      <x:c r="C76" s="117"/>
      <x:c r="D76" s="117"/>
      <x:c r="E76" s="117"/>
      <x:c r="F76" s="117"/>
      <x:c r="G76" s="117"/>
      <x:c r="H76" s="117"/>
      <x:c r="I76" s="117"/>
      <x:c r="J76" s="117"/>
      <x:c r="K76" s="117"/>
      <x:c r="L76" s="117"/>
      <x:c r="M76" s="117"/>
      <x:c r="N76" s="117"/>
      <x:c r="O76" s="117"/>
      <x:c r="P76" s="117"/>
      <x:c r="Q76" s="117"/>
      <x:c r="R76" s="117"/>
      <x:c r="S76" s="117"/>
      <x:c r="T76" s="117"/>
      <x:c r="U76" s="117"/>
      <x:c r="V76" s="117"/>
      <x:c r="W76" s="117"/>
      <x:c r="X76" s="117"/>
      <x:c r="Y76" s="117"/>
      <x:c r="Z76" s="117"/>
    </x:row>
    <x:row r="77">
      <x:c r="A77" s="117"/>
      <x:c r="B77" s="117"/>
      <x:c r="C77" s="117"/>
      <x:c r="D77" s="117"/>
      <x:c r="E77" s="117"/>
      <x:c r="F77" s="117"/>
      <x:c r="G77" s="117"/>
      <x:c r="H77" s="117"/>
      <x:c r="I77" s="117"/>
      <x:c r="J77" s="117"/>
      <x:c r="K77" s="117"/>
      <x:c r="L77" s="117"/>
      <x:c r="M77" s="117"/>
      <x:c r="N77" s="117"/>
      <x:c r="O77" s="117"/>
      <x:c r="P77" s="117"/>
      <x:c r="Q77" s="117"/>
      <x:c r="R77" s="117"/>
      <x:c r="S77" s="117"/>
      <x:c r="T77" s="117"/>
      <x:c r="U77" s="117"/>
      <x:c r="V77" s="117"/>
      <x:c r="W77" s="117"/>
      <x:c r="X77" s="117"/>
      <x:c r="Y77" s="117"/>
      <x:c r="Z77" s="117"/>
    </x:row>
    <x:row r="78">
      <x:c r="A78" s="117"/>
      <x:c r="B78" s="117"/>
      <x:c r="C78" s="117"/>
      <x:c r="D78" s="117"/>
      <x:c r="E78" s="117"/>
      <x:c r="F78" s="117"/>
      <x:c r="G78" s="117"/>
      <x:c r="H78" s="117"/>
      <x:c r="I78" s="117"/>
      <x:c r="J78" s="117"/>
      <x:c r="K78" s="117"/>
      <x:c r="L78" s="117"/>
      <x:c r="M78" s="117"/>
      <x:c r="N78" s="117"/>
      <x:c r="O78" s="117"/>
      <x:c r="P78" s="117"/>
      <x:c r="Q78" s="117"/>
      <x:c r="R78" s="117"/>
      <x:c r="S78" s="117"/>
      <x:c r="T78" s="117"/>
      <x:c r="U78" s="117"/>
      <x:c r="V78" s="117"/>
      <x:c r="W78" s="117"/>
      <x:c r="X78" s="117"/>
      <x:c r="Y78" s="117"/>
      <x:c r="Z78" s="117"/>
    </x:row>
    <x:row r="79">
      <x:c r="A79" s="117"/>
      <x:c r="B79" s="117"/>
      <x:c r="C79" s="117"/>
      <x:c r="D79" s="117"/>
      <x:c r="E79" s="117"/>
      <x:c r="F79" s="117"/>
      <x:c r="G79" s="117"/>
      <x:c r="H79" s="117"/>
      <x:c r="I79" s="117"/>
      <x:c r="J79" s="117"/>
      <x:c r="K79" s="117"/>
      <x:c r="L79" s="117"/>
      <x:c r="M79" s="117"/>
      <x:c r="N79" s="117"/>
      <x:c r="O79" s="117"/>
      <x:c r="P79" s="117"/>
      <x:c r="Q79" s="117"/>
      <x:c r="R79" s="117"/>
      <x:c r="S79" s="117"/>
      <x:c r="T79" s="117"/>
      <x:c r="U79" s="117"/>
      <x:c r="V79" s="117"/>
      <x:c r="W79" s="117"/>
      <x:c r="X79" s="117"/>
      <x:c r="Y79" s="117"/>
      <x:c r="Z79" s="117"/>
    </x:row>
    <x:row r="80">
      <x:c r="A80" s="117"/>
      <x:c r="B80" s="117"/>
      <x:c r="C80" s="117"/>
      <x:c r="D80" s="117"/>
      <x:c r="E80" s="117"/>
      <x:c r="F80" s="117"/>
      <x:c r="G80" s="117"/>
      <x:c r="H80" s="117"/>
      <x:c r="I80" s="117"/>
      <x:c r="J80" s="117"/>
      <x:c r="K80" s="117"/>
      <x:c r="L80" s="117"/>
      <x:c r="M80" s="117"/>
      <x:c r="N80" s="117"/>
      <x:c r="O80" s="117"/>
      <x:c r="P80" s="117"/>
      <x:c r="Q80" s="117"/>
      <x:c r="R80" s="117"/>
      <x:c r="S80" s="117"/>
      <x:c r="T80" s="117"/>
      <x:c r="U80" s="117"/>
      <x:c r="V80" s="117"/>
      <x:c r="W80" s="117"/>
      <x:c r="X80" s="117"/>
      <x:c r="Y80" s="117"/>
      <x:c r="Z80" s="117"/>
    </x:row>
    <x:row r="81">
      <x:c r="A81" s="117"/>
      <x:c r="B81" s="117"/>
      <x:c r="C81" s="117"/>
      <x:c r="D81" s="117"/>
      <x:c r="E81" s="117"/>
      <x:c r="F81" s="117"/>
      <x:c r="G81" s="117"/>
      <x:c r="H81" s="117"/>
      <x:c r="I81" s="117"/>
      <x:c r="J81" s="117"/>
      <x:c r="K81" s="117"/>
      <x:c r="L81" s="117"/>
      <x:c r="M81" s="117"/>
      <x:c r="N81" s="117"/>
      <x:c r="O81" s="117"/>
      <x:c r="P81" s="117"/>
      <x:c r="Q81" s="117"/>
      <x:c r="R81" s="117"/>
      <x:c r="S81" s="117"/>
      <x:c r="T81" s="117"/>
      <x:c r="U81" s="117"/>
      <x:c r="V81" s="117"/>
      <x:c r="W81" s="117"/>
      <x:c r="X81" s="117"/>
      <x:c r="Y81" s="117"/>
      <x:c r="Z81" s="117"/>
    </x:row>
    <x:row r="82">
      <x:c r="A82" s="117"/>
      <x:c r="B82" s="117"/>
      <x:c r="C82" s="117"/>
      <x:c r="D82" s="117"/>
      <x:c r="E82" s="117"/>
      <x:c r="F82" s="117"/>
      <x:c r="G82" s="117"/>
      <x:c r="H82" s="117"/>
      <x:c r="I82" s="117"/>
      <x:c r="J82" s="117"/>
      <x:c r="K82" s="117"/>
      <x:c r="L82" s="117"/>
      <x:c r="M82" s="117"/>
      <x:c r="N82" s="117"/>
      <x:c r="O82" s="117"/>
      <x:c r="P82" s="117"/>
      <x:c r="Q82" s="117"/>
      <x:c r="R82" s="117"/>
      <x:c r="S82" s="117"/>
      <x:c r="T82" s="117"/>
      <x:c r="U82" s="117"/>
      <x:c r="V82" s="117"/>
      <x:c r="W82" s="117"/>
      <x:c r="X82" s="117"/>
      <x:c r="Y82" s="117"/>
      <x:c r="Z82" s="117"/>
    </x:row>
    <x:row r="83">
      <x:c r="A83" s="117"/>
      <x:c r="B83" s="117"/>
      <x:c r="C83" s="117"/>
      <x:c r="D83" s="117"/>
      <x:c r="E83" s="117"/>
      <x:c r="F83" s="117"/>
      <x:c r="G83" s="117"/>
      <x:c r="H83" s="117"/>
      <x:c r="I83" s="117"/>
      <x:c r="J83" s="117"/>
      <x:c r="K83" s="117"/>
      <x:c r="L83" s="117"/>
      <x:c r="M83" s="117"/>
      <x:c r="N83" s="117"/>
      <x:c r="O83" s="117"/>
      <x:c r="P83" s="117"/>
      <x:c r="Q83" s="117"/>
      <x:c r="R83" s="117"/>
      <x:c r="S83" s="117"/>
      <x:c r="T83" s="117"/>
      <x:c r="U83" s="117"/>
      <x:c r="V83" s="117"/>
      <x:c r="W83" s="117"/>
      <x:c r="X83" s="117"/>
      <x:c r="Y83" s="117"/>
      <x:c r="Z83" s="117"/>
    </x:row>
    <x:row r="84">
      <x:c r="A84" s="117"/>
      <x:c r="B84" s="117"/>
      <x:c r="C84" s="117"/>
      <x:c r="D84" s="117"/>
      <x:c r="E84" s="117"/>
      <x:c r="F84" s="117"/>
      <x:c r="G84" s="117"/>
      <x:c r="H84" s="117"/>
      <x:c r="I84" s="117"/>
      <x:c r="J84" s="117"/>
      <x:c r="K84" s="117"/>
      <x:c r="L84" s="117"/>
      <x:c r="M84" s="117"/>
      <x:c r="N84" s="117"/>
      <x:c r="O84" s="117"/>
      <x:c r="P84" s="117"/>
      <x:c r="Q84" s="117"/>
      <x:c r="R84" s="117"/>
      <x:c r="S84" s="117"/>
      <x:c r="T84" s="117"/>
      <x:c r="U84" s="117"/>
      <x:c r="V84" s="117"/>
      <x:c r="W84" s="117"/>
      <x:c r="X84" s="117"/>
      <x:c r="Y84" s="117"/>
      <x:c r="Z84" s="117"/>
    </x:row>
    <x:row r="85">
      <x:c r="A85" s="117"/>
      <x:c r="B85" s="117"/>
      <x:c r="C85" s="117"/>
      <x:c r="D85" s="117"/>
      <x:c r="E85" s="117"/>
      <x:c r="F85" s="117"/>
      <x:c r="G85" s="117"/>
      <x:c r="H85" s="117"/>
      <x:c r="I85" s="117"/>
      <x:c r="J85" s="117"/>
      <x:c r="K85" s="117"/>
      <x:c r="L85" s="117"/>
      <x:c r="M85" s="117"/>
      <x:c r="N85" s="117"/>
      <x:c r="O85" s="117"/>
      <x:c r="P85" s="117"/>
      <x:c r="Q85" s="117"/>
      <x:c r="R85" s="117"/>
      <x:c r="S85" s="117"/>
      <x:c r="T85" s="117"/>
      <x:c r="U85" s="117"/>
      <x:c r="V85" s="117"/>
      <x:c r="W85" s="117"/>
      <x:c r="X85" s="117"/>
      <x:c r="Y85" s="117"/>
      <x:c r="Z85" s="117"/>
    </x:row>
    <x:row r="86">
      <x:c r="A86" s="117"/>
      <x:c r="B86" s="117"/>
      <x:c r="C86" s="117"/>
      <x:c r="D86" s="117"/>
      <x:c r="E86" s="117"/>
      <x:c r="F86" s="117"/>
      <x:c r="G86" s="117"/>
      <x:c r="H86" s="117"/>
      <x:c r="I86" s="117"/>
      <x:c r="J86" s="117"/>
      <x:c r="K86" s="117"/>
      <x:c r="L86" s="117"/>
      <x:c r="M86" s="117"/>
      <x:c r="N86" s="117"/>
      <x:c r="O86" s="117"/>
      <x:c r="P86" s="117"/>
      <x:c r="Q86" s="117"/>
      <x:c r="R86" s="117"/>
      <x:c r="S86" s="117"/>
      <x:c r="T86" s="117"/>
      <x:c r="U86" s="117"/>
      <x:c r="V86" s="117"/>
      <x:c r="W86" s="117"/>
      <x:c r="X86" s="117"/>
      <x:c r="Y86" s="117"/>
      <x:c r="Z86" s="117"/>
    </x:row>
    <x:row r="87">
      <x:c r="A87" s="117"/>
      <x:c r="B87" s="117"/>
      <x:c r="C87" s="117"/>
      <x:c r="D87" s="117"/>
      <x:c r="E87" s="117"/>
      <x:c r="F87" s="117"/>
      <x:c r="G87" s="117"/>
      <x:c r="H87" s="117"/>
      <x:c r="I87" s="117"/>
      <x:c r="J87" s="117"/>
      <x:c r="K87" s="117"/>
      <x:c r="L87" s="117"/>
      <x:c r="M87" s="117"/>
      <x:c r="N87" s="117"/>
      <x:c r="O87" s="117"/>
      <x:c r="P87" s="117"/>
      <x:c r="Q87" s="117"/>
      <x:c r="R87" s="117"/>
      <x:c r="S87" s="117"/>
      <x:c r="T87" s="117"/>
      <x:c r="U87" s="117"/>
      <x:c r="V87" s="117"/>
      <x:c r="W87" s="117"/>
      <x:c r="X87" s="117"/>
      <x:c r="Y87" s="117"/>
      <x:c r="Z87" s="117"/>
    </x:row>
    <x:row r="88">
      <x:c r="A88" s="117"/>
      <x:c r="B88" s="117"/>
      <x:c r="C88" s="117"/>
      <x:c r="D88" s="117"/>
      <x:c r="E88" s="117"/>
      <x:c r="F88" s="117"/>
      <x:c r="G88" s="117"/>
      <x:c r="H88" s="117"/>
      <x:c r="I88" s="117"/>
      <x:c r="J88" s="117"/>
      <x:c r="K88" s="117"/>
      <x:c r="L88" s="117"/>
      <x:c r="M88" s="117"/>
      <x:c r="N88" s="117"/>
      <x:c r="O88" s="117"/>
      <x:c r="P88" s="117"/>
      <x:c r="Q88" s="117"/>
      <x:c r="R88" s="117"/>
      <x:c r="S88" s="117"/>
      <x:c r="T88" s="117"/>
      <x:c r="U88" s="117"/>
      <x:c r="V88" s="117"/>
      <x:c r="W88" s="117"/>
      <x:c r="X88" s="117"/>
      <x:c r="Y88" s="117"/>
      <x:c r="Z88" s="117"/>
    </x:row>
    <x:row r="89">
      <x:c r="A89" s="117"/>
      <x:c r="B89" s="117"/>
      <x:c r="C89" s="117"/>
      <x:c r="D89" s="117"/>
      <x:c r="E89" s="117"/>
      <x:c r="F89" s="117"/>
      <x:c r="G89" s="117"/>
      <x:c r="H89" s="117"/>
      <x:c r="I89" s="117"/>
      <x:c r="J89" s="117"/>
      <x:c r="K89" s="117"/>
      <x:c r="L89" s="117"/>
      <x:c r="M89" s="117"/>
      <x:c r="N89" s="117"/>
      <x:c r="O89" s="117"/>
      <x:c r="P89" s="117"/>
      <x:c r="Q89" s="117"/>
      <x:c r="R89" s="117"/>
      <x:c r="S89" s="117"/>
      <x:c r="T89" s="117"/>
      <x:c r="U89" s="117"/>
      <x:c r="V89" s="117"/>
      <x:c r="W89" s="117"/>
      <x:c r="X89" s="117"/>
      <x:c r="Y89" s="117"/>
      <x:c r="Z89" s="117"/>
    </x:row>
    <x:row r="90">
      <x:c r="A90" s="117"/>
      <x:c r="B90" s="117"/>
      <x:c r="C90" s="117"/>
      <x:c r="D90" s="117"/>
      <x:c r="E90" s="117"/>
      <x:c r="F90" s="117"/>
      <x:c r="G90" s="117"/>
      <x:c r="H90" s="117"/>
      <x:c r="I90" s="117"/>
      <x:c r="J90" s="117"/>
      <x:c r="K90" s="117"/>
      <x:c r="L90" s="117"/>
      <x:c r="M90" s="117"/>
      <x:c r="N90" s="117"/>
      <x:c r="O90" s="117"/>
      <x:c r="P90" s="117"/>
      <x:c r="Q90" s="117"/>
      <x:c r="R90" s="117"/>
      <x:c r="S90" s="117"/>
      <x:c r="T90" s="117"/>
      <x:c r="U90" s="117"/>
      <x:c r="V90" s="117"/>
      <x:c r="W90" s="117"/>
      <x:c r="X90" s="117"/>
      <x:c r="Y90" s="117"/>
      <x:c r="Z90" s="117"/>
    </x:row>
    <x:row r="91">
      <x:c r="A91" s="117"/>
      <x:c r="B91" s="117"/>
      <x:c r="C91" s="117"/>
      <x:c r="D91" s="117"/>
      <x:c r="E91" s="117"/>
      <x:c r="F91" s="117"/>
      <x:c r="G91" s="117"/>
      <x:c r="H91" s="117"/>
      <x:c r="I91" s="117"/>
      <x:c r="J91" s="117"/>
      <x:c r="K91" s="117"/>
      <x:c r="L91" s="117"/>
      <x:c r="M91" s="117"/>
      <x:c r="N91" s="117"/>
      <x:c r="O91" s="117"/>
      <x:c r="P91" s="117"/>
      <x:c r="Q91" s="117"/>
      <x:c r="R91" s="117"/>
      <x:c r="S91" s="117"/>
      <x:c r="T91" s="117"/>
      <x:c r="U91" s="117"/>
      <x:c r="V91" s="117"/>
      <x:c r="W91" s="117"/>
      <x:c r="X91" s="117"/>
      <x:c r="Y91" s="117"/>
      <x:c r="Z91" s="117"/>
    </x:row>
    <x:row r="92">
      <x:c r="A92" s="117"/>
      <x:c r="B92" s="117"/>
      <x:c r="C92" s="117"/>
      <x:c r="D92" s="117"/>
      <x:c r="E92" s="117"/>
      <x:c r="F92" s="117"/>
      <x:c r="G92" s="117"/>
      <x:c r="H92" s="117"/>
      <x:c r="I92" s="117"/>
      <x:c r="J92" s="117"/>
      <x:c r="K92" s="117"/>
      <x:c r="L92" s="117"/>
      <x:c r="M92" s="117"/>
      <x:c r="N92" s="117"/>
      <x:c r="O92" s="117"/>
      <x:c r="P92" s="117"/>
      <x:c r="Q92" s="117"/>
      <x:c r="R92" s="117"/>
      <x:c r="S92" s="117"/>
      <x:c r="T92" s="117"/>
      <x:c r="U92" s="117"/>
      <x:c r="V92" s="117"/>
      <x:c r="W92" s="117"/>
      <x:c r="X92" s="117"/>
      <x:c r="Y92" s="117"/>
      <x:c r="Z92" s="117"/>
    </x:row>
    <x:row r="93">
      <x:c r="A93" s="117"/>
      <x:c r="B93" s="117"/>
      <x:c r="C93" s="117"/>
      <x:c r="D93" s="117"/>
      <x:c r="E93" s="117"/>
      <x:c r="F93" s="117"/>
      <x:c r="G93" s="117"/>
      <x:c r="H93" s="117"/>
      <x:c r="I93" s="117"/>
      <x:c r="J93" s="117"/>
      <x:c r="K93" s="117"/>
      <x:c r="L93" s="117"/>
      <x:c r="M93" s="117"/>
      <x:c r="N93" s="117"/>
      <x:c r="O93" s="117"/>
      <x:c r="P93" s="117"/>
      <x:c r="Q93" s="117"/>
      <x:c r="R93" s="117"/>
      <x:c r="S93" s="117"/>
      <x:c r="T93" s="117"/>
      <x:c r="U93" s="117"/>
      <x:c r="V93" s="117"/>
      <x:c r="W93" s="117"/>
      <x:c r="X93" s="117"/>
      <x:c r="Y93" s="117"/>
      <x:c r="Z93" s="117"/>
    </x:row>
    <x:row r="94">
      <x:c r="A94" s="117"/>
      <x:c r="B94" s="117"/>
      <x:c r="C94" s="117"/>
      <x:c r="D94" s="117"/>
      <x:c r="E94" s="117"/>
      <x:c r="F94" s="117"/>
      <x:c r="G94" s="117"/>
      <x:c r="H94" s="117"/>
      <x:c r="I94" s="117"/>
      <x:c r="J94" s="117"/>
      <x:c r="K94" s="117"/>
      <x:c r="L94" s="117"/>
      <x:c r="M94" s="117"/>
      <x:c r="N94" s="117"/>
      <x:c r="O94" s="117"/>
      <x:c r="P94" s="117"/>
      <x:c r="Q94" s="117"/>
      <x:c r="R94" s="117"/>
      <x:c r="S94" s="117"/>
      <x:c r="T94" s="117"/>
      <x:c r="U94" s="117"/>
      <x:c r="V94" s="117"/>
      <x:c r="W94" s="117"/>
      <x:c r="X94" s="117"/>
      <x:c r="Y94" s="117"/>
      <x:c r="Z94" s="117"/>
    </x:row>
    <x:row r="95">
      <x:c r="A95" s="117"/>
      <x:c r="B95" s="117"/>
      <x:c r="C95" s="117"/>
      <x:c r="D95" s="117"/>
      <x:c r="E95" s="117"/>
      <x:c r="F95" s="117"/>
      <x:c r="G95" s="117"/>
      <x:c r="H95" s="117"/>
      <x:c r="I95" s="117"/>
      <x:c r="J95" s="117"/>
      <x:c r="K95" s="117"/>
      <x:c r="L95" s="117"/>
      <x:c r="M95" s="117"/>
      <x:c r="N95" s="117"/>
      <x:c r="O95" s="117"/>
      <x:c r="P95" s="117"/>
      <x:c r="Q95" s="117"/>
      <x:c r="R95" s="117"/>
      <x:c r="S95" s="117"/>
      <x:c r="T95" s="117"/>
      <x:c r="U95" s="117"/>
      <x:c r="V95" s="117"/>
      <x:c r="W95" s="117"/>
      <x:c r="X95" s="117"/>
      <x:c r="Y95" s="117"/>
      <x:c r="Z95" s="117"/>
    </x:row>
    <x:row r="96">
      <x:c r="A96" s="117"/>
      <x:c r="B96" s="117"/>
      <x:c r="C96" s="117"/>
      <x:c r="D96" s="117"/>
      <x:c r="E96" s="117"/>
      <x:c r="F96" s="117"/>
      <x:c r="G96" s="117"/>
      <x:c r="H96" s="117"/>
      <x:c r="I96" s="117"/>
      <x:c r="J96" s="117"/>
      <x:c r="K96" s="117"/>
      <x:c r="L96" s="117"/>
      <x:c r="M96" s="117"/>
      <x:c r="N96" s="117"/>
      <x:c r="O96" s="117"/>
      <x:c r="P96" s="117"/>
      <x:c r="Q96" s="117"/>
      <x:c r="R96" s="117"/>
      <x:c r="S96" s="117"/>
      <x:c r="T96" s="117"/>
      <x:c r="U96" s="117"/>
      <x:c r="V96" s="117"/>
      <x:c r="W96" s="117"/>
      <x:c r="X96" s="117"/>
      <x:c r="Y96" s="117"/>
      <x:c r="Z96" s="117"/>
    </x:row>
    <x:row r="97">
      <x:c r="A97" s="117"/>
      <x:c r="B97" s="117"/>
      <x:c r="C97" s="117"/>
      <x:c r="D97" s="117"/>
      <x:c r="E97" s="117"/>
      <x:c r="F97" s="117"/>
      <x:c r="G97" s="117"/>
      <x:c r="H97" s="117"/>
      <x:c r="I97" s="117"/>
      <x:c r="J97" s="117"/>
      <x:c r="K97" s="117"/>
      <x:c r="L97" s="117"/>
      <x:c r="M97" s="117"/>
      <x:c r="N97" s="117"/>
      <x:c r="O97" s="117"/>
      <x:c r="P97" s="117"/>
      <x:c r="Q97" s="117"/>
      <x:c r="R97" s="117"/>
      <x:c r="S97" s="117"/>
      <x:c r="T97" s="117"/>
      <x:c r="U97" s="117"/>
      <x:c r="V97" s="117"/>
      <x:c r="W97" s="117"/>
      <x:c r="X97" s="117"/>
      <x:c r="Y97" s="117"/>
      <x:c r="Z97" s="117"/>
    </x:row>
    <x:row r="98">
      <x:c r="A98" s="117"/>
      <x:c r="B98" s="117"/>
      <x:c r="C98" s="117"/>
      <x:c r="D98" s="117"/>
      <x:c r="E98" s="117"/>
      <x:c r="F98" s="117"/>
      <x:c r="G98" s="117"/>
      <x:c r="H98" s="117"/>
      <x:c r="I98" s="117"/>
      <x:c r="J98" s="117"/>
      <x:c r="K98" s="117"/>
      <x:c r="L98" s="117"/>
      <x:c r="M98" s="117"/>
      <x:c r="N98" s="117"/>
      <x:c r="O98" s="117"/>
      <x:c r="P98" s="117"/>
      <x:c r="Q98" s="117"/>
      <x:c r="R98" s="117"/>
      <x:c r="S98" s="117"/>
      <x:c r="T98" s="117"/>
      <x:c r="U98" s="117"/>
      <x:c r="V98" s="117"/>
      <x:c r="W98" s="117"/>
      <x:c r="X98" s="117"/>
      <x:c r="Y98" s="117"/>
      <x:c r="Z98" s="117"/>
    </x:row>
    <x:row r="99">
      <x:c r="A99" s="117"/>
      <x:c r="B99" s="117"/>
      <x:c r="C99" s="117"/>
      <x:c r="D99" s="117"/>
      <x:c r="E99" s="117"/>
      <x:c r="F99" s="117"/>
      <x:c r="G99" s="117"/>
      <x:c r="H99" s="117"/>
      <x:c r="I99" s="117"/>
      <x:c r="J99" s="117"/>
      <x:c r="K99" s="117"/>
      <x:c r="L99" s="117"/>
      <x:c r="M99" s="117"/>
      <x:c r="N99" s="117"/>
      <x:c r="O99" s="117"/>
      <x:c r="P99" s="117"/>
      <x:c r="Q99" s="117"/>
      <x:c r="R99" s="117"/>
      <x:c r="S99" s="117"/>
      <x:c r="T99" s="117"/>
      <x:c r="U99" s="117"/>
      <x:c r="V99" s="117"/>
      <x:c r="W99" s="117"/>
      <x:c r="X99" s="117"/>
      <x:c r="Y99" s="117"/>
      <x:c r="Z99" s="117"/>
    </x:row>
    <x:row r="100">
      <x:c r="A100" s="117"/>
      <x:c r="B100" s="117"/>
      <x:c r="C100" s="117"/>
      <x:c r="D100" s="117"/>
      <x:c r="E100" s="117"/>
      <x:c r="F100" s="117"/>
      <x:c r="G100" s="117"/>
      <x:c r="H100" s="117"/>
      <x:c r="I100" s="117"/>
      <x:c r="J100" s="117"/>
      <x:c r="K100" s="117"/>
      <x:c r="L100" s="117"/>
      <x:c r="M100" s="117"/>
      <x:c r="N100" s="117"/>
      <x:c r="O100" s="117"/>
      <x:c r="P100" s="117"/>
      <x:c r="Q100" s="117"/>
      <x:c r="R100" s="117"/>
      <x:c r="S100" s="117"/>
      <x:c r="T100" s="117"/>
      <x:c r="U100" s="117"/>
      <x:c r="V100" s="117"/>
      <x:c r="W100" s="117"/>
      <x:c r="X100" s="117"/>
      <x:c r="Y100" s="117"/>
      <x:c r="Z100" s="117"/>
    </x:row>
    <x:row r="101">
      <x:c r="A101" s="117"/>
      <x:c r="B101" s="117"/>
      <x:c r="C101" s="117"/>
      <x:c r="D101" s="117"/>
      <x:c r="E101" s="117"/>
      <x:c r="F101" s="117"/>
      <x:c r="G101" s="117"/>
      <x:c r="H101" s="117"/>
      <x:c r="I101" s="117"/>
      <x:c r="J101" s="117"/>
      <x:c r="K101" s="117"/>
      <x:c r="L101" s="117"/>
      <x:c r="M101" s="117"/>
      <x:c r="N101" s="117"/>
      <x:c r="O101" s="117"/>
      <x:c r="P101" s="117"/>
      <x:c r="Q101" s="117"/>
      <x:c r="R101" s="117"/>
      <x:c r="S101" s="117"/>
      <x:c r="T101" s="117"/>
      <x:c r="U101" s="117"/>
      <x:c r="V101" s="117"/>
      <x:c r="W101" s="117"/>
      <x:c r="X101" s="117"/>
      <x:c r="Y101" s="117"/>
      <x:c r="Z101" s="117"/>
    </x:row>
    <x:row r="102">
      <x:c r="A102" s="117"/>
      <x:c r="B102" s="117"/>
      <x:c r="C102" s="117"/>
      <x:c r="D102" s="117"/>
      <x:c r="E102" s="117"/>
      <x:c r="F102" s="117"/>
      <x:c r="G102" s="117"/>
      <x:c r="H102" s="117"/>
      <x:c r="I102" s="117"/>
      <x:c r="J102" s="117"/>
      <x:c r="K102" s="117"/>
      <x:c r="L102" s="117"/>
      <x:c r="M102" s="117"/>
      <x:c r="N102" s="117"/>
      <x:c r="O102" s="117"/>
      <x:c r="P102" s="117"/>
      <x:c r="Q102" s="117"/>
      <x:c r="R102" s="117"/>
      <x:c r="S102" s="117"/>
      <x:c r="T102" s="117"/>
      <x:c r="U102" s="117"/>
      <x:c r="V102" s="117"/>
      <x:c r="W102" s="117"/>
      <x:c r="X102" s="117"/>
      <x:c r="Y102" s="117"/>
      <x:c r="Z102" s="117"/>
    </x:row>
    <x:row r="103">
      <x:c r="A103" s="117"/>
      <x:c r="B103" s="117"/>
      <x:c r="C103" s="117"/>
      <x:c r="D103" s="117"/>
      <x:c r="E103" s="117"/>
      <x:c r="F103" s="117"/>
      <x:c r="G103" s="117"/>
      <x:c r="H103" s="117"/>
      <x:c r="I103" s="117"/>
      <x:c r="J103" s="117"/>
      <x:c r="K103" s="117"/>
      <x:c r="L103" s="117"/>
      <x:c r="M103" s="117"/>
      <x:c r="N103" s="117"/>
      <x:c r="O103" s="117"/>
      <x:c r="P103" s="117"/>
      <x:c r="Q103" s="117"/>
      <x:c r="R103" s="117"/>
      <x:c r="S103" s="117"/>
      <x:c r="T103" s="117"/>
      <x:c r="U103" s="117"/>
      <x:c r="V103" s="117"/>
      <x:c r="W103" s="117"/>
      <x:c r="X103" s="117"/>
      <x:c r="Y103" s="117"/>
      <x:c r="Z103" s="117"/>
    </x:row>
    <x:row r="104">
      <x:c r="A104" s="117"/>
      <x:c r="B104" s="117"/>
      <x:c r="C104" s="117"/>
      <x:c r="D104" s="117"/>
      <x:c r="E104" s="117"/>
      <x:c r="F104" s="117"/>
      <x:c r="G104" s="117"/>
      <x:c r="H104" s="117"/>
      <x:c r="I104" s="117"/>
      <x:c r="J104" s="117"/>
      <x:c r="K104" s="117"/>
      <x:c r="L104" s="117"/>
      <x:c r="M104" s="117"/>
      <x:c r="N104" s="117"/>
      <x:c r="O104" s="117"/>
      <x:c r="P104" s="117"/>
      <x:c r="Q104" s="117"/>
      <x:c r="R104" s="117"/>
      <x:c r="S104" s="117"/>
      <x:c r="T104" s="117"/>
      <x:c r="U104" s="117"/>
      <x:c r="V104" s="117"/>
      <x:c r="W104" s="117"/>
      <x:c r="X104" s="117"/>
      <x:c r="Y104" s="117"/>
      <x:c r="Z104" s="117"/>
    </x:row>
    <x:row r="105">
      <x:c r="A105" s="117"/>
      <x:c r="B105" s="117"/>
      <x:c r="C105" s="117"/>
      <x:c r="D105" s="117"/>
      <x:c r="E105" s="117"/>
      <x:c r="F105" s="117"/>
      <x:c r="G105" s="117"/>
      <x:c r="H105" s="117"/>
      <x:c r="I105" s="117"/>
      <x:c r="J105" s="117"/>
      <x:c r="K105" s="117"/>
      <x:c r="L105" s="117"/>
      <x:c r="M105" s="117"/>
      <x:c r="N105" s="117"/>
      <x:c r="O105" s="117"/>
      <x:c r="P105" s="117"/>
      <x:c r="Q105" s="117"/>
      <x:c r="R105" s="117"/>
      <x:c r="S105" s="117"/>
      <x:c r="T105" s="117"/>
      <x:c r="U105" s="117"/>
      <x:c r="V105" s="117"/>
      <x:c r="W105" s="117"/>
      <x:c r="X105" s="117"/>
      <x:c r="Y105" s="117"/>
      <x:c r="Z105" s="117"/>
    </x:row>
    <x:row r="106">
      <x:c r="A106" s="117"/>
      <x:c r="B106" s="117"/>
      <x:c r="C106" s="117"/>
      <x:c r="D106" s="117"/>
      <x:c r="E106" s="117"/>
      <x:c r="F106" s="117"/>
      <x:c r="G106" s="117"/>
      <x:c r="H106" s="117"/>
      <x:c r="I106" s="117"/>
      <x:c r="J106" s="117"/>
      <x:c r="K106" s="117"/>
      <x:c r="L106" s="117"/>
      <x:c r="M106" s="117"/>
      <x:c r="N106" s="117"/>
      <x:c r="O106" s="117"/>
      <x:c r="P106" s="117"/>
      <x:c r="Q106" s="117"/>
      <x:c r="R106" s="117"/>
      <x:c r="S106" s="117"/>
      <x:c r="T106" s="117"/>
      <x:c r="U106" s="117"/>
      <x:c r="V106" s="117"/>
      <x:c r="W106" s="117"/>
      <x:c r="X106" s="117"/>
      <x:c r="Y106" s="117"/>
      <x:c r="Z106" s="117"/>
    </x:row>
    <x:row r="107">
      <x:c r="A107" s="117"/>
      <x:c r="B107" s="117"/>
      <x:c r="C107" s="117"/>
      <x:c r="D107" s="117"/>
      <x:c r="E107" s="117"/>
      <x:c r="F107" s="117"/>
      <x:c r="G107" s="117"/>
      <x:c r="H107" s="117"/>
      <x:c r="I107" s="117"/>
      <x:c r="J107" s="117"/>
      <x:c r="K107" s="117"/>
      <x:c r="L107" s="117"/>
      <x:c r="M107" s="117"/>
      <x:c r="N107" s="117"/>
      <x:c r="O107" s="117"/>
      <x:c r="P107" s="117"/>
      <x:c r="Q107" s="117"/>
      <x:c r="R107" s="117"/>
      <x:c r="S107" s="117"/>
      <x:c r="T107" s="117"/>
      <x:c r="U107" s="117"/>
      <x:c r="V107" s="117"/>
      <x:c r="W107" s="117"/>
      <x:c r="X107" s="117"/>
      <x:c r="Y107" s="117"/>
      <x:c r="Z107" s="117"/>
    </x:row>
    <x:row r="108">
      <x:c r="A108" s="117"/>
      <x:c r="B108" s="117"/>
      <x:c r="C108" s="117"/>
      <x:c r="D108" s="117"/>
      <x:c r="E108" s="117"/>
      <x:c r="F108" s="117"/>
      <x:c r="G108" s="117"/>
      <x:c r="H108" s="117"/>
      <x:c r="I108" s="117"/>
      <x:c r="J108" s="117"/>
      <x:c r="K108" s="117"/>
      <x:c r="L108" s="117"/>
      <x:c r="M108" s="117"/>
      <x:c r="N108" s="117"/>
      <x:c r="O108" s="117"/>
      <x:c r="P108" s="117"/>
      <x:c r="Q108" s="117"/>
      <x:c r="R108" s="117"/>
      <x:c r="S108" s="117"/>
      <x:c r="T108" s="117"/>
      <x:c r="U108" s="117"/>
      <x:c r="V108" s="117"/>
      <x:c r="W108" s="117"/>
      <x:c r="X108" s="117"/>
      <x:c r="Y108" s="117"/>
      <x:c r="Z108" s="117"/>
    </x:row>
    <x:row r="109">
      <x:c r="A109" s="117"/>
      <x:c r="B109" s="117"/>
      <x:c r="C109" s="117"/>
      <x:c r="D109" s="117"/>
      <x:c r="E109" s="117"/>
      <x:c r="F109" s="117"/>
      <x:c r="G109" s="117"/>
      <x:c r="H109" s="117"/>
      <x:c r="I109" s="117"/>
      <x:c r="J109" s="117"/>
      <x:c r="K109" s="117"/>
      <x:c r="L109" s="117"/>
      <x:c r="M109" s="117"/>
      <x:c r="N109" s="117"/>
      <x:c r="O109" s="117"/>
      <x:c r="P109" s="117"/>
      <x:c r="Q109" s="117"/>
      <x:c r="R109" s="117"/>
      <x:c r="S109" s="117"/>
      <x:c r="T109" s="117"/>
      <x:c r="U109" s="117"/>
      <x:c r="V109" s="117"/>
      <x:c r="W109" s="117"/>
      <x:c r="X109" s="117"/>
      <x:c r="Y109" s="117"/>
      <x:c r="Z109" s="117"/>
    </x:row>
    <x:row r="110">
      <x:c r="A110" s="117"/>
      <x:c r="B110" s="117"/>
      <x:c r="C110" s="117"/>
      <x:c r="D110" s="117"/>
      <x:c r="E110" s="117"/>
      <x:c r="F110" s="117"/>
      <x:c r="G110" s="117"/>
      <x:c r="H110" s="117"/>
      <x:c r="I110" s="117"/>
      <x:c r="J110" s="117"/>
      <x:c r="K110" s="117"/>
      <x:c r="L110" s="117"/>
      <x:c r="M110" s="117"/>
      <x:c r="N110" s="117"/>
      <x:c r="O110" s="117"/>
      <x:c r="P110" s="117"/>
      <x:c r="Q110" s="117"/>
      <x:c r="R110" s="117"/>
      <x:c r="S110" s="117"/>
      <x:c r="T110" s="117"/>
      <x:c r="U110" s="117"/>
      <x:c r="V110" s="117"/>
      <x:c r="W110" s="117"/>
      <x:c r="X110" s="117"/>
      <x:c r="Y110" s="117"/>
      <x:c r="Z110" s="117"/>
    </x:row>
    <x:row r="111">
      <x:c r="A111" s="117"/>
      <x:c r="B111" s="117"/>
      <x:c r="C111" s="117"/>
      <x:c r="D111" s="117"/>
      <x:c r="E111" s="117"/>
      <x:c r="F111" s="117"/>
      <x:c r="G111" s="117"/>
      <x:c r="H111" s="117"/>
      <x:c r="I111" s="117"/>
      <x:c r="J111" s="117"/>
      <x:c r="K111" s="117"/>
      <x:c r="L111" s="117"/>
      <x:c r="M111" s="117"/>
      <x:c r="N111" s="117"/>
      <x:c r="O111" s="117"/>
      <x:c r="P111" s="117"/>
      <x:c r="Q111" s="117"/>
      <x:c r="R111" s="117"/>
      <x:c r="S111" s="117"/>
      <x:c r="T111" s="117"/>
      <x:c r="U111" s="117"/>
      <x:c r="V111" s="117"/>
      <x:c r="W111" s="117"/>
      <x:c r="X111" s="117"/>
      <x:c r="Y111" s="117"/>
      <x:c r="Z111" s="117"/>
    </x:row>
    <x:row r="112">
      <x:c r="A112" s="117"/>
      <x:c r="B112" s="117"/>
      <x:c r="C112" s="117"/>
      <x:c r="D112" s="117"/>
      <x:c r="E112" s="117"/>
      <x:c r="F112" s="117"/>
      <x:c r="G112" s="117"/>
      <x:c r="H112" s="117"/>
      <x:c r="I112" s="117"/>
      <x:c r="J112" s="117"/>
      <x:c r="K112" s="117"/>
      <x:c r="L112" s="117"/>
      <x:c r="M112" s="117"/>
      <x:c r="N112" s="117"/>
      <x:c r="O112" s="117"/>
      <x:c r="P112" s="117"/>
      <x:c r="Q112" s="117"/>
      <x:c r="R112" s="117"/>
      <x:c r="S112" s="117"/>
      <x:c r="T112" s="117"/>
      <x:c r="U112" s="117"/>
      <x:c r="V112" s="117"/>
      <x:c r="W112" s="117"/>
      <x:c r="X112" s="117"/>
      <x:c r="Y112" s="117"/>
      <x:c r="Z112" s="117"/>
    </x:row>
    <x:row r="113">
      <x:c r="A113" s="117"/>
      <x:c r="B113" s="117"/>
      <x:c r="C113" s="117"/>
      <x:c r="D113" s="117"/>
      <x:c r="E113" s="117"/>
      <x:c r="F113" s="117"/>
      <x:c r="G113" s="117"/>
      <x:c r="H113" s="117"/>
      <x:c r="I113" s="117"/>
      <x:c r="J113" s="117"/>
      <x:c r="K113" s="117"/>
      <x:c r="L113" s="117"/>
      <x:c r="M113" s="117"/>
      <x:c r="N113" s="117"/>
      <x:c r="O113" s="117"/>
      <x:c r="P113" s="117"/>
      <x:c r="Q113" s="117"/>
      <x:c r="R113" s="117"/>
      <x:c r="S113" s="117"/>
      <x:c r="T113" s="117"/>
      <x:c r="U113" s="117"/>
      <x:c r="V113" s="117"/>
      <x:c r="W113" s="117"/>
      <x:c r="X113" s="117"/>
      <x:c r="Y113" s="117"/>
      <x:c r="Z113" s="117"/>
    </x:row>
    <x:row r="114">
      <x:c r="A114" s="117"/>
      <x:c r="B114" s="117"/>
      <x:c r="C114" s="117"/>
      <x:c r="D114" s="117"/>
      <x:c r="E114" s="117"/>
      <x:c r="F114" s="117"/>
      <x:c r="G114" s="117"/>
      <x:c r="H114" s="117"/>
      <x:c r="I114" s="117"/>
      <x:c r="J114" s="117"/>
      <x:c r="K114" s="117"/>
      <x:c r="L114" s="117"/>
      <x:c r="M114" s="117"/>
      <x:c r="N114" s="117"/>
      <x:c r="O114" s="117"/>
      <x:c r="P114" s="117"/>
      <x:c r="Q114" s="117"/>
      <x:c r="R114" s="117"/>
      <x:c r="S114" s="117"/>
      <x:c r="T114" s="117"/>
      <x:c r="U114" s="117"/>
      <x:c r="V114" s="117"/>
      <x:c r="W114" s="117"/>
      <x:c r="X114" s="117"/>
      <x:c r="Y114" s="117"/>
      <x:c r="Z114" s="117"/>
    </x:row>
    <x:row r="115">
      <x:c r="A115" s="117"/>
      <x:c r="B115" s="117"/>
      <x:c r="C115" s="117"/>
      <x:c r="D115" s="117"/>
      <x:c r="E115" s="117"/>
      <x:c r="F115" s="117"/>
      <x:c r="G115" s="117"/>
      <x:c r="H115" s="117"/>
      <x:c r="I115" s="117"/>
      <x:c r="J115" s="117"/>
      <x:c r="K115" s="117"/>
      <x:c r="L115" s="117"/>
      <x:c r="M115" s="117"/>
      <x:c r="N115" s="117"/>
      <x:c r="O115" s="117"/>
      <x:c r="P115" s="117"/>
      <x:c r="Q115" s="117"/>
      <x:c r="R115" s="117"/>
      <x:c r="S115" s="117"/>
      <x:c r="T115" s="117"/>
      <x:c r="U115" s="117"/>
      <x:c r="V115" s="117"/>
      <x:c r="W115" s="117"/>
      <x:c r="X115" s="117"/>
      <x:c r="Y115" s="117"/>
      <x:c r="Z115" s="117"/>
    </x:row>
    <x:row r="116">
      <x:c r="A116" s="117"/>
      <x:c r="B116" s="117"/>
      <x:c r="C116" s="117"/>
      <x:c r="D116" s="117"/>
      <x:c r="E116" s="117"/>
      <x:c r="F116" s="117"/>
      <x:c r="G116" s="117"/>
      <x:c r="H116" s="117"/>
      <x:c r="I116" s="117"/>
      <x:c r="J116" s="117"/>
      <x:c r="K116" s="117"/>
      <x:c r="L116" s="117"/>
      <x:c r="M116" s="117"/>
      <x:c r="N116" s="117"/>
      <x:c r="O116" s="117"/>
      <x:c r="P116" s="117"/>
      <x:c r="Q116" s="117"/>
      <x:c r="R116" s="117"/>
      <x:c r="S116" s="117"/>
      <x:c r="T116" s="117"/>
      <x:c r="U116" s="117"/>
      <x:c r="V116" s="117"/>
      <x:c r="W116" s="117"/>
      <x:c r="X116" s="117"/>
      <x:c r="Y116" s="117"/>
      <x:c r="Z116" s="117"/>
    </x:row>
    <x:row r="117">
      <x:c r="A117" s="117"/>
      <x:c r="B117" s="117"/>
      <x:c r="C117" s="117"/>
      <x:c r="D117" s="117"/>
      <x:c r="E117" s="117"/>
      <x:c r="F117" s="117"/>
      <x:c r="G117" s="117"/>
      <x:c r="H117" s="117"/>
      <x:c r="I117" s="117"/>
      <x:c r="J117" s="117"/>
      <x:c r="K117" s="117"/>
      <x:c r="L117" s="117"/>
      <x:c r="M117" s="117"/>
      <x:c r="N117" s="117"/>
      <x:c r="O117" s="117"/>
      <x:c r="P117" s="117"/>
      <x:c r="Q117" s="117"/>
      <x:c r="R117" s="117"/>
      <x:c r="S117" s="117"/>
      <x:c r="T117" s="117"/>
      <x:c r="U117" s="117"/>
      <x:c r="V117" s="117"/>
      <x:c r="W117" s="117"/>
      <x:c r="X117" s="117"/>
      <x:c r="Y117" s="117"/>
      <x:c r="Z117" s="117"/>
    </x:row>
    <x:row r="118">
      <x:c r="A118" s="117"/>
      <x:c r="B118" s="117"/>
      <x:c r="C118" s="117"/>
      <x:c r="D118" s="117"/>
      <x:c r="E118" s="117"/>
      <x:c r="F118" s="117"/>
      <x:c r="G118" s="117"/>
      <x:c r="H118" s="117"/>
      <x:c r="I118" s="117"/>
      <x:c r="J118" s="117"/>
      <x:c r="K118" s="117"/>
      <x:c r="L118" s="117"/>
      <x:c r="M118" s="117"/>
      <x:c r="N118" s="117"/>
      <x:c r="O118" s="117"/>
      <x:c r="P118" s="117"/>
      <x:c r="Q118" s="117"/>
      <x:c r="R118" s="117"/>
      <x:c r="S118" s="117"/>
      <x:c r="T118" s="117"/>
      <x:c r="U118" s="117"/>
      <x:c r="V118" s="117"/>
      <x:c r="W118" s="117"/>
      <x:c r="X118" s="117"/>
      <x:c r="Y118" s="117"/>
      <x:c r="Z118" s="117"/>
    </x:row>
    <x:row r="119">
      <x:c r="A119" s="117"/>
      <x:c r="B119" s="117"/>
      <x:c r="C119" s="117"/>
      <x:c r="D119" s="117"/>
      <x:c r="E119" s="117"/>
      <x:c r="F119" s="117"/>
      <x:c r="G119" s="117"/>
      <x:c r="H119" s="117"/>
      <x:c r="I119" s="117"/>
      <x:c r="J119" s="117"/>
      <x:c r="K119" s="117"/>
      <x:c r="L119" s="117"/>
      <x:c r="M119" s="117"/>
      <x:c r="N119" s="117"/>
      <x:c r="O119" s="117"/>
      <x:c r="P119" s="117"/>
      <x:c r="Q119" s="117"/>
      <x:c r="R119" s="117"/>
      <x:c r="S119" s="117"/>
      <x:c r="T119" s="117"/>
      <x:c r="U119" s="117"/>
      <x:c r="V119" s="117"/>
      <x:c r="W119" s="117"/>
      <x:c r="X119" s="117"/>
      <x:c r="Y119" s="117"/>
      <x:c r="Z119" s="117"/>
    </x:row>
    <x:row r="120">
      <x:c r="A120" s="117"/>
      <x:c r="B120" s="117"/>
      <x:c r="C120" s="117"/>
      <x:c r="D120" s="117"/>
      <x:c r="E120" s="117"/>
      <x:c r="F120" s="117"/>
      <x:c r="G120" s="117"/>
      <x:c r="H120" s="117"/>
      <x:c r="I120" s="117"/>
      <x:c r="J120" s="117"/>
      <x:c r="K120" s="117"/>
      <x:c r="L120" s="117"/>
      <x:c r="M120" s="117"/>
      <x:c r="N120" s="117"/>
      <x:c r="O120" s="117"/>
      <x:c r="P120" s="117"/>
      <x:c r="Q120" s="117"/>
      <x:c r="R120" s="117"/>
      <x:c r="S120" s="117"/>
      <x:c r="T120" s="117"/>
      <x:c r="U120" s="117"/>
      <x:c r="V120" s="117"/>
      <x:c r="W120" s="117"/>
      <x:c r="X120" s="117"/>
      <x:c r="Y120" s="117"/>
      <x:c r="Z120" s="117"/>
    </x:row>
    <x:row r="121">
      <x:c r="A121" s="117"/>
      <x:c r="B121" s="117"/>
      <x:c r="C121" s="117"/>
      <x:c r="D121" s="117"/>
      <x:c r="E121" s="117"/>
      <x:c r="F121" s="117"/>
      <x:c r="G121" s="117"/>
      <x:c r="H121" s="117"/>
      <x:c r="I121" s="117"/>
      <x:c r="J121" s="117"/>
      <x:c r="K121" s="117"/>
      <x:c r="L121" s="117"/>
      <x:c r="M121" s="117"/>
      <x:c r="N121" s="117"/>
      <x:c r="O121" s="117"/>
      <x:c r="P121" s="117"/>
      <x:c r="Q121" s="117"/>
      <x:c r="R121" s="117"/>
      <x:c r="S121" s="117"/>
      <x:c r="T121" s="117"/>
      <x:c r="U121" s="117"/>
      <x:c r="V121" s="117"/>
      <x:c r="W121" s="117"/>
      <x:c r="X121" s="117"/>
      <x:c r="Y121" s="117"/>
      <x:c r="Z121" s="117"/>
    </x:row>
    <x:row r="122">
      <x:c r="A122" s="117"/>
      <x:c r="B122" s="117"/>
      <x:c r="C122" s="117"/>
      <x:c r="D122" s="117"/>
      <x:c r="E122" s="117"/>
      <x:c r="F122" s="117"/>
      <x:c r="G122" s="117"/>
      <x:c r="H122" s="117"/>
      <x:c r="I122" s="117"/>
      <x:c r="J122" s="117"/>
      <x:c r="K122" s="117"/>
      <x:c r="L122" s="117"/>
      <x:c r="M122" s="117"/>
      <x:c r="N122" s="117"/>
      <x:c r="O122" s="117"/>
      <x:c r="P122" s="117"/>
      <x:c r="Q122" s="117"/>
      <x:c r="R122" s="117"/>
      <x:c r="S122" s="117"/>
      <x:c r="T122" s="117"/>
      <x:c r="U122" s="117"/>
      <x:c r="V122" s="117"/>
      <x:c r="W122" s="117"/>
      <x:c r="X122" s="117"/>
      <x:c r="Y122" s="117"/>
      <x:c r="Z122" s="117"/>
    </x:row>
    <x:row r="123">
      <x:c r="A123" s="117"/>
      <x:c r="B123" s="117"/>
      <x:c r="C123" s="117"/>
      <x:c r="D123" s="117"/>
      <x:c r="E123" s="117"/>
      <x:c r="F123" s="117"/>
      <x:c r="G123" s="117"/>
      <x:c r="H123" s="117"/>
      <x:c r="I123" s="117"/>
      <x:c r="J123" s="117"/>
      <x:c r="K123" s="117"/>
      <x:c r="L123" s="117"/>
      <x:c r="M123" s="117"/>
      <x:c r="N123" s="117"/>
      <x:c r="O123" s="117"/>
      <x:c r="P123" s="117"/>
      <x:c r="Q123" s="117"/>
      <x:c r="R123" s="117"/>
      <x:c r="S123" s="117"/>
      <x:c r="T123" s="117"/>
      <x:c r="U123" s="117"/>
      <x:c r="V123" s="117"/>
      <x:c r="W123" s="117"/>
      <x:c r="X123" s="117"/>
      <x:c r="Y123" s="117"/>
      <x:c r="Z123" s="117"/>
    </x:row>
    <x:row r="124">
      <x:c r="A124" s="117"/>
      <x:c r="B124" s="117"/>
      <x:c r="C124" s="117"/>
      <x:c r="D124" s="117"/>
      <x:c r="E124" s="117"/>
      <x:c r="F124" s="117"/>
      <x:c r="G124" s="117"/>
      <x:c r="H124" s="117"/>
      <x:c r="I124" s="117"/>
      <x:c r="J124" s="117"/>
      <x:c r="K124" s="117"/>
      <x:c r="L124" s="117"/>
      <x:c r="M124" s="117"/>
      <x:c r="N124" s="117"/>
      <x:c r="O124" s="117"/>
      <x:c r="P124" s="117"/>
      <x:c r="Q124" s="117"/>
      <x:c r="R124" s="117"/>
      <x:c r="S124" s="117"/>
      <x:c r="T124" s="117"/>
      <x:c r="U124" s="117"/>
      <x:c r="V124" s="117"/>
      <x:c r="W124" s="117"/>
      <x:c r="X124" s="117"/>
      <x:c r="Y124" s="117"/>
      <x:c r="Z124" s="117"/>
    </x:row>
    <x:row r="125">
      <x:c r="A125" s="117"/>
      <x:c r="B125" s="117"/>
      <x:c r="C125" s="117"/>
      <x:c r="D125" s="117"/>
      <x:c r="E125" s="117"/>
      <x:c r="F125" s="117"/>
      <x:c r="G125" s="117"/>
      <x:c r="H125" s="117"/>
      <x:c r="I125" s="117"/>
      <x:c r="J125" s="117"/>
      <x:c r="K125" s="117"/>
      <x:c r="L125" s="117"/>
      <x:c r="M125" s="117"/>
      <x:c r="N125" s="117"/>
      <x:c r="O125" s="117"/>
      <x:c r="P125" s="117"/>
      <x:c r="Q125" s="117"/>
      <x:c r="R125" s="117"/>
      <x:c r="S125" s="117"/>
      <x:c r="T125" s="117"/>
      <x:c r="U125" s="117"/>
      <x:c r="V125" s="117"/>
      <x:c r="W125" s="117"/>
      <x:c r="X125" s="117"/>
      <x:c r="Y125" s="117"/>
      <x:c r="Z125" s="117"/>
    </x:row>
    <x:row r="126">
      <x:c r="A126" s="117"/>
      <x:c r="B126" s="117"/>
      <x:c r="C126" s="117"/>
      <x:c r="D126" s="117"/>
      <x:c r="E126" s="117"/>
      <x:c r="F126" s="117"/>
      <x:c r="G126" s="117"/>
      <x:c r="H126" s="117"/>
      <x:c r="I126" s="117"/>
      <x:c r="J126" s="117"/>
      <x:c r="K126" s="117"/>
      <x:c r="L126" s="117"/>
      <x:c r="M126" s="117"/>
      <x:c r="N126" s="117"/>
      <x:c r="O126" s="117"/>
      <x:c r="P126" s="117"/>
      <x:c r="Q126" s="117"/>
      <x:c r="R126" s="117"/>
      <x:c r="S126" s="117"/>
      <x:c r="T126" s="117"/>
      <x:c r="U126" s="117"/>
      <x:c r="V126" s="117"/>
      <x:c r="W126" s="117"/>
      <x:c r="X126" s="117"/>
      <x:c r="Y126" s="117"/>
      <x:c r="Z126" s="117"/>
    </x:row>
    <x:row r="127">
      <x:c r="A127" s="117"/>
      <x:c r="B127" s="117"/>
      <x:c r="C127" s="117"/>
      <x:c r="D127" s="117"/>
      <x:c r="E127" s="117"/>
      <x:c r="F127" s="117"/>
      <x:c r="G127" s="117"/>
      <x:c r="H127" s="117"/>
      <x:c r="I127" s="117"/>
      <x:c r="J127" s="117"/>
      <x:c r="K127" s="117"/>
      <x:c r="L127" s="117"/>
      <x:c r="M127" s="117"/>
      <x:c r="N127" s="117"/>
      <x:c r="O127" s="117"/>
      <x:c r="P127" s="117"/>
      <x:c r="Q127" s="117"/>
      <x:c r="R127" s="117"/>
      <x:c r="S127" s="117"/>
      <x:c r="T127" s="117"/>
      <x:c r="U127" s="117"/>
      <x:c r="V127" s="117"/>
      <x:c r="W127" s="117"/>
      <x:c r="X127" s="117"/>
      <x:c r="Y127" s="117"/>
      <x:c r="Z127" s="117"/>
    </x:row>
    <x:row r="128">
      <x:c r="A128" s="117"/>
      <x:c r="B128" s="117"/>
      <x:c r="C128" s="117"/>
      <x:c r="D128" s="117"/>
      <x:c r="E128" s="117"/>
      <x:c r="F128" s="117"/>
      <x:c r="G128" s="117"/>
      <x:c r="H128" s="117"/>
      <x:c r="I128" s="117"/>
      <x:c r="J128" s="117"/>
      <x:c r="K128" s="117"/>
      <x:c r="L128" s="117"/>
      <x:c r="M128" s="117"/>
      <x:c r="N128" s="117"/>
      <x:c r="O128" s="117"/>
      <x:c r="P128" s="117"/>
      <x:c r="Q128" s="117"/>
      <x:c r="R128" s="117"/>
      <x:c r="S128" s="117"/>
      <x:c r="T128" s="117"/>
      <x:c r="U128" s="117"/>
      <x:c r="V128" s="117"/>
      <x:c r="W128" s="117"/>
      <x:c r="X128" s="117"/>
      <x:c r="Y128" s="117"/>
      <x:c r="Z128" s="117"/>
    </x:row>
    <x:row r="129">
      <x:c r="A129" s="117"/>
      <x:c r="B129" s="117"/>
      <x:c r="C129" s="117"/>
      <x:c r="D129" s="117"/>
      <x:c r="E129" s="117"/>
      <x:c r="F129" s="117"/>
      <x:c r="G129" s="117"/>
      <x:c r="H129" s="117"/>
      <x:c r="I129" s="117"/>
      <x:c r="J129" s="117"/>
      <x:c r="K129" s="117"/>
      <x:c r="L129" s="117"/>
      <x:c r="M129" s="117"/>
      <x:c r="N129" s="117"/>
      <x:c r="O129" s="117"/>
      <x:c r="P129" s="117"/>
      <x:c r="Q129" s="117"/>
      <x:c r="R129" s="117"/>
      <x:c r="S129" s="117"/>
      <x:c r="T129" s="117"/>
      <x:c r="U129" s="117"/>
      <x:c r="V129" s="117"/>
      <x:c r="W129" s="117"/>
      <x:c r="X129" s="117"/>
      <x:c r="Y129" s="117"/>
      <x:c r="Z129" s="117"/>
    </x:row>
    <x:row r="130">
      <x:c r="A130" s="117"/>
      <x:c r="B130" s="117"/>
      <x:c r="C130" s="117"/>
      <x:c r="D130" s="117"/>
      <x:c r="E130" s="117"/>
      <x:c r="F130" s="117"/>
      <x:c r="G130" s="117"/>
      <x:c r="H130" s="117"/>
      <x:c r="I130" s="117"/>
      <x:c r="J130" s="117"/>
      <x:c r="K130" s="117"/>
      <x:c r="L130" s="117"/>
      <x:c r="M130" s="117"/>
      <x:c r="N130" s="117"/>
      <x:c r="O130" s="117"/>
      <x:c r="P130" s="117"/>
      <x:c r="Q130" s="117"/>
      <x:c r="R130" s="117"/>
      <x:c r="S130" s="117"/>
      <x:c r="T130" s="117"/>
      <x:c r="U130" s="117"/>
      <x:c r="V130" s="117"/>
      <x:c r="W130" s="117"/>
      <x:c r="X130" s="117"/>
      <x:c r="Y130" s="117"/>
      <x:c r="Z130" s="117"/>
    </x:row>
    <x:row r="131">
      <x:c r="A131" s="117"/>
      <x:c r="B131" s="117"/>
      <x:c r="C131" s="117"/>
      <x:c r="D131" s="117"/>
      <x:c r="E131" s="117"/>
      <x:c r="F131" s="117"/>
      <x:c r="G131" s="117"/>
      <x:c r="H131" s="117"/>
      <x:c r="I131" s="117"/>
      <x:c r="J131" s="117"/>
      <x:c r="K131" s="117"/>
      <x:c r="L131" s="117"/>
      <x:c r="M131" s="117"/>
      <x:c r="N131" s="117"/>
      <x:c r="O131" s="117"/>
      <x:c r="P131" s="117"/>
      <x:c r="Q131" s="117"/>
      <x:c r="R131" s="117"/>
      <x:c r="S131" s="117"/>
      <x:c r="T131" s="117"/>
      <x:c r="U131" s="117"/>
      <x:c r="V131" s="117"/>
      <x:c r="W131" s="117"/>
      <x:c r="X131" s="117"/>
      <x:c r="Y131" s="117"/>
      <x:c r="Z131" s="117"/>
    </x:row>
    <x:row r="132">
      <x:c r="A132" s="117"/>
      <x:c r="B132" s="117"/>
      <x:c r="C132" s="117"/>
      <x:c r="D132" s="117"/>
      <x:c r="E132" s="117"/>
      <x:c r="F132" s="117"/>
      <x:c r="G132" s="117"/>
      <x:c r="H132" s="117"/>
      <x:c r="I132" s="117"/>
      <x:c r="J132" s="117"/>
      <x:c r="K132" s="117"/>
      <x:c r="L132" s="117"/>
      <x:c r="M132" s="117"/>
      <x:c r="N132" s="117"/>
      <x:c r="O132" s="117"/>
      <x:c r="P132" s="117"/>
      <x:c r="Q132" s="117"/>
      <x:c r="R132" s="117"/>
      <x:c r="S132" s="117"/>
      <x:c r="T132" s="117"/>
      <x:c r="U132" s="117"/>
      <x:c r="V132" s="117"/>
      <x:c r="W132" s="117"/>
      <x:c r="X132" s="117"/>
      <x:c r="Y132" s="117"/>
      <x:c r="Z132" s="117"/>
    </x:row>
    <x:row r="133">
      <x:c r="A133" s="117"/>
      <x:c r="B133" s="117"/>
      <x:c r="C133" s="117"/>
      <x:c r="D133" s="117"/>
      <x:c r="E133" s="117"/>
      <x:c r="F133" s="117"/>
      <x:c r="G133" s="117"/>
      <x:c r="H133" s="117"/>
      <x:c r="I133" s="117"/>
      <x:c r="J133" s="117"/>
      <x:c r="K133" s="117"/>
      <x:c r="L133" s="117"/>
      <x:c r="M133" s="117"/>
      <x:c r="N133" s="117"/>
      <x:c r="O133" s="117"/>
      <x:c r="P133" s="117"/>
      <x:c r="Q133" s="117"/>
      <x:c r="R133" s="117"/>
      <x:c r="S133" s="117"/>
      <x:c r="T133" s="117"/>
      <x:c r="U133" s="117"/>
      <x:c r="V133" s="117"/>
      <x:c r="W133" s="117"/>
      <x:c r="X133" s="117"/>
      <x:c r="Y133" s="117"/>
      <x:c r="Z133" s="117"/>
    </x:row>
    <x:row r="134">
      <x:c r="A134" s="117"/>
      <x:c r="B134" s="117"/>
      <x:c r="C134" s="117"/>
      <x:c r="D134" s="117"/>
      <x:c r="E134" s="117"/>
      <x:c r="F134" s="117"/>
      <x:c r="G134" s="117"/>
      <x:c r="H134" s="117"/>
      <x:c r="I134" s="117"/>
      <x:c r="J134" s="117"/>
      <x:c r="K134" s="117"/>
      <x:c r="L134" s="117"/>
      <x:c r="M134" s="117"/>
      <x:c r="N134" s="117"/>
      <x:c r="O134" s="117"/>
      <x:c r="P134" s="117"/>
      <x:c r="Q134" s="117"/>
      <x:c r="R134" s="117"/>
      <x:c r="S134" s="117"/>
      <x:c r="T134" s="117"/>
      <x:c r="U134" s="117"/>
      <x:c r="V134" s="117"/>
      <x:c r="W134" s="117"/>
      <x:c r="X134" s="117"/>
      <x:c r="Y134" s="117"/>
      <x:c r="Z134" s="117"/>
    </x:row>
    <x:row r="135">
      <x:c r="A135" s="117"/>
      <x:c r="B135" s="117"/>
      <x:c r="C135" s="117"/>
      <x:c r="D135" s="117"/>
      <x:c r="E135" s="117"/>
      <x:c r="F135" s="117"/>
      <x:c r="G135" s="117"/>
      <x:c r="H135" s="117"/>
      <x:c r="I135" s="117"/>
      <x:c r="J135" s="117"/>
      <x:c r="K135" s="117"/>
      <x:c r="L135" s="117"/>
      <x:c r="M135" s="117"/>
      <x:c r="N135" s="117"/>
      <x:c r="O135" s="117"/>
      <x:c r="P135" s="117"/>
      <x:c r="Q135" s="117"/>
      <x:c r="R135" s="117"/>
      <x:c r="S135" s="117"/>
      <x:c r="T135" s="117"/>
      <x:c r="U135" s="117"/>
      <x:c r="V135" s="117"/>
      <x:c r="W135" s="117"/>
      <x:c r="X135" s="117"/>
      <x:c r="Y135" s="117"/>
      <x:c r="Z135" s="117"/>
    </x:row>
    <x:row r="136">
      <x:c r="A136" s="117"/>
      <x:c r="B136" s="117"/>
      <x:c r="C136" s="117"/>
      <x:c r="D136" s="117"/>
      <x:c r="E136" s="117"/>
      <x:c r="F136" s="117"/>
      <x:c r="G136" s="117"/>
      <x:c r="H136" s="117"/>
      <x:c r="I136" s="117"/>
      <x:c r="J136" s="117"/>
      <x:c r="K136" s="117"/>
      <x:c r="L136" s="117"/>
      <x:c r="M136" s="117"/>
      <x:c r="N136" s="117"/>
      <x:c r="O136" s="117"/>
      <x:c r="P136" s="117"/>
      <x:c r="Q136" s="117"/>
      <x:c r="R136" s="117"/>
      <x:c r="S136" s="117"/>
      <x:c r="T136" s="117"/>
      <x:c r="U136" s="117"/>
      <x:c r="V136" s="117"/>
      <x:c r="W136" s="117"/>
      <x:c r="X136" s="117"/>
      <x:c r="Y136" s="117"/>
      <x:c r="Z136" s="117"/>
    </x:row>
    <x:row r="137">
      <x:c r="A137" s="117"/>
      <x:c r="B137" s="117"/>
      <x:c r="C137" s="117"/>
      <x:c r="D137" s="117"/>
      <x:c r="E137" s="117"/>
      <x:c r="F137" s="117"/>
      <x:c r="G137" s="117"/>
      <x:c r="H137" s="117"/>
      <x:c r="I137" s="117"/>
      <x:c r="J137" s="117"/>
      <x:c r="K137" s="117"/>
      <x:c r="L137" s="117"/>
      <x:c r="M137" s="117"/>
      <x:c r="N137" s="117"/>
      <x:c r="O137" s="117"/>
      <x:c r="P137" s="117"/>
      <x:c r="Q137" s="117"/>
      <x:c r="R137" s="117"/>
      <x:c r="S137" s="117"/>
      <x:c r="T137" s="117"/>
      <x:c r="U137" s="117"/>
      <x:c r="V137" s="117"/>
      <x:c r="W137" s="117"/>
      <x:c r="X137" s="117"/>
      <x:c r="Y137" s="117"/>
      <x:c r="Z137" s="117"/>
    </x:row>
    <x:row r="138">
      <x:c r="A138" s="117"/>
      <x:c r="B138" s="117"/>
      <x:c r="C138" s="117"/>
      <x:c r="D138" s="117"/>
      <x:c r="E138" s="117"/>
      <x:c r="F138" s="117"/>
      <x:c r="G138" s="117"/>
      <x:c r="H138" s="117"/>
      <x:c r="I138" s="117"/>
      <x:c r="J138" s="117"/>
      <x:c r="K138" s="117"/>
      <x:c r="L138" s="117"/>
      <x:c r="M138" s="117"/>
      <x:c r="N138" s="117"/>
      <x:c r="O138" s="117"/>
      <x:c r="P138" s="117"/>
      <x:c r="Q138" s="117"/>
      <x:c r="R138" s="117"/>
      <x:c r="S138" s="117"/>
      <x:c r="T138" s="117"/>
      <x:c r="U138" s="117"/>
      <x:c r="V138" s="117"/>
      <x:c r="W138" s="117"/>
      <x:c r="X138" s="117"/>
      <x:c r="Y138" s="117"/>
      <x:c r="Z138" s="117"/>
    </x:row>
    <x:row r="139">
      <x:c r="A139" s="117"/>
      <x:c r="B139" s="117"/>
      <x:c r="C139" s="117"/>
      <x:c r="D139" s="117"/>
      <x:c r="E139" s="117"/>
      <x:c r="F139" s="117"/>
      <x:c r="G139" s="117"/>
      <x:c r="H139" s="117"/>
      <x:c r="I139" s="117"/>
      <x:c r="J139" s="117"/>
      <x:c r="K139" s="117"/>
      <x:c r="L139" s="117"/>
      <x:c r="M139" s="117"/>
      <x:c r="N139" s="117"/>
      <x:c r="O139" s="117"/>
      <x:c r="P139" s="117"/>
      <x:c r="Q139" s="117"/>
      <x:c r="R139" s="117"/>
      <x:c r="S139" s="117"/>
      <x:c r="T139" s="117"/>
      <x:c r="U139" s="117"/>
      <x:c r="V139" s="117"/>
      <x:c r="W139" s="117"/>
      <x:c r="X139" s="117"/>
      <x:c r="Y139" s="117"/>
      <x:c r="Z139" s="117"/>
    </x:row>
    <x:row r="140">
      <x:c r="A140" s="117"/>
      <x:c r="B140" s="117"/>
      <x:c r="C140" s="117"/>
      <x:c r="D140" s="117"/>
      <x:c r="E140" s="117"/>
      <x:c r="F140" s="117"/>
      <x:c r="G140" s="117"/>
      <x:c r="H140" s="117"/>
      <x:c r="I140" s="117"/>
      <x:c r="J140" s="117"/>
      <x:c r="K140" s="117"/>
      <x:c r="L140" s="117"/>
      <x:c r="M140" s="117"/>
      <x:c r="N140" s="117"/>
      <x:c r="O140" s="117"/>
      <x:c r="P140" s="117"/>
      <x:c r="Q140" s="117"/>
      <x:c r="R140" s="117"/>
      <x:c r="S140" s="117"/>
      <x:c r="T140" s="117"/>
      <x:c r="U140" s="117"/>
      <x:c r="V140" s="117"/>
      <x:c r="W140" s="117"/>
      <x:c r="X140" s="117"/>
      <x:c r="Y140" s="117"/>
      <x:c r="Z140" s="117"/>
    </x:row>
    <x:row r="141">
      <x:c r="A141" s="117"/>
      <x:c r="B141" s="117"/>
      <x:c r="C141" s="117"/>
      <x:c r="D141" s="117"/>
      <x:c r="E141" s="117"/>
      <x:c r="F141" s="117"/>
      <x:c r="G141" s="117"/>
      <x:c r="H141" s="117"/>
      <x:c r="I141" s="117"/>
      <x:c r="J141" s="117"/>
      <x:c r="K141" s="117"/>
      <x:c r="L141" s="117"/>
      <x:c r="M141" s="117"/>
      <x:c r="N141" s="117"/>
      <x:c r="O141" s="117"/>
      <x:c r="P141" s="117"/>
      <x:c r="Q141" s="117"/>
      <x:c r="R141" s="117"/>
      <x:c r="S141" s="117"/>
      <x:c r="T141" s="117"/>
      <x:c r="U141" s="117"/>
      <x:c r="V141" s="117"/>
      <x:c r="W141" s="117"/>
      <x:c r="X141" s="117"/>
      <x:c r="Y141" s="117"/>
      <x:c r="Z141" s="117"/>
    </x:row>
    <x:row r="142">
      <x:c r="A142" s="117"/>
      <x:c r="B142" s="117"/>
      <x:c r="C142" s="117"/>
      <x:c r="D142" s="117"/>
      <x:c r="E142" s="117"/>
      <x:c r="F142" s="117"/>
      <x:c r="G142" s="117"/>
      <x:c r="H142" s="117"/>
      <x:c r="I142" s="117"/>
      <x:c r="J142" s="117"/>
      <x:c r="K142" s="117"/>
      <x:c r="L142" s="117"/>
      <x:c r="M142" s="117"/>
      <x:c r="N142" s="117"/>
      <x:c r="O142" s="117"/>
      <x:c r="P142" s="117"/>
      <x:c r="Q142" s="117"/>
      <x:c r="R142" s="117"/>
      <x:c r="S142" s="117"/>
      <x:c r="T142" s="117"/>
      <x:c r="U142" s="117"/>
      <x:c r="V142" s="117"/>
      <x:c r="W142" s="117"/>
      <x:c r="X142" s="117"/>
      <x:c r="Y142" s="117"/>
      <x:c r="Z142" s="117"/>
    </x:row>
    <x:row r="143">
      <x:c r="A143" s="117"/>
      <x:c r="B143" s="117"/>
      <x:c r="C143" s="117"/>
      <x:c r="D143" s="117"/>
      <x:c r="E143" s="117"/>
      <x:c r="F143" s="117"/>
      <x:c r="G143" s="117"/>
      <x:c r="H143" s="117"/>
      <x:c r="I143" s="117"/>
      <x:c r="J143" s="117"/>
      <x:c r="K143" s="117"/>
      <x:c r="L143" s="117"/>
      <x:c r="M143" s="117"/>
      <x:c r="N143" s="117"/>
      <x:c r="O143" s="117"/>
      <x:c r="P143" s="117"/>
      <x:c r="Q143" s="117"/>
      <x:c r="R143" s="117"/>
      <x:c r="S143" s="117"/>
      <x:c r="T143" s="117"/>
      <x:c r="U143" s="117"/>
      <x:c r="V143" s="117"/>
      <x:c r="W143" s="117"/>
      <x:c r="X143" s="117"/>
      <x:c r="Y143" s="117"/>
      <x:c r="Z143" s="117"/>
    </x:row>
    <x:row r="144">
      <x:c r="A144" s="117"/>
      <x:c r="B144" s="117"/>
      <x:c r="C144" s="117"/>
      <x:c r="D144" s="117"/>
      <x:c r="E144" s="117"/>
      <x:c r="F144" s="117"/>
      <x:c r="G144" s="117"/>
      <x:c r="H144" s="117"/>
      <x:c r="I144" s="117"/>
      <x:c r="J144" s="117"/>
      <x:c r="K144" s="117"/>
      <x:c r="L144" s="117"/>
      <x:c r="M144" s="117"/>
      <x:c r="N144" s="117"/>
      <x:c r="O144" s="117"/>
      <x:c r="P144" s="117"/>
      <x:c r="Q144" s="117"/>
      <x:c r="R144" s="117"/>
      <x:c r="S144" s="117"/>
      <x:c r="T144" s="117"/>
      <x:c r="U144" s="117"/>
      <x:c r="V144" s="117"/>
      <x:c r="W144" s="117"/>
      <x:c r="X144" s="117"/>
      <x:c r="Y144" s="117"/>
      <x:c r="Z144" s="117"/>
    </x:row>
    <x:row r="145">
      <x:c r="A145" s="117"/>
      <x:c r="B145" s="117"/>
      <x:c r="C145" s="117"/>
      <x:c r="D145" s="117"/>
      <x:c r="E145" s="117"/>
      <x:c r="F145" s="117"/>
      <x:c r="G145" s="117"/>
      <x:c r="H145" s="117"/>
      <x:c r="I145" s="117"/>
      <x:c r="J145" s="117"/>
      <x:c r="K145" s="117"/>
      <x:c r="L145" s="117"/>
      <x:c r="M145" s="117"/>
      <x:c r="N145" s="117"/>
      <x:c r="O145" s="117"/>
      <x:c r="P145" s="117"/>
      <x:c r="Q145" s="117"/>
      <x:c r="R145" s="117"/>
      <x:c r="S145" s="117"/>
      <x:c r="T145" s="117"/>
      <x:c r="U145" s="117"/>
      <x:c r="V145" s="117"/>
      <x:c r="W145" s="117"/>
      <x:c r="X145" s="117"/>
      <x:c r="Y145" s="117"/>
      <x:c r="Z145" s="117"/>
    </x:row>
    <x:row r="146">
      <x:c r="A146" s="117"/>
      <x:c r="B146" s="117"/>
      <x:c r="C146" s="117"/>
      <x:c r="D146" s="117"/>
      <x:c r="E146" s="117"/>
      <x:c r="F146" s="117"/>
      <x:c r="G146" s="117"/>
      <x:c r="H146" s="117"/>
      <x:c r="I146" s="117"/>
      <x:c r="J146" s="117"/>
      <x:c r="K146" s="117"/>
      <x:c r="L146" s="117"/>
      <x:c r="M146" s="117"/>
      <x:c r="N146" s="117"/>
      <x:c r="O146" s="117"/>
      <x:c r="P146" s="117"/>
      <x:c r="Q146" s="117"/>
      <x:c r="R146" s="117"/>
      <x:c r="S146" s="117"/>
      <x:c r="T146" s="117"/>
      <x:c r="U146" s="117"/>
      <x:c r="V146" s="117"/>
      <x:c r="W146" s="117"/>
      <x:c r="X146" s="117"/>
      <x:c r="Y146" s="117"/>
      <x:c r="Z146" s="117"/>
    </x:row>
    <x:row r="147">
      <x:c r="A147" s="117"/>
      <x:c r="B147" s="117"/>
      <x:c r="C147" s="117"/>
      <x:c r="D147" s="117"/>
      <x:c r="E147" s="117"/>
      <x:c r="F147" s="117"/>
      <x:c r="G147" s="117"/>
      <x:c r="H147" s="117"/>
      <x:c r="I147" s="117"/>
      <x:c r="J147" s="117"/>
      <x:c r="K147" s="117"/>
      <x:c r="L147" s="117"/>
      <x:c r="M147" s="117"/>
      <x:c r="N147" s="117"/>
      <x:c r="O147" s="117"/>
      <x:c r="P147" s="117"/>
      <x:c r="Q147" s="117"/>
      <x:c r="R147" s="117"/>
      <x:c r="S147" s="117"/>
      <x:c r="T147" s="117"/>
      <x:c r="U147" s="117"/>
      <x:c r="V147" s="117"/>
      <x:c r="W147" s="117"/>
      <x:c r="X147" s="117"/>
      <x:c r="Y147" s="117"/>
      <x:c r="Z147" s="117"/>
    </x:row>
    <x:row r="148">
      <x:c r="A148" s="117"/>
      <x:c r="B148" s="117"/>
      <x:c r="C148" s="117"/>
      <x:c r="D148" s="117"/>
      <x:c r="E148" s="117"/>
      <x:c r="F148" s="117"/>
      <x:c r="G148" s="117"/>
      <x:c r="H148" s="117"/>
      <x:c r="I148" s="117"/>
      <x:c r="J148" s="117"/>
      <x:c r="K148" s="117"/>
      <x:c r="L148" s="117"/>
      <x:c r="M148" s="117"/>
      <x:c r="N148" s="117"/>
      <x:c r="O148" s="117"/>
      <x:c r="P148" s="117"/>
      <x:c r="Q148" s="117"/>
      <x:c r="R148" s="117"/>
      <x:c r="S148" s="117"/>
      <x:c r="T148" s="117"/>
      <x:c r="U148" s="117"/>
      <x:c r="V148" s="117"/>
      <x:c r="W148" s="117"/>
      <x:c r="X148" s="117"/>
      <x:c r="Y148" s="117"/>
      <x:c r="Z148" s="117"/>
    </x:row>
    <x:row r="149">
      <x:c r="A149" s="117"/>
      <x:c r="B149" s="117"/>
      <x:c r="C149" s="117"/>
      <x:c r="D149" s="117"/>
      <x:c r="E149" s="117"/>
      <x:c r="F149" s="117"/>
      <x:c r="G149" s="117"/>
      <x:c r="H149" s="117"/>
      <x:c r="I149" s="117"/>
      <x:c r="J149" s="117"/>
      <x:c r="K149" s="117"/>
      <x:c r="L149" s="117"/>
      <x:c r="M149" s="117"/>
      <x:c r="N149" s="117"/>
      <x:c r="O149" s="117"/>
      <x:c r="P149" s="117"/>
      <x:c r="Q149" s="117"/>
      <x:c r="R149" s="117"/>
      <x:c r="S149" s="117"/>
      <x:c r="T149" s="117"/>
      <x:c r="U149" s="117"/>
      <x:c r="V149" s="117"/>
      <x:c r="W149" s="117"/>
      <x:c r="X149" s="117"/>
      <x:c r="Y149" s="117"/>
      <x:c r="Z149" s="117"/>
    </x:row>
    <x:row r="150">
      <x:c r="A150" s="117"/>
      <x:c r="B150" s="117"/>
      <x:c r="C150" s="117"/>
      <x:c r="D150" s="117"/>
      <x:c r="E150" s="117"/>
      <x:c r="F150" s="117"/>
      <x:c r="G150" s="117"/>
      <x:c r="H150" s="117"/>
      <x:c r="I150" s="117"/>
      <x:c r="J150" s="117"/>
      <x:c r="K150" s="117"/>
      <x:c r="L150" s="117"/>
      <x:c r="M150" s="117"/>
      <x:c r="N150" s="117"/>
      <x:c r="O150" s="117"/>
      <x:c r="P150" s="117"/>
      <x:c r="Q150" s="117"/>
      <x:c r="R150" s="117"/>
      <x:c r="S150" s="117"/>
      <x:c r="T150" s="117"/>
      <x:c r="U150" s="117"/>
      <x:c r="V150" s="117"/>
      <x:c r="W150" s="117"/>
      <x:c r="X150" s="117"/>
      <x:c r="Y150" s="117"/>
      <x:c r="Z150" s="117"/>
    </x:row>
    <x:row r="151">
      <x:c r="A151" s="117"/>
      <x:c r="B151" s="117"/>
      <x:c r="C151" s="117"/>
      <x:c r="D151" s="117"/>
      <x:c r="E151" s="117"/>
      <x:c r="F151" s="117"/>
      <x:c r="G151" s="117"/>
      <x:c r="H151" s="117"/>
      <x:c r="I151" s="117"/>
      <x:c r="J151" s="117"/>
      <x:c r="K151" s="117"/>
      <x:c r="L151" s="117"/>
      <x:c r="M151" s="117"/>
      <x:c r="N151" s="117"/>
      <x:c r="O151" s="117"/>
      <x:c r="P151" s="117"/>
      <x:c r="Q151" s="117"/>
      <x:c r="R151" s="117"/>
      <x:c r="S151" s="117"/>
      <x:c r="T151" s="117"/>
      <x:c r="U151" s="117"/>
      <x:c r="V151" s="117"/>
      <x:c r="W151" s="117"/>
      <x:c r="X151" s="117"/>
      <x:c r="Y151" s="117"/>
      <x:c r="Z151" s="117"/>
    </x:row>
    <x:row r="152">
      <x:c r="A152" s="117"/>
      <x:c r="B152" s="117"/>
      <x:c r="C152" s="117"/>
      <x:c r="D152" s="117"/>
      <x:c r="E152" s="117"/>
      <x:c r="F152" s="117"/>
      <x:c r="G152" s="117"/>
      <x:c r="H152" s="117"/>
      <x:c r="I152" s="117"/>
      <x:c r="J152" s="117"/>
      <x:c r="K152" s="117"/>
      <x:c r="L152" s="117"/>
      <x:c r="M152" s="117"/>
      <x:c r="N152" s="117"/>
      <x:c r="O152" s="117"/>
      <x:c r="P152" s="117"/>
      <x:c r="Q152" s="117"/>
      <x:c r="R152" s="117"/>
      <x:c r="S152" s="117"/>
      <x:c r="T152" s="117"/>
      <x:c r="U152" s="117"/>
      <x:c r="V152" s="117"/>
      <x:c r="W152" s="117"/>
      <x:c r="X152" s="117"/>
      <x:c r="Y152" s="117"/>
      <x:c r="Z152" s="117"/>
    </x:row>
    <x:row r="153">
      <x:c r="A153" s="117"/>
      <x:c r="B153" s="117"/>
      <x:c r="C153" s="117"/>
      <x:c r="D153" s="117"/>
      <x:c r="E153" s="117"/>
      <x:c r="F153" s="117"/>
      <x:c r="G153" s="117"/>
      <x:c r="H153" s="117"/>
      <x:c r="I153" s="117"/>
      <x:c r="J153" s="117"/>
      <x:c r="K153" s="117"/>
      <x:c r="L153" s="117"/>
      <x:c r="M153" s="117"/>
      <x:c r="N153" s="117"/>
      <x:c r="O153" s="117"/>
      <x:c r="P153" s="117"/>
      <x:c r="Q153" s="117"/>
      <x:c r="R153" s="117"/>
      <x:c r="S153" s="117"/>
      <x:c r="T153" s="117"/>
      <x:c r="U153" s="117"/>
      <x:c r="V153" s="117"/>
      <x:c r="W153" s="117"/>
      <x:c r="X153" s="117"/>
      <x:c r="Y153" s="117"/>
      <x:c r="Z153" s="117"/>
    </x:row>
    <x:row r="154">
      <x:c r="A154" s="117"/>
      <x:c r="B154" s="117"/>
      <x:c r="C154" s="117"/>
      <x:c r="D154" s="117"/>
      <x:c r="E154" s="117"/>
      <x:c r="F154" s="117"/>
      <x:c r="G154" s="117"/>
      <x:c r="H154" s="117"/>
      <x:c r="I154" s="117"/>
      <x:c r="J154" s="117"/>
      <x:c r="K154" s="117"/>
      <x:c r="L154" s="117"/>
      <x:c r="M154" s="117"/>
      <x:c r="N154" s="117"/>
      <x:c r="O154" s="117"/>
      <x:c r="P154" s="117"/>
      <x:c r="Q154" s="117"/>
      <x:c r="R154" s="117"/>
      <x:c r="S154" s="117"/>
      <x:c r="T154" s="117"/>
      <x:c r="U154" s="117"/>
      <x:c r="V154" s="117"/>
      <x:c r="W154" s="117"/>
      <x:c r="X154" s="117"/>
      <x:c r="Y154" s="117"/>
      <x:c r="Z154" s="117"/>
    </x:row>
    <x:row r="155">
      <x:c r="A155" s="117"/>
      <x:c r="B155" s="117"/>
      <x:c r="C155" s="117"/>
      <x:c r="D155" s="117"/>
      <x:c r="E155" s="117"/>
      <x:c r="F155" s="117"/>
      <x:c r="G155" s="117"/>
      <x:c r="H155" s="117"/>
      <x:c r="I155" s="117"/>
      <x:c r="J155" s="117"/>
      <x:c r="K155" s="117"/>
      <x:c r="L155" s="117"/>
      <x:c r="M155" s="117"/>
      <x:c r="N155" s="117"/>
      <x:c r="O155" s="117"/>
      <x:c r="P155" s="117"/>
      <x:c r="Q155" s="117"/>
      <x:c r="R155" s="117"/>
      <x:c r="S155" s="117"/>
      <x:c r="T155" s="117"/>
      <x:c r="U155" s="117"/>
      <x:c r="V155" s="117"/>
      <x:c r="W155" s="117"/>
      <x:c r="X155" s="117"/>
      <x:c r="Y155" s="117"/>
      <x:c r="Z155" s="117"/>
    </x:row>
    <x:row r="156">
      <x:c r="A156" s="117"/>
      <x:c r="B156" s="117"/>
      <x:c r="C156" s="117"/>
      <x:c r="D156" s="117"/>
      <x:c r="E156" s="117"/>
      <x:c r="F156" s="117"/>
      <x:c r="G156" s="117"/>
      <x:c r="H156" s="117"/>
      <x:c r="I156" s="117"/>
      <x:c r="J156" s="117"/>
      <x:c r="K156" s="117"/>
      <x:c r="L156" s="117"/>
      <x:c r="M156" s="117"/>
      <x:c r="N156" s="117"/>
      <x:c r="O156" s="117"/>
      <x:c r="P156" s="117"/>
      <x:c r="Q156" s="117"/>
      <x:c r="R156" s="117"/>
      <x:c r="S156" s="117"/>
      <x:c r="T156" s="117"/>
      <x:c r="U156" s="117"/>
      <x:c r="V156" s="117"/>
      <x:c r="W156" s="117"/>
      <x:c r="X156" s="117"/>
      <x:c r="Y156" s="117"/>
      <x:c r="Z156" s="117"/>
    </x:row>
    <x:row r="157">
      <x:c r="A157" s="117"/>
      <x:c r="B157" s="117"/>
      <x:c r="C157" s="117"/>
      <x:c r="D157" s="117"/>
      <x:c r="E157" s="117"/>
      <x:c r="F157" s="117"/>
      <x:c r="G157" s="117"/>
      <x:c r="H157" s="117"/>
      <x:c r="I157" s="117"/>
      <x:c r="J157" s="117"/>
      <x:c r="K157" s="117"/>
      <x:c r="L157" s="117"/>
      <x:c r="M157" s="117"/>
      <x:c r="N157" s="117"/>
      <x:c r="O157" s="117"/>
      <x:c r="P157" s="117"/>
      <x:c r="Q157" s="117"/>
      <x:c r="R157" s="117"/>
      <x:c r="S157" s="117"/>
      <x:c r="T157" s="117"/>
      <x:c r="U157" s="117"/>
      <x:c r="V157" s="117"/>
      <x:c r="W157" s="117"/>
      <x:c r="X157" s="117"/>
      <x:c r="Y157" s="117"/>
      <x:c r="Z157" s="117"/>
    </x:row>
    <x:row r="158">
      <x:c r="A158" s="117"/>
      <x:c r="B158" s="117"/>
      <x:c r="C158" s="117"/>
      <x:c r="D158" s="117"/>
      <x:c r="E158" s="117"/>
      <x:c r="F158" s="117"/>
      <x:c r="G158" s="117"/>
      <x:c r="H158" s="117"/>
      <x:c r="I158" s="117"/>
      <x:c r="J158" s="117"/>
      <x:c r="K158" s="117"/>
      <x:c r="L158" s="117"/>
      <x:c r="M158" s="117"/>
      <x:c r="N158" s="117"/>
      <x:c r="O158" s="117"/>
      <x:c r="P158" s="117"/>
      <x:c r="Q158" s="117"/>
      <x:c r="R158" s="117"/>
      <x:c r="S158" s="117"/>
      <x:c r="T158" s="117"/>
      <x:c r="U158" s="117"/>
      <x:c r="V158" s="117"/>
      <x:c r="W158" s="117"/>
      <x:c r="X158" s="117"/>
      <x:c r="Y158" s="117"/>
      <x:c r="Z158" s="117"/>
    </x:row>
    <x:row r="159">
      <x:c r="A159" s="117"/>
      <x:c r="B159" s="117"/>
      <x:c r="C159" s="117"/>
      <x:c r="D159" s="117"/>
      <x:c r="E159" s="117"/>
      <x:c r="F159" s="117"/>
      <x:c r="G159" s="117"/>
      <x:c r="H159" s="117"/>
      <x:c r="I159" s="117"/>
      <x:c r="J159" s="117"/>
      <x:c r="K159" s="117"/>
      <x:c r="L159" s="117"/>
      <x:c r="M159" s="117"/>
      <x:c r="N159" s="117"/>
      <x:c r="O159" s="117"/>
      <x:c r="P159" s="117"/>
      <x:c r="Q159" s="117"/>
      <x:c r="R159" s="117"/>
      <x:c r="S159" s="117"/>
      <x:c r="T159" s="117"/>
      <x:c r="U159" s="117"/>
      <x:c r="V159" s="117"/>
      <x:c r="W159" s="117"/>
      <x:c r="X159" s="117"/>
      <x:c r="Y159" s="117"/>
      <x:c r="Z159" s="117"/>
    </x:row>
    <x:row r="160">
      <x:c r="A160" s="117"/>
      <x:c r="B160" s="117"/>
      <x:c r="C160" s="117"/>
      <x:c r="D160" s="117"/>
      <x:c r="E160" s="117"/>
      <x:c r="F160" s="117"/>
      <x:c r="G160" s="117"/>
      <x:c r="H160" s="117"/>
      <x:c r="I160" s="117"/>
      <x:c r="J160" s="117"/>
      <x:c r="K160" s="117"/>
      <x:c r="L160" s="117"/>
      <x:c r="M160" s="117"/>
      <x:c r="N160" s="117"/>
      <x:c r="O160" s="117"/>
      <x:c r="P160" s="117"/>
      <x:c r="Q160" s="117"/>
      <x:c r="R160" s="117"/>
      <x:c r="S160" s="117"/>
      <x:c r="T160" s="117"/>
      <x:c r="U160" s="117"/>
      <x:c r="V160" s="117"/>
      <x:c r="W160" s="117"/>
      <x:c r="X160" s="117"/>
      <x:c r="Y160" s="117"/>
      <x:c r="Z160" s="117"/>
    </x:row>
    <x:row r="161">
      <x:c r="A161" s="117"/>
      <x:c r="B161" s="117"/>
      <x:c r="C161" s="117"/>
      <x:c r="D161" s="117"/>
      <x:c r="E161" s="117"/>
      <x:c r="F161" s="117"/>
      <x:c r="G161" s="117"/>
      <x:c r="H161" s="117"/>
      <x:c r="I161" s="117"/>
      <x:c r="J161" s="117"/>
      <x:c r="K161" s="117"/>
      <x:c r="L161" s="117"/>
      <x:c r="M161" s="117"/>
      <x:c r="N161" s="117"/>
      <x:c r="O161" s="117"/>
      <x:c r="P161" s="117"/>
      <x:c r="Q161" s="117"/>
      <x:c r="R161" s="117"/>
      <x:c r="S161" s="117"/>
      <x:c r="T161" s="117"/>
      <x:c r="U161" s="117"/>
      <x:c r="V161" s="117"/>
      <x:c r="W161" s="117"/>
      <x:c r="X161" s="117"/>
      <x:c r="Y161" s="117"/>
      <x:c r="Z161" s="117"/>
    </x:row>
    <x:row r="162">
      <x:c r="A162" s="117"/>
      <x:c r="B162" s="117"/>
      <x:c r="C162" s="117"/>
      <x:c r="D162" s="117"/>
      <x:c r="E162" s="117"/>
      <x:c r="F162" s="117"/>
      <x:c r="G162" s="117"/>
      <x:c r="H162" s="117"/>
      <x:c r="I162" s="117"/>
      <x:c r="J162" s="117"/>
      <x:c r="K162" s="117"/>
      <x:c r="L162" s="117"/>
      <x:c r="M162" s="117"/>
      <x:c r="N162" s="117"/>
      <x:c r="O162" s="117"/>
      <x:c r="P162" s="117"/>
      <x:c r="Q162" s="117"/>
      <x:c r="R162" s="117"/>
      <x:c r="S162" s="117"/>
      <x:c r="T162" s="117"/>
      <x:c r="U162" s="117"/>
      <x:c r="V162" s="117"/>
      <x:c r="W162" s="117"/>
      <x:c r="X162" s="117"/>
      <x:c r="Y162" s="117"/>
      <x:c r="Z162" s="117"/>
    </x:row>
    <x:row r="163">
      <x:c r="A163" s="117"/>
      <x:c r="B163" s="117"/>
      <x:c r="C163" s="117"/>
      <x:c r="D163" s="117"/>
      <x:c r="E163" s="117"/>
      <x:c r="F163" s="117"/>
      <x:c r="G163" s="117"/>
      <x:c r="H163" s="117"/>
      <x:c r="I163" s="117"/>
      <x:c r="J163" s="117"/>
      <x:c r="K163" s="117"/>
      <x:c r="L163" s="117"/>
      <x:c r="M163" s="117"/>
      <x:c r="N163" s="117"/>
      <x:c r="O163" s="117"/>
      <x:c r="P163" s="117"/>
      <x:c r="Q163" s="117"/>
      <x:c r="R163" s="117"/>
      <x:c r="S163" s="117"/>
      <x:c r="T163" s="117"/>
      <x:c r="U163" s="117"/>
      <x:c r="V163" s="117"/>
      <x:c r="W163" s="117"/>
      <x:c r="X163" s="117"/>
      <x:c r="Y163" s="117"/>
      <x:c r="Z163" s="117"/>
    </x:row>
    <x:row r="164">
      <x:c r="A164" s="117"/>
      <x:c r="B164" s="117"/>
      <x:c r="C164" s="117"/>
      <x:c r="D164" s="117"/>
      <x:c r="E164" s="117"/>
      <x:c r="F164" s="117"/>
      <x:c r="G164" s="117"/>
      <x:c r="H164" s="117"/>
      <x:c r="I164" s="117"/>
      <x:c r="J164" s="117"/>
      <x:c r="K164" s="117"/>
      <x:c r="L164" s="117"/>
      <x:c r="M164" s="117"/>
      <x:c r="N164" s="117"/>
      <x:c r="O164" s="117"/>
      <x:c r="P164" s="117"/>
      <x:c r="Q164" s="117"/>
      <x:c r="R164" s="117"/>
      <x:c r="S164" s="117"/>
      <x:c r="T164" s="117"/>
      <x:c r="U164" s="117"/>
      <x:c r="V164" s="117"/>
      <x:c r="W164" s="117"/>
      <x:c r="X164" s="117"/>
      <x:c r="Y164" s="117"/>
      <x:c r="Z164" s="117"/>
    </x:row>
    <x:row r="165">
      <x:c r="A165" s="117"/>
      <x:c r="B165" s="117"/>
      <x:c r="C165" s="117"/>
      <x:c r="D165" s="117"/>
      <x:c r="E165" s="117"/>
      <x:c r="F165" s="117"/>
      <x:c r="G165" s="117"/>
      <x:c r="H165" s="117"/>
      <x:c r="I165" s="117"/>
      <x:c r="J165" s="117"/>
      <x:c r="K165" s="117"/>
      <x:c r="L165" s="117"/>
      <x:c r="M165" s="117"/>
      <x:c r="N165" s="117"/>
      <x:c r="O165" s="117"/>
      <x:c r="P165" s="117"/>
      <x:c r="Q165" s="117"/>
      <x:c r="R165" s="117"/>
      <x:c r="S165" s="117"/>
      <x:c r="T165" s="117"/>
      <x:c r="U165" s="117"/>
      <x:c r="V165" s="117"/>
      <x:c r="W165" s="117"/>
      <x:c r="X165" s="117"/>
      <x:c r="Y165" s="117"/>
      <x:c r="Z165" s="117"/>
    </x:row>
    <x:row r="166">
      <x:c r="A166" s="117"/>
      <x:c r="B166" s="117"/>
      <x:c r="C166" s="117"/>
      <x:c r="D166" s="117"/>
      <x:c r="E166" s="117"/>
      <x:c r="F166" s="117"/>
      <x:c r="G166" s="117"/>
      <x:c r="H166" s="117"/>
      <x:c r="I166" s="117"/>
      <x:c r="J166" s="117"/>
      <x:c r="K166" s="117"/>
      <x:c r="L166" s="117"/>
      <x:c r="M166" s="117"/>
      <x:c r="N166" s="117"/>
      <x:c r="O166" s="117"/>
      <x:c r="P166" s="117"/>
      <x:c r="Q166" s="117"/>
      <x:c r="R166" s="117"/>
      <x:c r="S166" s="117"/>
      <x:c r="T166" s="117"/>
      <x:c r="U166" s="117"/>
      <x:c r="V166" s="117"/>
      <x:c r="W166" s="117"/>
      <x:c r="X166" s="117"/>
      <x:c r="Y166" s="117"/>
      <x:c r="Z166" s="117"/>
    </x:row>
    <x:row r="167">
      <x:c r="A167" s="117"/>
      <x:c r="B167" s="117"/>
      <x:c r="C167" s="117"/>
      <x:c r="D167" s="117"/>
      <x:c r="E167" s="117"/>
      <x:c r="F167" s="117"/>
      <x:c r="G167" s="117"/>
      <x:c r="H167" s="117"/>
      <x:c r="I167" s="117"/>
      <x:c r="J167" s="117"/>
      <x:c r="K167" s="117"/>
      <x:c r="L167" s="117"/>
      <x:c r="M167" s="117"/>
      <x:c r="N167" s="117"/>
      <x:c r="O167" s="117"/>
      <x:c r="P167" s="117"/>
      <x:c r="Q167" s="117"/>
      <x:c r="R167" s="117"/>
      <x:c r="S167" s="117"/>
      <x:c r="T167" s="117"/>
      <x:c r="U167" s="117"/>
      <x:c r="V167" s="117"/>
      <x:c r="W167" s="117"/>
      <x:c r="X167" s="117"/>
      <x:c r="Y167" s="117"/>
      <x:c r="Z167" s="117"/>
    </x:row>
    <x:row r="168">
      <x:c r="A168" s="117"/>
      <x:c r="B168" s="117"/>
      <x:c r="C168" s="117"/>
      <x:c r="D168" s="117"/>
      <x:c r="E168" s="117"/>
      <x:c r="F168" s="117"/>
      <x:c r="G168" s="117"/>
      <x:c r="H168" s="117"/>
      <x:c r="I168" s="117"/>
      <x:c r="J168" s="117"/>
      <x:c r="K168" s="117"/>
      <x:c r="L168" s="117"/>
      <x:c r="M168" s="117"/>
      <x:c r="N168" s="117"/>
      <x:c r="O168" s="117"/>
      <x:c r="P168" s="117"/>
      <x:c r="Q168" s="117"/>
      <x:c r="R168" s="117"/>
      <x:c r="S168" s="117"/>
      <x:c r="T168" s="117"/>
      <x:c r="U168" s="117"/>
      <x:c r="V168" s="117"/>
      <x:c r="W168" s="117"/>
      <x:c r="X168" s="117"/>
      <x:c r="Y168" s="117"/>
      <x:c r="Z168" s="117"/>
    </x:row>
    <x:row r="169">
      <x:c r="A169" s="117"/>
      <x:c r="B169" s="117"/>
      <x:c r="C169" s="117"/>
      <x:c r="D169" s="117"/>
      <x:c r="E169" s="117"/>
      <x:c r="F169" s="117"/>
      <x:c r="G169" s="117"/>
      <x:c r="H169" s="117"/>
      <x:c r="I169" s="117"/>
      <x:c r="J169" s="117"/>
      <x:c r="K169" s="117"/>
      <x:c r="L169" s="117"/>
      <x:c r="M169" s="117"/>
      <x:c r="N169" s="117"/>
      <x:c r="O169" s="117"/>
      <x:c r="P169" s="117"/>
      <x:c r="Q169" s="117"/>
      <x:c r="R169" s="117"/>
      <x:c r="S169" s="117"/>
      <x:c r="T169" s="117"/>
      <x:c r="U169" s="117"/>
      <x:c r="V169" s="117"/>
      <x:c r="W169" s="117"/>
      <x:c r="X169" s="117"/>
      <x:c r="Y169" s="117"/>
      <x:c r="Z169" s="117"/>
    </x:row>
    <x:row r="170">
      <x:c r="A170" s="117"/>
      <x:c r="B170" s="117"/>
      <x:c r="C170" s="117"/>
      <x:c r="D170" s="117"/>
      <x:c r="E170" s="117"/>
      <x:c r="F170" s="117"/>
      <x:c r="G170" s="117"/>
      <x:c r="H170" s="117"/>
      <x:c r="I170" s="117"/>
      <x:c r="J170" s="117"/>
      <x:c r="K170" s="117"/>
      <x:c r="L170" s="117"/>
      <x:c r="M170" s="117"/>
      <x:c r="N170" s="117"/>
      <x:c r="O170" s="117"/>
      <x:c r="P170" s="117"/>
      <x:c r="Q170" s="117"/>
      <x:c r="R170" s="117"/>
      <x:c r="S170" s="117"/>
      <x:c r="T170" s="117"/>
      <x:c r="U170" s="117"/>
      <x:c r="V170" s="117"/>
      <x:c r="W170" s="117"/>
      <x:c r="X170" s="117"/>
      <x:c r="Y170" s="117"/>
      <x:c r="Z170" s="117"/>
    </x:row>
    <x:row r="171">
      <x:c r="A171" s="117"/>
      <x:c r="B171" s="117"/>
      <x:c r="C171" s="117"/>
      <x:c r="D171" s="117"/>
      <x:c r="E171" s="117"/>
      <x:c r="F171" s="117"/>
      <x:c r="G171" s="117"/>
      <x:c r="H171" s="117"/>
      <x:c r="I171" s="117"/>
      <x:c r="J171" s="117"/>
      <x:c r="K171" s="117"/>
      <x:c r="L171" s="117"/>
      <x:c r="M171" s="117"/>
      <x:c r="N171" s="117"/>
      <x:c r="O171" s="117"/>
      <x:c r="P171" s="117"/>
      <x:c r="Q171" s="117"/>
      <x:c r="R171" s="117"/>
      <x:c r="S171" s="117"/>
      <x:c r="T171" s="117"/>
      <x:c r="U171" s="117"/>
      <x:c r="V171" s="117"/>
      <x:c r="W171" s="117"/>
      <x:c r="X171" s="117"/>
      <x:c r="Y171" s="117"/>
      <x:c r="Z171" s="117"/>
    </x:row>
    <x:row r="172">
      <x:c r="A172" s="117"/>
      <x:c r="B172" s="117"/>
      <x:c r="C172" s="117"/>
      <x:c r="D172" s="117"/>
      <x:c r="E172" s="117"/>
      <x:c r="F172" s="117"/>
      <x:c r="G172" s="117"/>
      <x:c r="H172" s="117"/>
      <x:c r="I172" s="117"/>
      <x:c r="J172" s="117"/>
      <x:c r="K172" s="117"/>
      <x:c r="L172" s="117"/>
      <x:c r="M172" s="117"/>
      <x:c r="N172" s="117"/>
      <x:c r="O172" s="117"/>
      <x:c r="P172" s="117"/>
      <x:c r="Q172" s="117"/>
      <x:c r="R172" s="117"/>
      <x:c r="S172" s="117"/>
      <x:c r="T172" s="117"/>
      <x:c r="U172" s="117"/>
      <x:c r="V172" s="117"/>
      <x:c r="W172" s="117"/>
      <x:c r="X172" s="117"/>
      <x:c r="Y172" s="117"/>
      <x:c r="Z172" s="117"/>
    </x:row>
    <x:row r="173">
      <x:c r="A173" s="117"/>
      <x:c r="B173" s="117"/>
      <x:c r="C173" s="117"/>
      <x:c r="D173" s="117"/>
      <x:c r="E173" s="117"/>
      <x:c r="F173" s="117"/>
      <x:c r="G173" s="117"/>
      <x:c r="H173" s="117"/>
      <x:c r="I173" s="117"/>
      <x:c r="J173" s="117"/>
      <x:c r="K173" s="117"/>
      <x:c r="L173" s="117"/>
      <x:c r="M173" s="117"/>
      <x:c r="N173" s="117"/>
      <x:c r="O173" s="117"/>
      <x:c r="P173" s="117"/>
      <x:c r="Q173" s="117"/>
      <x:c r="R173" s="117"/>
      <x:c r="S173" s="117"/>
      <x:c r="T173" s="117"/>
      <x:c r="U173" s="117"/>
      <x:c r="V173" s="117"/>
      <x:c r="W173" s="117"/>
      <x:c r="X173" s="117"/>
      <x:c r="Y173" s="117"/>
      <x:c r="Z173" s="117"/>
    </x:row>
    <x:row r="174">
      <x:c r="A174" s="117"/>
      <x:c r="B174" s="117"/>
      <x:c r="C174" s="117"/>
      <x:c r="D174" s="117"/>
      <x:c r="E174" s="117"/>
      <x:c r="F174" s="117"/>
      <x:c r="G174" s="117"/>
      <x:c r="H174" s="117"/>
      <x:c r="I174" s="117"/>
      <x:c r="J174" s="117"/>
      <x:c r="K174" s="117"/>
      <x:c r="L174" s="117"/>
      <x:c r="M174" s="117"/>
      <x:c r="N174" s="117"/>
      <x:c r="O174" s="117"/>
      <x:c r="P174" s="117"/>
      <x:c r="Q174" s="117"/>
      <x:c r="R174" s="117"/>
      <x:c r="S174" s="117"/>
      <x:c r="T174" s="117"/>
      <x:c r="U174" s="117"/>
      <x:c r="V174" s="117"/>
      <x:c r="W174" s="117"/>
      <x:c r="X174" s="117"/>
      <x:c r="Y174" s="117"/>
      <x:c r="Z174" s="117"/>
    </x:row>
    <x:row r="175">
      <x:c r="A175" s="117"/>
      <x:c r="B175" s="117"/>
      <x:c r="C175" s="117"/>
      <x:c r="D175" s="117"/>
      <x:c r="E175" s="117"/>
      <x:c r="F175" s="117"/>
      <x:c r="G175" s="117"/>
      <x:c r="H175" s="117"/>
      <x:c r="I175" s="117"/>
      <x:c r="J175" s="117"/>
      <x:c r="K175" s="117"/>
      <x:c r="L175" s="117"/>
      <x:c r="M175" s="117"/>
      <x:c r="N175" s="117"/>
      <x:c r="O175" s="117"/>
      <x:c r="P175" s="117"/>
      <x:c r="Q175" s="117"/>
      <x:c r="R175" s="117"/>
      <x:c r="S175" s="117"/>
      <x:c r="T175" s="117"/>
      <x:c r="U175" s="117"/>
      <x:c r="V175" s="117"/>
      <x:c r="W175" s="117"/>
      <x:c r="X175" s="117"/>
      <x:c r="Y175" s="117"/>
      <x:c r="Z175" s="117"/>
    </x:row>
    <x:row r="176">
      <x:c r="A176" s="117"/>
      <x:c r="B176" s="117"/>
      <x:c r="C176" s="117"/>
      <x:c r="D176" s="117"/>
      <x:c r="E176" s="117"/>
      <x:c r="F176" s="117"/>
      <x:c r="G176" s="117"/>
      <x:c r="H176" s="117"/>
      <x:c r="I176" s="117"/>
      <x:c r="J176" s="117"/>
      <x:c r="K176" s="117"/>
      <x:c r="L176" s="117"/>
      <x:c r="M176" s="117"/>
      <x:c r="N176" s="117"/>
      <x:c r="O176" s="117"/>
      <x:c r="P176" s="117"/>
      <x:c r="Q176" s="117"/>
      <x:c r="R176" s="117"/>
      <x:c r="S176" s="117"/>
      <x:c r="T176" s="117"/>
      <x:c r="U176" s="117"/>
      <x:c r="V176" s="117"/>
      <x:c r="W176" s="117"/>
      <x:c r="X176" s="117"/>
      <x:c r="Y176" s="117"/>
      <x:c r="Z176" s="117"/>
    </x:row>
    <x:row r="177">
      <x:c r="A177" s="117"/>
      <x:c r="B177" s="117"/>
      <x:c r="C177" s="117"/>
      <x:c r="D177" s="117"/>
      <x:c r="E177" s="117"/>
      <x:c r="F177" s="117"/>
      <x:c r="G177" s="117"/>
      <x:c r="H177" s="117"/>
      <x:c r="I177" s="117"/>
      <x:c r="J177" s="117"/>
      <x:c r="K177" s="117"/>
      <x:c r="L177" s="117"/>
      <x:c r="M177" s="117"/>
      <x:c r="N177" s="117"/>
      <x:c r="O177" s="117"/>
      <x:c r="P177" s="117"/>
      <x:c r="Q177" s="117"/>
      <x:c r="R177" s="117"/>
      <x:c r="S177" s="117"/>
      <x:c r="T177" s="117"/>
      <x:c r="U177" s="117"/>
      <x:c r="V177" s="117"/>
      <x:c r="W177" s="117"/>
      <x:c r="X177" s="117"/>
      <x:c r="Y177" s="117"/>
      <x:c r="Z177" s="117"/>
    </x:row>
    <x:row r="178">
      <x:c r="A178" s="117"/>
      <x:c r="B178" s="117"/>
      <x:c r="C178" s="117"/>
      <x:c r="D178" s="117"/>
      <x:c r="E178" s="117"/>
      <x:c r="F178" s="117"/>
      <x:c r="G178" s="117"/>
      <x:c r="H178" s="117"/>
      <x:c r="I178" s="117"/>
      <x:c r="J178" s="117"/>
      <x:c r="K178" s="117"/>
      <x:c r="L178" s="117"/>
      <x:c r="M178" s="117"/>
      <x:c r="N178" s="117"/>
      <x:c r="O178" s="117"/>
      <x:c r="P178" s="117"/>
      <x:c r="Q178" s="117"/>
      <x:c r="R178" s="117"/>
      <x:c r="S178" s="117"/>
      <x:c r="T178" s="117"/>
      <x:c r="U178" s="117"/>
      <x:c r="V178" s="117"/>
      <x:c r="W178" s="117"/>
      <x:c r="X178" s="117"/>
      <x:c r="Y178" s="117"/>
      <x:c r="Z178" s="117"/>
    </x:row>
    <x:row r="179">
      <x:c r="A179" s="117"/>
      <x:c r="B179" s="117"/>
      <x:c r="C179" s="117"/>
      <x:c r="D179" s="117"/>
      <x:c r="E179" s="117"/>
      <x:c r="F179" s="117"/>
      <x:c r="G179" s="117"/>
      <x:c r="H179" s="117"/>
      <x:c r="I179" s="117"/>
      <x:c r="J179" s="117"/>
      <x:c r="K179" s="117"/>
      <x:c r="L179" s="117"/>
      <x:c r="M179" s="117"/>
      <x:c r="N179" s="117"/>
      <x:c r="O179" s="117"/>
      <x:c r="P179" s="117"/>
      <x:c r="Q179" s="117"/>
      <x:c r="R179" s="117"/>
      <x:c r="S179" s="117"/>
      <x:c r="T179" s="117"/>
      <x:c r="U179" s="117"/>
      <x:c r="V179" s="117"/>
      <x:c r="W179" s="117"/>
      <x:c r="X179" s="117"/>
      <x:c r="Y179" s="117"/>
      <x:c r="Z179" s="117"/>
    </x:row>
    <x:row r="180">
      <x:c r="A180" s="117"/>
      <x:c r="B180" s="117"/>
      <x:c r="C180" s="117"/>
      <x:c r="D180" s="117"/>
      <x:c r="E180" s="117"/>
      <x:c r="F180" s="117"/>
      <x:c r="G180" s="117"/>
      <x:c r="H180" s="117"/>
      <x:c r="I180" s="117"/>
      <x:c r="J180" s="117"/>
      <x:c r="K180" s="117"/>
      <x:c r="L180" s="117"/>
      <x:c r="M180" s="117"/>
      <x:c r="N180" s="117"/>
      <x:c r="O180" s="117"/>
      <x:c r="P180" s="117"/>
      <x:c r="Q180" s="117"/>
      <x:c r="R180" s="117"/>
      <x:c r="S180" s="117"/>
      <x:c r="T180" s="117"/>
      <x:c r="U180" s="117"/>
      <x:c r="V180" s="117"/>
      <x:c r="W180" s="117"/>
      <x:c r="X180" s="117"/>
      <x:c r="Y180" s="117"/>
      <x:c r="Z180" s="117"/>
    </x:row>
    <x:row r="181">
      <x:c r="A181" s="117"/>
      <x:c r="B181" s="117"/>
      <x:c r="C181" s="117"/>
      <x:c r="D181" s="117"/>
      <x:c r="E181" s="117"/>
      <x:c r="F181" s="117"/>
      <x:c r="G181" s="117"/>
      <x:c r="H181" s="117"/>
      <x:c r="I181" s="117"/>
      <x:c r="J181" s="117"/>
      <x:c r="K181" s="117"/>
      <x:c r="L181" s="117"/>
      <x:c r="M181" s="117"/>
      <x:c r="N181" s="117"/>
      <x:c r="O181" s="117"/>
      <x:c r="P181" s="117"/>
      <x:c r="Q181" s="117"/>
      <x:c r="R181" s="117"/>
      <x:c r="S181" s="117"/>
      <x:c r="T181" s="117"/>
      <x:c r="U181" s="117"/>
      <x:c r="V181" s="117"/>
      <x:c r="W181" s="117"/>
      <x:c r="X181" s="117"/>
      <x:c r="Y181" s="117"/>
      <x:c r="Z181" s="117"/>
    </x:row>
    <x:row r="182">
      <x:c r="A182" s="117"/>
      <x:c r="B182" s="117"/>
      <x:c r="C182" s="117"/>
      <x:c r="D182" s="117"/>
      <x:c r="E182" s="117"/>
      <x:c r="F182" s="117"/>
      <x:c r="G182" s="117"/>
      <x:c r="H182" s="117"/>
      <x:c r="I182" s="117"/>
      <x:c r="J182" s="117"/>
      <x:c r="K182" s="117"/>
      <x:c r="L182" s="117"/>
      <x:c r="M182" s="117"/>
      <x:c r="N182" s="117"/>
      <x:c r="O182" s="117"/>
      <x:c r="P182" s="117"/>
      <x:c r="Q182" s="117"/>
      <x:c r="R182" s="117"/>
      <x:c r="S182" s="117"/>
      <x:c r="T182" s="117"/>
      <x:c r="U182" s="117"/>
      <x:c r="V182" s="117"/>
      <x:c r="W182" s="117"/>
      <x:c r="X182" s="117"/>
      <x:c r="Y182" s="117"/>
      <x:c r="Z182" s="117"/>
    </x:row>
    <x:row r="183">
      <x:c r="A183" s="117"/>
      <x:c r="B183" s="117"/>
      <x:c r="C183" s="117"/>
      <x:c r="D183" s="117"/>
      <x:c r="E183" s="117"/>
      <x:c r="F183" s="117"/>
      <x:c r="G183" s="117"/>
      <x:c r="H183" s="117"/>
      <x:c r="I183" s="117"/>
      <x:c r="J183" s="117"/>
      <x:c r="K183" s="117"/>
      <x:c r="L183" s="117"/>
      <x:c r="M183" s="117"/>
      <x:c r="N183" s="117"/>
      <x:c r="O183" s="117"/>
      <x:c r="P183" s="117"/>
      <x:c r="Q183" s="117"/>
      <x:c r="R183" s="117"/>
      <x:c r="S183" s="117"/>
      <x:c r="T183" s="117"/>
      <x:c r="U183" s="117"/>
      <x:c r="V183" s="117"/>
      <x:c r="W183" s="117"/>
      <x:c r="X183" s="117"/>
      <x:c r="Y183" s="117"/>
      <x:c r="Z183" s="117"/>
    </x:row>
    <x:row r="184">
      <x:c r="A184" s="117"/>
      <x:c r="B184" s="117"/>
      <x:c r="C184" s="117"/>
      <x:c r="D184" s="117"/>
      <x:c r="E184" s="117"/>
      <x:c r="F184" s="117"/>
      <x:c r="G184" s="117"/>
      <x:c r="H184" s="117"/>
      <x:c r="I184" s="117"/>
      <x:c r="J184" s="117"/>
      <x:c r="K184" s="117"/>
      <x:c r="L184" s="117"/>
      <x:c r="M184" s="117"/>
      <x:c r="N184" s="117"/>
      <x:c r="O184" s="117"/>
      <x:c r="P184" s="117"/>
      <x:c r="Q184" s="117"/>
      <x:c r="R184" s="117"/>
      <x:c r="S184" s="117"/>
      <x:c r="T184" s="117"/>
      <x:c r="U184" s="117"/>
      <x:c r="V184" s="117"/>
      <x:c r="W184" s="117"/>
      <x:c r="X184" s="117"/>
      <x:c r="Y184" s="117"/>
      <x:c r="Z184" s="117"/>
    </x:row>
    <x:row r="185">
      <x:c r="A185" s="117"/>
      <x:c r="B185" s="117"/>
      <x:c r="C185" s="117"/>
      <x:c r="D185" s="117"/>
      <x:c r="E185" s="117"/>
      <x:c r="F185" s="117"/>
      <x:c r="G185" s="117"/>
      <x:c r="H185" s="117"/>
      <x:c r="I185" s="117"/>
      <x:c r="J185" s="117"/>
      <x:c r="K185" s="117"/>
      <x:c r="L185" s="117"/>
      <x:c r="M185" s="117"/>
      <x:c r="N185" s="117"/>
      <x:c r="O185" s="117"/>
      <x:c r="P185" s="117"/>
      <x:c r="Q185" s="117"/>
      <x:c r="R185" s="117"/>
      <x:c r="S185" s="117"/>
      <x:c r="T185" s="117"/>
      <x:c r="U185" s="117"/>
      <x:c r="V185" s="117"/>
      <x:c r="W185" s="117"/>
      <x:c r="X185" s="117"/>
      <x:c r="Y185" s="117"/>
      <x:c r="Z185" s="117"/>
    </x:row>
    <x:row r="186">
      <x:c r="A186" s="117"/>
      <x:c r="B186" s="117"/>
      <x:c r="C186" s="117"/>
      <x:c r="D186" s="117"/>
      <x:c r="E186" s="117"/>
      <x:c r="F186" s="117"/>
      <x:c r="G186" s="117"/>
      <x:c r="H186" s="117"/>
      <x:c r="I186" s="117"/>
      <x:c r="J186" s="117"/>
      <x:c r="K186" s="117"/>
      <x:c r="L186" s="117"/>
      <x:c r="M186" s="117"/>
      <x:c r="N186" s="117"/>
      <x:c r="O186" s="117"/>
      <x:c r="P186" s="117"/>
      <x:c r="Q186" s="117"/>
      <x:c r="R186" s="117"/>
      <x:c r="S186" s="117"/>
      <x:c r="T186" s="117"/>
      <x:c r="U186" s="117"/>
      <x:c r="V186" s="117"/>
      <x:c r="W186" s="117"/>
      <x:c r="X186" s="117"/>
      <x:c r="Y186" s="117"/>
      <x:c r="Z186" s="117"/>
    </x:row>
    <x:row r="187">
      <x:c r="A187" s="117"/>
      <x:c r="B187" s="117"/>
      <x:c r="C187" s="117"/>
      <x:c r="D187" s="117"/>
      <x:c r="E187" s="117"/>
      <x:c r="F187" s="117"/>
      <x:c r="G187" s="117"/>
      <x:c r="H187" s="117"/>
      <x:c r="I187" s="117"/>
      <x:c r="J187" s="117"/>
      <x:c r="K187" s="117"/>
      <x:c r="L187" s="117"/>
      <x:c r="M187" s="117"/>
      <x:c r="N187" s="117"/>
      <x:c r="O187" s="117"/>
      <x:c r="P187" s="117"/>
      <x:c r="Q187" s="117"/>
      <x:c r="R187" s="117"/>
      <x:c r="S187" s="117"/>
      <x:c r="T187" s="117"/>
      <x:c r="U187" s="117"/>
      <x:c r="V187" s="117"/>
      <x:c r="W187" s="117"/>
      <x:c r="X187" s="117"/>
      <x:c r="Y187" s="117"/>
      <x:c r="Z187" s="117"/>
    </x:row>
    <x:row r="188">
      <x:c r="A188" s="117"/>
      <x:c r="B188" s="117"/>
      <x:c r="C188" s="117"/>
      <x:c r="D188" s="117"/>
      <x:c r="E188" s="117"/>
      <x:c r="F188" s="117"/>
      <x:c r="G188" s="117"/>
      <x:c r="H188" s="117"/>
      <x:c r="I188" s="117"/>
      <x:c r="J188" s="117"/>
      <x:c r="K188" s="117"/>
      <x:c r="L188" s="117"/>
      <x:c r="M188" s="117"/>
      <x:c r="N188" s="117"/>
      <x:c r="O188" s="117"/>
      <x:c r="P188" s="117"/>
      <x:c r="Q188" s="117"/>
      <x:c r="R188" s="117"/>
      <x:c r="S188" s="117"/>
      <x:c r="T188" s="117"/>
      <x:c r="U188" s="117"/>
      <x:c r="V188" s="117"/>
      <x:c r="W188" s="117"/>
      <x:c r="X188" s="117"/>
      <x:c r="Y188" s="117"/>
      <x:c r="Z188" s="117"/>
    </x:row>
    <x:row r="189">
      <x:c r="A189" s="117"/>
      <x:c r="B189" s="117"/>
      <x:c r="C189" s="117"/>
      <x:c r="D189" s="117"/>
      <x:c r="E189" s="117"/>
      <x:c r="F189" s="117"/>
      <x:c r="G189" s="117"/>
      <x:c r="H189" s="117"/>
      <x:c r="I189" s="117"/>
      <x:c r="J189" s="117"/>
      <x:c r="K189" s="117"/>
      <x:c r="L189" s="117"/>
      <x:c r="M189" s="117"/>
      <x:c r="N189" s="117"/>
      <x:c r="O189" s="117"/>
      <x:c r="P189" s="117"/>
      <x:c r="Q189" s="117"/>
      <x:c r="R189" s="117"/>
      <x:c r="S189" s="117"/>
      <x:c r="T189" s="117"/>
      <x:c r="U189" s="117"/>
      <x:c r="V189" s="117"/>
      <x:c r="W189" s="117"/>
      <x:c r="X189" s="117"/>
      <x:c r="Y189" s="117"/>
      <x:c r="Z189" s="117"/>
    </x:row>
    <x:row r="190">
      <x:c r="A190" s="117"/>
      <x:c r="B190" s="117"/>
      <x:c r="C190" s="117"/>
      <x:c r="D190" s="117"/>
      <x:c r="E190" s="117"/>
      <x:c r="F190" s="117"/>
      <x:c r="G190" s="117"/>
      <x:c r="H190" s="117"/>
      <x:c r="I190" s="117"/>
      <x:c r="J190" s="117"/>
      <x:c r="K190" s="117"/>
      <x:c r="L190" s="117"/>
      <x:c r="M190" s="117"/>
      <x:c r="N190" s="117"/>
      <x:c r="O190" s="117"/>
      <x:c r="P190" s="117"/>
      <x:c r="Q190" s="117"/>
      <x:c r="R190" s="117"/>
      <x:c r="S190" s="117"/>
      <x:c r="T190" s="117"/>
      <x:c r="U190" s="117"/>
      <x:c r="V190" s="117"/>
      <x:c r="W190" s="117"/>
      <x:c r="X190" s="117"/>
      <x:c r="Y190" s="117"/>
      <x:c r="Z190" s="117"/>
    </x:row>
    <x:row r="191">
      <x:c r="A191" s="117"/>
      <x:c r="B191" s="117"/>
      <x:c r="C191" s="117"/>
      <x:c r="D191" s="117"/>
      <x:c r="E191" s="117"/>
      <x:c r="F191" s="117"/>
      <x:c r="G191" s="117"/>
      <x:c r="H191" s="117"/>
      <x:c r="I191" s="117"/>
      <x:c r="J191" s="117"/>
      <x:c r="K191" s="117"/>
      <x:c r="L191" s="117"/>
      <x:c r="M191" s="117"/>
      <x:c r="N191" s="117"/>
      <x:c r="O191" s="117"/>
      <x:c r="P191" s="117"/>
      <x:c r="Q191" s="117"/>
      <x:c r="R191" s="117"/>
      <x:c r="S191" s="117"/>
      <x:c r="T191" s="117"/>
      <x:c r="U191" s="117"/>
      <x:c r="V191" s="117"/>
      <x:c r="W191" s="117"/>
      <x:c r="X191" s="117"/>
      <x:c r="Y191" s="117"/>
      <x:c r="Z191" s="117"/>
    </x:row>
    <x:row r="192">
      <x:c r="A192" s="117"/>
      <x:c r="B192" s="117"/>
      <x:c r="C192" s="117"/>
      <x:c r="D192" s="117"/>
      <x:c r="E192" s="117"/>
      <x:c r="F192" s="117"/>
      <x:c r="G192" s="117"/>
      <x:c r="H192" s="117"/>
      <x:c r="I192" s="117"/>
      <x:c r="J192" s="117"/>
      <x:c r="K192" s="117"/>
      <x:c r="L192" s="117"/>
      <x:c r="M192" s="117"/>
      <x:c r="N192" s="117"/>
      <x:c r="O192" s="117"/>
      <x:c r="P192" s="117"/>
      <x:c r="Q192" s="117"/>
      <x:c r="R192" s="117"/>
      <x:c r="S192" s="117"/>
      <x:c r="T192" s="117"/>
      <x:c r="U192" s="117"/>
      <x:c r="V192" s="117"/>
      <x:c r="W192" s="117"/>
      <x:c r="X192" s="117"/>
      <x:c r="Y192" s="117"/>
      <x:c r="Z192" s="117"/>
    </x:row>
    <x:row r="193">
      <x:c r="A193" s="117"/>
      <x:c r="B193" s="117"/>
      <x:c r="C193" s="117"/>
      <x:c r="D193" s="117"/>
      <x:c r="E193" s="117"/>
      <x:c r="F193" s="117"/>
      <x:c r="G193" s="117"/>
      <x:c r="H193" s="117"/>
      <x:c r="I193" s="117"/>
      <x:c r="J193" s="117"/>
      <x:c r="K193" s="117"/>
      <x:c r="L193" s="117"/>
      <x:c r="M193" s="117"/>
      <x:c r="N193" s="117"/>
      <x:c r="O193" s="117"/>
      <x:c r="P193" s="117"/>
      <x:c r="Q193" s="117"/>
      <x:c r="R193" s="117"/>
      <x:c r="S193" s="117"/>
      <x:c r="T193" s="117"/>
      <x:c r="U193" s="117"/>
      <x:c r="V193" s="117"/>
      <x:c r="W193" s="117"/>
      <x:c r="X193" s="117"/>
      <x:c r="Y193" s="117"/>
      <x:c r="Z193" s="117"/>
    </x:row>
    <x:row r="194">
      <x:c r="A194" s="117"/>
      <x:c r="B194" s="117"/>
      <x:c r="C194" s="117"/>
      <x:c r="D194" s="117"/>
      <x:c r="E194" s="117"/>
      <x:c r="F194" s="117"/>
      <x:c r="G194" s="117"/>
      <x:c r="H194" s="117"/>
      <x:c r="I194" s="117"/>
      <x:c r="J194" s="117"/>
      <x:c r="K194" s="117"/>
      <x:c r="L194" s="117"/>
      <x:c r="M194" s="117"/>
      <x:c r="N194" s="117"/>
      <x:c r="O194" s="117"/>
      <x:c r="P194" s="117"/>
      <x:c r="Q194" s="117"/>
      <x:c r="R194" s="117"/>
      <x:c r="S194" s="117"/>
      <x:c r="T194" s="117"/>
      <x:c r="U194" s="117"/>
      <x:c r="V194" s="117"/>
      <x:c r="W194" s="117"/>
      <x:c r="X194" s="117"/>
      <x:c r="Y194" s="117"/>
      <x:c r="Z194" s="117"/>
    </x:row>
    <x:row r="195">
      <x:c r="A195" s="117"/>
      <x:c r="B195" s="117"/>
      <x:c r="C195" s="117"/>
      <x:c r="D195" s="117"/>
      <x:c r="E195" s="117"/>
      <x:c r="F195" s="117"/>
      <x:c r="G195" s="117"/>
      <x:c r="H195" s="117"/>
      <x:c r="I195" s="117"/>
      <x:c r="J195" s="117"/>
      <x:c r="K195" s="117"/>
      <x:c r="L195" s="117"/>
      <x:c r="M195" s="117"/>
      <x:c r="N195" s="117"/>
      <x:c r="O195" s="117"/>
      <x:c r="P195" s="117"/>
      <x:c r="Q195" s="117"/>
      <x:c r="R195" s="117"/>
      <x:c r="S195" s="117"/>
      <x:c r="T195" s="117"/>
      <x:c r="U195" s="117"/>
      <x:c r="V195" s="117"/>
      <x:c r="W195" s="117"/>
      <x:c r="X195" s="117"/>
      <x:c r="Y195" s="117"/>
      <x:c r="Z195" s="117"/>
    </x:row>
    <x:row r="196">
      <x:c r="A196" s="117"/>
      <x:c r="B196" s="117"/>
      <x:c r="C196" s="117"/>
      <x:c r="D196" s="117"/>
      <x:c r="E196" s="117"/>
      <x:c r="F196" s="117"/>
      <x:c r="G196" s="117"/>
      <x:c r="H196" s="117"/>
      <x:c r="I196" s="117"/>
      <x:c r="J196" s="117"/>
      <x:c r="K196" s="117"/>
      <x:c r="L196" s="117"/>
      <x:c r="M196" s="117"/>
      <x:c r="N196" s="117"/>
      <x:c r="O196" s="117"/>
      <x:c r="P196" s="117"/>
      <x:c r="Q196" s="117"/>
      <x:c r="R196" s="117"/>
      <x:c r="S196" s="117"/>
      <x:c r="T196" s="117"/>
      <x:c r="U196" s="117"/>
      <x:c r="V196" s="117"/>
      <x:c r="W196" s="117"/>
      <x:c r="X196" s="117"/>
      <x:c r="Y196" s="117"/>
      <x:c r="Z196" s="117"/>
    </x:row>
    <x:row r="197">
      <x:c r="A197" s="117"/>
      <x:c r="B197" s="117"/>
      <x:c r="C197" s="117"/>
      <x:c r="D197" s="117"/>
      <x:c r="E197" s="117"/>
      <x:c r="F197" s="117"/>
      <x:c r="G197" s="117"/>
      <x:c r="H197" s="117"/>
      <x:c r="I197" s="117"/>
      <x:c r="J197" s="117"/>
      <x:c r="K197" s="117"/>
      <x:c r="L197" s="117"/>
      <x:c r="M197" s="117"/>
      <x:c r="N197" s="117"/>
      <x:c r="O197" s="117"/>
      <x:c r="P197" s="117"/>
      <x:c r="Q197" s="117"/>
      <x:c r="R197" s="117"/>
      <x:c r="S197" s="117"/>
      <x:c r="T197" s="117"/>
      <x:c r="U197" s="117"/>
      <x:c r="V197" s="117"/>
      <x:c r="W197" s="117"/>
      <x:c r="X197" s="117"/>
      <x:c r="Y197" s="117"/>
      <x:c r="Z197" s="117"/>
    </x:row>
    <x:row r="198">
      <x:c r="A198" s="117"/>
      <x:c r="B198" s="117"/>
      <x:c r="C198" s="117"/>
      <x:c r="D198" s="117"/>
      <x:c r="E198" s="117"/>
      <x:c r="F198" s="117"/>
      <x:c r="G198" s="117"/>
      <x:c r="H198" s="117"/>
      <x:c r="I198" s="117"/>
      <x:c r="J198" s="117"/>
      <x:c r="K198" s="117"/>
      <x:c r="L198" s="117"/>
      <x:c r="M198" s="117"/>
      <x:c r="N198" s="117"/>
      <x:c r="O198" s="117"/>
      <x:c r="P198" s="117"/>
      <x:c r="Q198" s="117"/>
      <x:c r="R198" s="117"/>
      <x:c r="S198" s="117"/>
      <x:c r="T198" s="117"/>
      <x:c r="U198" s="117"/>
      <x:c r="V198" s="117"/>
      <x:c r="W198" s="117"/>
      <x:c r="X198" s="117"/>
      <x:c r="Y198" s="117"/>
      <x:c r="Z198" s="117"/>
    </x:row>
    <x:row r="199">
      <x:c r="A199" s="117"/>
      <x:c r="B199" s="117"/>
      <x:c r="C199" s="117"/>
      <x:c r="D199" s="117"/>
      <x:c r="E199" s="117"/>
      <x:c r="F199" s="117"/>
      <x:c r="G199" s="117"/>
      <x:c r="H199" s="117"/>
      <x:c r="I199" s="117"/>
      <x:c r="J199" s="117"/>
      <x:c r="K199" s="117"/>
      <x:c r="L199" s="117"/>
      <x:c r="M199" s="117"/>
      <x:c r="N199" s="117"/>
      <x:c r="O199" s="117"/>
      <x:c r="P199" s="117"/>
      <x:c r="Q199" s="117"/>
      <x:c r="R199" s="117"/>
      <x:c r="S199" s="117"/>
      <x:c r="T199" s="117"/>
      <x:c r="U199" s="117"/>
      <x:c r="V199" s="117"/>
      <x:c r="W199" s="117"/>
      <x:c r="X199" s="117"/>
      <x:c r="Y199" s="117"/>
      <x:c r="Z199" s="117"/>
    </x:row>
    <x:row r="200">
      <x:c r="A200" s="117"/>
      <x:c r="B200" s="117"/>
      <x:c r="C200" s="117"/>
      <x:c r="D200" s="117"/>
      <x:c r="E200" s="117"/>
      <x:c r="F200" s="117"/>
      <x:c r="G200" s="117"/>
      <x:c r="H200" s="117"/>
      <x:c r="I200" s="117"/>
      <x:c r="J200" s="117"/>
      <x:c r="K200" s="117"/>
      <x:c r="L200" s="117"/>
      <x:c r="M200" s="117"/>
      <x:c r="N200" s="117"/>
      <x:c r="O200" s="117"/>
      <x:c r="P200" s="117"/>
      <x:c r="Q200" s="117"/>
      <x:c r="R200" s="117"/>
      <x:c r="S200" s="117"/>
      <x:c r="T200" s="117"/>
      <x:c r="U200" s="117"/>
      <x:c r="V200" s="117"/>
      <x:c r="W200" s="117"/>
      <x:c r="X200" s="117"/>
      <x:c r="Y200" s="117"/>
      <x:c r="Z200" s="117"/>
    </x:row>
  </x:sheetData>
  <x:mergeCells>
    <x:mergeCell ref="A1:N1"/>
    <x:mergeCell ref="A2:N2"/>
  </x:mergeCells>
  <x:conditionalFormatting sqref="N5:N67">
    <x:cfRule type="expression" dxfId="4" priority="1">
      <x:formula>N5="確定候補"</x:formula>
    </x:cfRule>
    <x:cfRule type="expression" dxfId="5" priority="2">
      <x:formula>N5="骨格"</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s>
  <x:sheetData>
    <x:row r="1" ht="28" customHeight="1">
      <x:c r="A1" s="116" t="str">
        <x:v>02_回答選択肢</x:v>
      </x:c>
      <x:c r="B1" s="116"/>
      <x:c r="C1" s="116"/>
      <x:c r="D1" s="116"/>
      <x:c r="E1" s="116"/>
      <x:c r="F1" s="116"/>
      <x:c r="G1" s="116"/>
      <x:c r="H1" s="117"/>
      <x:c r="I1" s="117"/>
      <x:c r="J1" s="117"/>
      <x:c r="K1" s="117"/>
      <x:c r="L1" s="117"/>
      <x:c r="M1" s="117"/>
      <x:c r="N1" s="117"/>
      <x:c r="O1" s="117"/>
      <x:c r="P1" s="117"/>
      <x:c r="Q1" s="117"/>
      <x:c r="R1" s="117"/>
      <x:c r="S1" s="117"/>
      <x:c r="T1" s="117"/>
      <x:c r="U1" s="117"/>
      <x:c r="V1" s="117"/>
      <x:c r="W1" s="117"/>
      <x:c r="X1" s="117"/>
      <x:c r="Y1" s="117"/>
      <x:c r="Z1" s="117"/>
    </x:row>
    <x:row r="2" ht="34" customHeight="1">
      <x:c r="A2" s="118" t="str">
        <x:v>Version0.1 初期構造。08の逆算結果に従い次工程で詳細化。</x:v>
      </x:c>
      <x:c r="B2" s="118"/>
      <x:c r="C2" s="118"/>
      <x:c r="D2" s="118"/>
      <x:c r="E2" s="118"/>
      <x:c r="F2" s="118"/>
      <x:c r="G2" s="118"/>
      <x:c r="H2" s="117"/>
      <x:c r="I2" s="117"/>
      <x:c r="J2" s="117"/>
      <x:c r="K2" s="117"/>
      <x:c r="L2" s="117"/>
      <x:c r="M2" s="117"/>
      <x:c r="N2" s="117"/>
      <x:c r="O2" s="117"/>
      <x:c r="P2" s="117"/>
      <x:c r="Q2" s="117"/>
      <x:c r="R2" s="117"/>
      <x:c r="S2" s="117"/>
      <x:c r="T2" s="117"/>
      <x:c r="U2" s="117"/>
      <x:c r="V2" s="117"/>
      <x:c r="W2" s="117"/>
      <x:c r="X2" s="117"/>
      <x:c r="Y2" s="117"/>
      <x:c r="Z2" s="117"/>
    </x:row>
    <x:row r="3">
      <x:c r="A3" s="117"/>
      <x:c r="B3" s="117"/>
      <x:c r="C3" s="117"/>
      <x:c r="D3" s="117"/>
      <x:c r="E3" s="117"/>
      <x:c r="F3" s="117"/>
      <x:c r="G3" s="117"/>
      <x:c r="H3" s="117"/>
      <x:c r="I3" s="117"/>
      <x:c r="J3" s="117"/>
      <x:c r="K3" s="117"/>
      <x:c r="L3" s="117"/>
      <x:c r="M3" s="117"/>
      <x:c r="N3" s="117"/>
      <x:c r="O3" s="117"/>
      <x:c r="P3" s="117"/>
      <x:c r="Q3" s="117"/>
      <x:c r="R3" s="117"/>
      <x:c r="S3" s="117"/>
      <x:c r="T3" s="117"/>
      <x:c r="U3" s="117"/>
      <x:c r="V3" s="117"/>
      <x:c r="W3" s="117"/>
      <x:c r="X3" s="117"/>
      <x:c r="Y3" s="117"/>
      <x:c r="Z3" s="117"/>
    </x:row>
    <x:row r="4" ht="36" customHeight="1">
      <x:c r="A4" s="139" t="str">
        <x:v>選択肢ID</x:v>
      </x:c>
      <x:c r="B4" s="140" t="str">
        <x:v>表示順</x:v>
      </x:c>
      <x:c r="C4" s="140" t="str">
        <x:v>表示値</x:v>
      </x:c>
      <x:c r="D4" s="140" t="str">
        <x:v>内部値</x:v>
      </x:c>
      <x:c r="E4" s="140" t="str">
        <x:v>標準スコア</x:v>
      </x:c>
      <x:c r="F4" s="140" t="str">
        <x:v>不明扱い</x:v>
      </x:c>
      <x:c r="G4" s="141" t="str">
        <x:v>備考</x:v>
      </x:c>
      <x:c r="H4" s="117"/>
      <x:c r="I4" s="117"/>
      <x:c r="J4" s="117"/>
      <x:c r="K4" s="117"/>
      <x:c r="L4" s="117"/>
      <x:c r="M4" s="117"/>
      <x:c r="N4" s="117"/>
      <x:c r="O4" s="117"/>
      <x:c r="P4" s="117"/>
      <x:c r="Q4" s="117"/>
      <x:c r="R4" s="117"/>
      <x:c r="S4" s="117"/>
      <x:c r="T4" s="117"/>
      <x:c r="U4" s="117"/>
      <x:c r="V4" s="117"/>
      <x:c r="W4" s="117"/>
      <x:c r="X4" s="117"/>
      <x:c r="Y4" s="117"/>
      <x:c r="Z4" s="117"/>
    </x:row>
    <x:row r="5">
      <x:c r="A5" s="144" t="str">
        <x:v>ANS-YESNOUNK</x:v>
      </x:c>
      <x:c r="B5" s="145" t="n">
        <x:v>1</x:v>
      </x:c>
      <x:c r="C5" s="145" t="str">
        <x:v>はい</x:v>
      </x:c>
      <x:c r="D5" s="145" t="str">
        <x:v>YES</x:v>
      </x:c>
      <x:c r="E5" s="145" t="n">
        <x:v>0</x:v>
      </x:c>
      <x:c r="F5" s="145" t="str">
        <x:v>いいえ</x:v>
      </x:c>
      <x:c r="G5" s="146" t="str">
        <x:v>標準スコアは質問別ロジックで上書き可</x:v>
      </x:c>
      <x:c r="H5" s="117"/>
      <x:c r="I5" s="117"/>
      <x:c r="J5" s="117"/>
      <x:c r="K5" s="117"/>
      <x:c r="L5" s="117"/>
      <x:c r="M5" s="117"/>
      <x:c r="N5" s="117"/>
      <x:c r="O5" s="117"/>
      <x:c r="P5" s="117"/>
      <x:c r="Q5" s="117"/>
      <x:c r="R5" s="117"/>
      <x:c r="S5" s="117"/>
      <x:c r="T5" s="117"/>
      <x:c r="U5" s="117"/>
      <x:c r="V5" s="117"/>
      <x:c r="W5" s="117"/>
      <x:c r="X5" s="117"/>
      <x:c r="Y5" s="117"/>
      <x:c r="Z5" s="117"/>
    </x:row>
    <x:row r="6">
      <x:c r="A6" s="147" t="str">
        <x:v>ANS-YESNOUNK</x:v>
      </x:c>
      <x:c r="B6" s="148" t="n">
        <x:v>2</x:v>
      </x:c>
      <x:c r="C6" s="148" t="str">
        <x:v>いいえ</x:v>
      </x:c>
      <x:c r="D6" s="148" t="str">
        <x:v>NO</x:v>
      </x:c>
      <x:c r="E6" s="148" t="n">
        <x:v>100</x:v>
      </x:c>
      <x:c r="F6" s="148" t="str">
        <x:v>いいえ</x:v>
      </x:c>
      <x:c r="G6" s="149" t="str">
        <x:v>標準スコアは質問別ロジックで上書き可</x:v>
      </x:c>
      <x:c r="H6" s="117"/>
      <x:c r="I6" s="117"/>
      <x:c r="J6" s="117"/>
      <x:c r="K6" s="117"/>
      <x:c r="L6" s="117"/>
      <x:c r="M6" s="117"/>
      <x:c r="N6" s="117"/>
      <x:c r="O6" s="117"/>
      <x:c r="P6" s="117"/>
      <x:c r="Q6" s="117"/>
      <x:c r="R6" s="117"/>
      <x:c r="S6" s="117"/>
      <x:c r="T6" s="117"/>
      <x:c r="U6" s="117"/>
      <x:c r="V6" s="117"/>
      <x:c r="W6" s="117"/>
      <x:c r="X6" s="117"/>
      <x:c r="Y6" s="117"/>
      <x:c r="Z6" s="117"/>
    </x:row>
    <x:row r="7">
      <x:c r="A7" s="147" t="str">
        <x:v>ANS-YESNOUNK</x:v>
      </x:c>
      <x:c r="B7" s="148" t="n">
        <x:v>3</x:v>
      </x:c>
      <x:c r="C7" s="148" t="str">
        <x:v>分からない</x:v>
      </x:c>
      <x:c r="D7" s="148" t="str">
        <x:v>UNKNOWN</x:v>
      </x:c>
      <x:c r="E7" s="148"/>
      <x:c r="F7" s="148" t="str">
        <x:v>はい</x:v>
      </x:c>
      <x:c r="G7" s="149" t="str">
        <x:v>標準スコアは質問別ロジックで上書き可</x:v>
      </x:c>
      <x:c r="H7" s="117"/>
      <x:c r="I7" s="117"/>
      <x:c r="J7" s="117"/>
      <x:c r="K7" s="117"/>
      <x:c r="L7" s="117"/>
      <x:c r="M7" s="117"/>
      <x:c r="N7" s="117"/>
      <x:c r="O7" s="117"/>
      <x:c r="P7" s="117"/>
      <x:c r="Q7" s="117"/>
      <x:c r="R7" s="117"/>
      <x:c r="S7" s="117"/>
      <x:c r="T7" s="117"/>
      <x:c r="U7" s="117"/>
      <x:c r="V7" s="117"/>
      <x:c r="W7" s="117"/>
      <x:c r="X7" s="117"/>
      <x:c r="Y7" s="117"/>
      <x:c r="Z7" s="117"/>
    </x:row>
    <x:row r="8">
      <x:c r="A8" s="147" t="str">
        <x:v>ANS-SEVERITY4</x:v>
      </x:c>
      <x:c r="B8" s="148" t="n">
        <x:v>1</x:v>
      </x:c>
      <x:c r="C8" s="148" t="str">
        <x:v>重大・継続中</x:v>
      </x:c>
      <x:c r="D8" s="148" t="str">
        <x:v>CRITICAL</x:v>
      </x:c>
      <x:c r="E8" s="148" t="n">
        <x:v>0</x:v>
      </x:c>
      <x:c r="F8" s="148" t="str">
        <x:v>いいえ</x:v>
      </x:c>
      <x:c r="G8" s="149" t="str">
        <x:v>標準スコアは質問別ロジックで上書き可</x:v>
      </x:c>
      <x:c r="H8" s="117"/>
      <x:c r="I8" s="117"/>
      <x:c r="J8" s="117"/>
      <x:c r="K8" s="117"/>
      <x:c r="L8" s="117"/>
      <x:c r="M8" s="117"/>
      <x:c r="N8" s="117"/>
      <x:c r="O8" s="117"/>
      <x:c r="P8" s="117"/>
      <x:c r="Q8" s="117"/>
      <x:c r="R8" s="117"/>
      <x:c r="S8" s="117"/>
      <x:c r="T8" s="117"/>
      <x:c r="U8" s="117"/>
      <x:c r="V8" s="117"/>
      <x:c r="W8" s="117"/>
      <x:c r="X8" s="117"/>
      <x:c r="Y8" s="117"/>
      <x:c r="Z8" s="117"/>
    </x:row>
    <x:row r="9">
      <x:c r="A9" s="147" t="str">
        <x:v>ANS-SEVERITY4</x:v>
      </x:c>
      <x:c r="B9" s="148" t="n">
        <x:v>2</x:v>
      </x:c>
      <x:c r="C9" s="148" t="str">
        <x:v>発生している</x:v>
      </x:c>
      <x:c r="D9" s="148" t="str">
        <x:v>YES</x:v>
      </x:c>
      <x:c r="E9" s="148" t="n">
        <x:v>25</x:v>
      </x:c>
      <x:c r="F9" s="148" t="str">
        <x:v>いいえ</x:v>
      </x:c>
      <x:c r="G9" s="149" t="str">
        <x:v>標準スコアは質問別ロジックで上書き可</x:v>
      </x:c>
      <x:c r="H9" s="117"/>
      <x:c r="I9" s="117"/>
      <x:c r="J9" s="117"/>
      <x:c r="K9" s="117"/>
      <x:c r="L9" s="117"/>
      <x:c r="M9" s="117"/>
      <x:c r="N9" s="117"/>
      <x:c r="O9" s="117"/>
      <x:c r="P9" s="117"/>
      <x:c r="Q9" s="117"/>
      <x:c r="R9" s="117"/>
      <x:c r="S9" s="117"/>
      <x:c r="T9" s="117"/>
      <x:c r="U9" s="117"/>
      <x:c r="V9" s="117"/>
      <x:c r="W9" s="117"/>
      <x:c r="X9" s="117"/>
      <x:c r="Y9" s="117"/>
      <x:c r="Z9" s="117"/>
    </x:row>
    <x:row r="10">
      <x:c r="A10" s="147" t="str">
        <x:v>ANS-SEVERITY4</x:v>
      </x:c>
      <x:c r="B10" s="148" t="n">
        <x:v>3</x:v>
      </x:c>
      <x:c r="C10" s="148" t="str">
        <x:v>過去にあったが現在なし</x:v>
      </x:c>
      <x:c r="D10" s="148" t="str">
        <x:v>PAST</x:v>
      </x:c>
      <x:c r="E10" s="148" t="n">
        <x:v>60</x:v>
      </x:c>
      <x:c r="F10" s="148" t="str">
        <x:v>いいえ</x:v>
      </x:c>
      <x:c r="G10" s="149" t="str">
        <x:v>標準スコアは質問別ロジックで上書き可</x:v>
      </x:c>
      <x:c r="H10" s="117"/>
      <x:c r="I10" s="117"/>
      <x:c r="J10" s="117"/>
      <x:c r="K10" s="117"/>
      <x:c r="L10" s="117"/>
      <x:c r="M10" s="117"/>
      <x:c r="N10" s="117"/>
      <x:c r="O10" s="117"/>
      <x:c r="P10" s="117"/>
      <x:c r="Q10" s="117"/>
      <x:c r="R10" s="117"/>
      <x:c r="S10" s="117"/>
      <x:c r="T10" s="117"/>
      <x:c r="U10" s="117"/>
      <x:c r="V10" s="117"/>
      <x:c r="W10" s="117"/>
      <x:c r="X10" s="117"/>
      <x:c r="Y10" s="117"/>
      <x:c r="Z10" s="117"/>
    </x:row>
    <x:row r="11">
      <x:c r="A11" s="150" t="str">
        <x:v>ANS-SEVERITY4</x:v>
      </x:c>
      <x:c r="B11" s="89" t="n">
        <x:v>4</x:v>
      </x:c>
      <x:c r="C11" s="89" t="str">
        <x:v>ない</x:v>
      </x:c>
      <x:c r="D11" s="89" t="str">
        <x:v>NO</x:v>
      </x:c>
      <x:c r="E11" s="89" t="n">
        <x:v>100</x:v>
      </x:c>
      <x:c r="F11" s="89" t="str">
        <x:v>いいえ</x:v>
      </x:c>
      <x:c r="G11" s="151" t="str">
        <x:v>標準スコアは質問別ロジックで上書き可</x:v>
      </x:c>
      <x:c r="H11" s="117"/>
      <x:c r="I11" s="117"/>
      <x:c r="J11" s="117"/>
      <x:c r="K11" s="117"/>
      <x:c r="L11" s="117"/>
      <x:c r="M11" s="117"/>
      <x:c r="N11" s="117"/>
      <x:c r="O11" s="117"/>
      <x:c r="P11" s="117"/>
      <x:c r="Q11" s="117"/>
      <x:c r="R11" s="117"/>
      <x:c r="S11" s="117"/>
      <x:c r="T11" s="117"/>
      <x:c r="U11" s="117"/>
      <x:c r="V11" s="117"/>
      <x:c r="W11" s="117"/>
      <x:c r="X11" s="117"/>
      <x:c r="Y11" s="117"/>
      <x:c r="Z11" s="117"/>
    </x:row>
    <x:row r="12">
      <x:c r="A12" s="147" t="str">
        <x:v>ANS-SEVERITY4</x:v>
      </x:c>
      <x:c r="B12" s="148" t="n">
        <x:v>5</x:v>
      </x:c>
      <x:c r="C12" s="148" t="str">
        <x:v>分からない</x:v>
      </x:c>
      <x:c r="D12" s="148" t="str">
        <x:v>UNKNOWN</x:v>
      </x:c>
      <x:c r="E12" s="148"/>
      <x:c r="F12" s="148" t="str">
        <x:v>はい</x:v>
      </x:c>
      <x:c r="G12" s="149" t="str">
        <x:v>標準スコアは質問別ロジックで上書き可</x:v>
      </x:c>
      <x:c r="H12" s="117"/>
      <x:c r="I12" s="117"/>
      <x:c r="J12" s="117"/>
      <x:c r="K12" s="117"/>
      <x:c r="L12" s="117"/>
      <x:c r="M12" s="117"/>
      <x:c r="N12" s="117"/>
      <x:c r="O12" s="117"/>
      <x:c r="P12" s="117"/>
      <x:c r="Q12" s="117"/>
      <x:c r="R12" s="117"/>
      <x:c r="S12" s="117"/>
      <x:c r="T12" s="117"/>
      <x:c r="U12" s="117"/>
      <x:c r="V12" s="117"/>
      <x:c r="W12" s="117"/>
      <x:c r="X12" s="117"/>
      <x:c r="Y12" s="117"/>
      <x:c r="Z12" s="117"/>
    </x:row>
    <x:row r="13">
      <x:c r="A13" s="147" t="str">
        <x:v>ANS-FREQ4</x:v>
      </x:c>
      <x:c r="B13" s="148" t="n">
        <x:v>1</x:v>
      </x:c>
      <x:c r="C13" s="148" t="str">
        <x:v>3回以上</x:v>
      </x:c>
      <x:c r="D13" s="148" t="str">
        <x:v>HIGH</x:v>
      </x:c>
      <x:c r="E13" s="148" t="n">
        <x:v>0</x:v>
      </x:c>
      <x:c r="F13" s="148" t="str">
        <x:v>いいえ</x:v>
      </x:c>
      <x:c r="G13" s="149" t="str">
        <x:v>標準スコアは質問別ロジックで上書き可</x:v>
      </x:c>
      <x:c r="H13" s="117"/>
      <x:c r="I13" s="117"/>
      <x:c r="J13" s="117"/>
      <x:c r="K13" s="117"/>
      <x:c r="L13" s="117"/>
      <x:c r="M13" s="117"/>
      <x:c r="N13" s="117"/>
      <x:c r="O13" s="117"/>
      <x:c r="P13" s="117"/>
      <x:c r="Q13" s="117"/>
      <x:c r="R13" s="117"/>
      <x:c r="S13" s="117"/>
      <x:c r="T13" s="117"/>
      <x:c r="U13" s="117"/>
      <x:c r="V13" s="117"/>
      <x:c r="W13" s="117"/>
      <x:c r="X13" s="117"/>
      <x:c r="Y13" s="117"/>
      <x:c r="Z13" s="117"/>
    </x:row>
    <x:row r="14">
      <x:c r="A14" s="147" t="str">
        <x:v>ANS-FREQ4</x:v>
      </x:c>
      <x:c r="B14" s="148" t="n">
        <x:v>2</x:v>
      </x:c>
      <x:c r="C14" s="148" t="str">
        <x:v>1～2回</x:v>
      </x:c>
      <x:c r="D14" s="148" t="str">
        <x:v>MID</x:v>
      </x:c>
      <x:c r="E14" s="148" t="n">
        <x:v>40</x:v>
      </x:c>
      <x:c r="F14" s="148" t="str">
        <x:v>いいえ</x:v>
      </x:c>
      <x:c r="G14" s="149" t="str">
        <x:v>標準スコアは質問別ロジックで上書き可</x:v>
      </x:c>
      <x:c r="H14" s="117"/>
      <x:c r="I14" s="117"/>
      <x:c r="J14" s="117"/>
      <x:c r="K14" s="117"/>
      <x:c r="L14" s="117"/>
      <x:c r="M14" s="117"/>
      <x:c r="N14" s="117"/>
      <x:c r="O14" s="117"/>
      <x:c r="P14" s="117"/>
      <x:c r="Q14" s="117"/>
      <x:c r="R14" s="117"/>
      <x:c r="S14" s="117"/>
      <x:c r="T14" s="117"/>
      <x:c r="U14" s="117"/>
      <x:c r="V14" s="117"/>
      <x:c r="W14" s="117"/>
      <x:c r="X14" s="117"/>
      <x:c r="Y14" s="117"/>
      <x:c r="Z14" s="117"/>
    </x:row>
    <x:row r="15">
      <x:c r="A15" s="147" t="str">
        <x:v>ANS-FREQ4</x:v>
      </x:c>
      <x:c r="B15" s="148" t="n">
        <x:v>3</x:v>
      </x:c>
      <x:c r="C15" s="148" t="str">
        <x:v>なし</x:v>
      </x:c>
      <x:c r="D15" s="148" t="str">
        <x:v>NONE</x:v>
      </x:c>
      <x:c r="E15" s="148" t="n">
        <x:v>100</x:v>
      </x:c>
      <x:c r="F15" s="148" t="str">
        <x:v>いいえ</x:v>
      </x:c>
      <x:c r="G15" s="149" t="str">
        <x:v>標準スコアは質問別ロジックで上書き可</x:v>
      </x:c>
      <x:c r="H15" s="117"/>
      <x:c r="I15" s="117"/>
      <x:c r="J15" s="117"/>
      <x:c r="K15" s="117"/>
      <x:c r="L15" s="117"/>
      <x:c r="M15" s="117"/>
      <x:c r="N15" s="117"/>
      <x:c r="O15" s="117"/>
      <x:c r="P15" s="117"/>
      <x:c r="Q15" s="117"/>
      <x:c r="R15" s="117"/>
      <x:c r="S15" s="117"/>
      <x:c r="T15" s="117"/>
      <x:c r="U15" s="117"/>
      <x:c r="V15" s="117"/>
      <x:c r="W15" s="117"/>
      <x:c r="X15" s="117"/>
      <x:c r="Y15" s="117"/>
      <x:c r="Z15" s="117"/>
    </x:row>
    <x:row r="16">
      <x:c r="A16" s="147" t="str">
        <x:v>ANS-FREQ4</x:v>
      </x:c>
      <x:c r="B16" s="148" t="n">
        <x:v>4</x:v>
      </x:c>
      <x:c r="C16" s="148" t="str">
        <x:v>分からない</x:v>
      </x:c>
      <x:c r="D16" s="148" t="str">
        <x:v>UNKNOWN</x:v>
      </x:c>
      <x:c r="E16" s="148"/>
      <x:c r="F16" s="148" t="str">
        <x:v>はい</x:v>
      </x:c>
      <x:c r="G16" s="149" t="str">
        <x:v>標準スコアは質問別ロジックで上書き可</x:v>
      </x:c>
      <x:c r="H16" s="117"/>
      <x:c r="I16" s="117"/>
      <x:c r="J16" s="117"/>
      <x:c r="K16" s="117"/>
      <x:c r="L16" s="117"/>
      <x:c r="M16" s="117"/>
      <x:c r="N16" s="117"/>
      <x:c r="O16" s="117"/>
      <x:c r="P16" s="117"/>
      <x:c r="Q16" s="117"/>
      <x:c r="R16" s="117"/>
      <x:c r="S16" s="117"/>
      <x:c r="T16" s="117"/>
      <x:c r="U16" s="117"/>
      <x:c r="V16" s="117"/>
      <x:c r="W16" s="117"/>
      <x:c r="X16" s="117"/>
      <x:c r="Y16" s="117"/>
      <x:c r="Z16" s="117"/>
    </x:row>
    <x:row r="17">
      <x:c r="A17" s="147" t="str">
        <x:v>ANS-FINDING4</x:v>
      </x:c>
      <x:c r="B17" s="148" t="n">
        <x:v>1</x:v>
      </x:c>
      <x:c r="C17" s="148" t="str">
        <x:v>期限付き・重大指摘が未是正</x:v>
      </x:c>
      <x:c r="D17" s="148" t="str">
        <x:v>CRITICAL</x:v>
      </x:c>
      <x:c r="E17" s="148" t="n">
        <x:v>0</x:v>
      </x:c>
      <x:c r="F17" s="148" t="str">
        <x:v>いいえ</x:v>
      </x:c>
      <x:c r="G17" s="149" t="str">
        <x:v>標準スコアは質問別ロジックで上書き可</x:v>
      </x:c>
      <x:c r="H17" s="117"/>
      <x:c r="I17" s="117"/>
      <x:c r="J17" s="117"/>
      <x:c r="K17" s="117"/>
      <x:c r="L17" s="117"/>
      <x:c r="M17" s="117"/>
      <x:c r="N17" s="117"/>
      <x:c r="O17" s="117"/>
      <x:c r="P17" s="117"/>
      <x:c r="Q17" s="117"/>
      <x:c r="R17" s="117"/>
      <x:c r="S17" s="117"/>
      <x:c r="T17" s="117"/>
      <x:c r="U17" s="117"/>
      <x:c r="V17" s="117"/>
      <x:c r="W17" s="117"/>
      <x:c r="X17" s="117"/>
      <x:c r="Y17" s="117"/>
      <x:c r="Z17" s="117"/>
    </x:row>
    <x:row r="18">
      <x:c r="A18" s="147" t="str">
        <x:v>ANS-FINDING4</x:v>
      </x:c>
      <x:c r="B18" s="148" t="n">
        <x:v>2</x:v>
      </x:c>
      <x:c r="C18" s="148" t="str">
        <x:v>要改善・経過観察あり</x:v>
      </x:c>
      <x:c r="D18" s="148" t="str">
        <x:v>OPEN</x:v>
      </x:c>
      <x:c r="E18" s="148" t="n">
        <x:v>35</x:v>
      </x:c>
      <x:c r="F18" s="148" t="str">
        <x:v>いいえ</x:v>
      </x:c>
      <x:c r="G18" s="149" t="str">
        <x:v>標準スコアは質問別ロジックで上書き可</x:v>
      </x:c>
      <x:c r="H18" s="117"/>
      <x:c r="I18" s="117"/>
      <x:c r="J18" s="117"/>
      <x:c r="K18" s="117"/>
      <x:c r="L18" s="117"/>
      <x:c r="M18" s="117"/>
      <x:c r="N18" s="117"/>
      <x:c r="O18" s="117"/>
      <x:c r="P18" s="117"/>
      <x:c r="Q18" s="117"/>
      <x:c r="R18" s="117"/>
      <x:c r="S18" s="117"/>
      <x:c r="T18" s="117"/>
      <x:c r="U18" s="117"/>
      <x:c r="V18" s="117"/>
      <x:c r="W18" s="117"/>
      <x:c r="X18" s="117"/>
      <x:c r="Y18" s="117"/>
      <x:c r="Z18" s="117"/>
    </x:row>
    <x:row r="19">
      <x:c r="A19" s="147" t="str">
        <x:v>ANS-FINDING4</x:v>
      </x:c>
      <x:c r="B19" s="148" t="n">
        <x:v>3</x:v>
      </x:c>
      <x:c r="C19" s="148" t="str">
        <x:v>指摘なし・是正済み</x:v>
      </x:c>
      <x:c r="D19" s="148" t="str">
        <x:v>CLEAR</x:v>
      </x:c>
      <x:c r="E19" s="148" t="n">
        <x:v>100</x:v>
      </x:c>
      <x:c r="F19" s="148" t="str">
        <x:v>いいえ</x:v>
      </x:c>
      <x:c r="G19" s="149" t="str">
        <x:v>標準スコアは質問別ロジックで上書き可</x:v>
      </x:c>
      <x:c r="H19" s="117"/>
      <x:c r="I19" s="117"/>
      <x:c r="J19" s="117"/>
      <x:c r="K19" s="117"/>
      <x:c r="L19" s="117"/>
      <x:c r="M19" s="117"/>
      <x:c r="N19" s="117"/>
      <x:c r="O19" s="117"/>
      <x:c r="P19" s="117"/>
      <x:c r="Q19" s="117"/>
      <x:c r="R19" s="117"/>
      <x:c r="S19" s="117"/>
      <x:c r="T19" s="117"/>
      <x:c r="U19" s="117"/>
      <x:c r="V19" s="117"/>
      <x:c r="W19" s="117"/>
      <x:c r="X19" s="117"/>
      <x:c r="Y19" s="117"/>
      <x:c r="Z19" s="117"/>
    </x:row>
    <x:row r="20">
      <x:c r="A20" s="147" t="str">
        <x:v>ANS-FINDING4</x:v>
      </x:c>
      <x:c r="B20" s="148" t="n">
        <x:v>4</x:v>
      </x:c>
      <x:c r="C20" s="148" t="str">
        <x:v>点検未実施・不明</x:v>
      </x:c>
      <x:c r="D20" s="148" t="str">
        <x:v>UNKNOWN</x:v>
      </x:c>
      <x:c r="E20" s="148"/>
      <x:c r="F20" s="148" t="str">
        <x:v>はい</x:v>
      </x:c>
      <x:c r="G20" s="149" t="str">
        <x:v>標準スコアは質問別ロジックで上書き可</x:v>
      </x:c>
      <x:c r="H20" s="117"/>
      <x:c r="I20" s="117"/>
      <x:c r="J20" s="117"/>
      <x:c r="K20" s="117"/>
      <x:c r="L20" s="117"/>
      <x:c r="M20" s="117"/>
      <x:c r="N20" s="117"/>
      <x:c r="O20" s="117"/>
      <x:c r="P20" s="117"/>
      <x:c r="Q20" s="117"/>
      <x:c r="R20" s="117"/>
      <x:c r="S20" s="117"/>
      <x:c r="T20" s="117"/>
      <x:c r="U20" s="117"/>
      <x:c r="V20" s="117"/>
      <x:c r="W20" s="117"/>
      <x:c r="X20" s="117"/>
      <x:c r="Y20" s="117"/>
      <x:c r="Z20" s="117"/>
    </x:row>
    <x:row r="21">
      <x:c r="A21" s="147" t="str">
        <x:v>ANS-COMPLIANCE4</x:v>
      </x:c>
      <x:c r="B21" s="148" t="n">
        <x:v>1</x:v>
      </x:c>
      <x:c r="C21" s="148" t="str">
        <x:v>未実施または期限超過</x:v>
      </x:c>
      <x:c r="D21" s="148" t="str">
        <x:v>NONCOMPLIANT</x:v>
      </x:c>
      <x:c r="E21" s="148" t="n">
        <x:v>0</x:v>
      </x:c>
      <x:c r="F21" s="148" t="str">
        <x:v>いいえ</x:v>
      </x:c>
      <x:c r="G21" s="149" t="str">
        <x:v>標準スコアは質問別ロジックで上書き可</x:v>
      </x:c>
      <x:c r="H21" s="117"/>
      <x:c r="I21" s="117"/>
      <x:c r="J21" s="117"/>
      <x:c r="K21" s="117"/>
      <x:c r="L21" s="117"/>
      <x:c r="M21" s="117"/>
      <x:c r="N21" s="117"/>
      <x:c r="O21" s="117"/>
      <x:c r="P21" s="117"/>
      <x:c r="Q21" s="117"/>
      <x:c r="R21" s="117"/>
      <x:c r="S21" s="117"/>
      <x:c r="T21" s="117"/>
      <x:c r="U21" s="117"/>
      <x:c r="V21" s="117"/>
      <x:c r="W21" s="117"/>
      <x:c r="X21" s="117"/>
      <x:c r="Y21" s="117"/>
      <x:c r="Z21" s="117"/>
    </x:row>
    <x:row r="22">
      <x:c r="A22" s="147" t="str">
        <x:v>ANS-COMPLIANCE4</x:v>
      </x:c>
      <x:c r="B22" s="148" t="n">
        <x:v>2</x:v>
      </x:c>
      <x:c r="C22" s="148" t="str">
        <x:v>一部遅延・不足</x:v>
      </x:c>
      <x:c r="D22" s="148" t="str">
        <x:v>PARTIAL</x:v>
      </x:c>
      <x:c r="E22" s="148" t="n">
        <x:v>40</x:v>
      </x:c>
      <x:c r="F22" s="148" t="str">
        <x:v>いいえ</x:v>
      </x:c>
      <x:c r="G22" s="149" t="str">
        <x:v>標準スコアは質問別ロジックで上書き可</x:v>
      </x:c>
      <x:c r="H22" s="117"/>
      <x:c r="I22" s="117"/>
      <x:c r="J22" s="117"/>
      <x:c r="K22" s="117"/>
      <x:c r="L22" s="117"/>
      <x:c r="M22" s="117"/>
      <x:c r="N22" s="117"/>
      <x:c r="O22" s="117"/>
      <x:c r="P22" s="117"/>
      <x:c r="Q22" s="117"/>
      <x:c r="R22" s="117"/>
      <x:c r="S22" s="117"/>
      <x:c r="T22" s="117"/>
      <x:c r="U22" s="117"/>
      <x:c r="V22" s="117"/>
      <x:c r="W22" s="117"/>
      <x:c r="X22" s="117"/>
      <x:c r="Y22" s="117"/>
      <x:c r="Z22" s="117"/>
    </x:row>
    <x:row r="23">
      <x:c r="A23" s="147" t="str">
        <x:v>ANS-COMPLIANCE4</x:v>
      </x:c>
      <x:c r="B23" s="148" t="n">
        <x:v>3</x:v>
      </x:c>
      <x:c r="C23" s="148" t="str">
        <x:v>期限内実施</x:v>
      </x:c>
      <x:c r="D23" s="148" t="str">
        <x:v>COMPLIANT</x:v>
      </x:c>
      <x:c r="E23" s="148" t="n">
        <x:v>100</x:v>
      </x:c>
      <x:c r="F23" s="148" t="str">
        <x:v>いいえ</x:v>
      </x:c>
      <x:c r="G23" s="149" t="str">
        <x:v>標準スコアは質問別ロジックで上書き可</x:v>
      </x:c>
      <x:c r="H23" s="117"/>
      <x:c r="I23" s="117"/>
      <x:c r="J23" s="117"/>
      <x:c r="K23" s="117"/>
      <x:c r="L23" s="117"/>
      <x:c r="M23" s="117"/>
      <x:c r="N23" s="117"/>
      <x:c r="O23" s="117"/>
      <x:c r="P23" s="117"/>
      <x:c r="Q23" s="117"/>
      <x:c r="R23" s="117"/>
      <x:c r="S23" s="117"/>
      <x:c r="T23" s="117"/>
      <x:c r="U23" s="117"/>
      <x:c r="V23" s="117"/>
      <x:c r="W23" s="117"/>
      <x:c r="X23" s="117"/>
      <x:c r="Y23" s="117"/>
      <x:c r="Z23" s="117"/>
    </x:row>
    <x:row r="24">
      <x:c r="A24" s="147" t="str">
        <x:v>ANS-COMPLIANCE4</x:v>
      </x:c>
      <x:c r="B24" s="148" t="n">
        <x:v>4</x:v>
      </x:c>
      <x:c r="C24" s="148" t="str">
        <x:v>対象・状況不明</x:v>
      </x:c>
      <x:c r="D24" s="148" t="str">
        <x:v>UNKNOWN</x:v>
      </x:c>
      <x:c r="E24" s="148"/>
      <x:c r="F24" s="148" t="str">
        <x:v>はい</x:v>
      </x:c>
      <x:c r="G24" s="149" t="str">
        <x:v>標準スコアは質問別ロジックで上書き可</x:v>
      </x:c>
      <x:c r="H24" s="117"/>
      <x:c r="I24" s="117"/>
      <x:c r="J24" s="117"/>
      <x:c r="K24" s="117"/>
      <x:c r="L24" s="117"/>
      <x:c r="M24" s="117"/>
      <x:c r="N24" s="117"/>
      <x:c r="O24" s="117"/>
      <x:c r="P24" s="117"/>
      <x:c r="Q24" s="117"/>
      <x:c r="R24" s="117"/>
      <x:c r="S24" s="117"/>
      <x:c r="T24" s="117"/>
      <x:c r="U24" s="117"/>
      <x:c r="V24" s="117"/>
      <x:c r="W24" s="117"/>
      <x:c r="X24" s="117"/>
      <x:c r="Y24" s="117"/>
      <x:c r="Z24" s="117"/>
    </x:row>
    <x:row r="25">
      <x:c r="A25" s="147" t="str">
        <x:v>ANS-EVIDENCE4</x:v>
      </x:c>
      <x:c r="B25" s="148" t="n">
        <x:v>1</x:v>
      </x:c>
      <x:c r="C25" s="148" t="str">
        <x:v>最新資料で確認できる</x:v>
      </x:c>
      <x:c r="D25" s="148" t="str">
        <x:v>FULL</x:v>
      </x:c>
      <x:c r="E25" s="148" t="n">
        <x:v>100</x:v>
      </x:c>
      <x:c r="F25" s="148" t="str">
        <x:v>いいえ</x:v>
      </x:c>
      <x:c r="G25" s="149" t="str">
        <x:v>標準スコアは質問別ロジックで上書き可</x:v>
      </x:c>
      <x:c r="H25" s="117"/>
      <x:c r="I25" s="117"/>
      <x:c r="J25" s="117"/>
      <x:c r="K25" s="117"/>
      <x:c r="L25" s="117"/>
      <x:c r="M25" s="117"/>
      <x:c r="N25" s="117"/>
      <x:c r="O25" s="117"/>
      <x:c r="P25" s="117"/>
      <x:c r="Q25" s="117"/>
      <x:c r="R25" s="117"/>
      <x:c r="S25" s="117"/>
      <x:c r="T25" s="117"/>
      <x:c r="U25" s="117"/>
      <x:c r="V25" s="117"/>
      <x:c r="W25" s="117"/>
      <x:c r="X25" s="117"/>
      <x:c r="Y25" s="117"/>
      <x:c r="Z25" s="117"/>
    </x:row>
    <x:row r="26">
      <x:c r="A26" s="147" t="str">
        <x:v>ANS-EVIDENCE4</x:v>
      </x:c>
      <x:c r="B26" s="148" t="n">
        <x:v>2</x:v>
      </x:c>
      <x:c r="C26" s="148" t="str">
        <x:v>一部資料で確認できる</x:v>
      </x:c>
      <x:c r="D26" s="148" t="str">
        <x:v>PARTIAL</x:v>
      </x:c>
      <x:c r="E26" s="148" t="n">
        <x:v>65</x:v>
      </x:c>
      <x:c r="F26" s="148" t="str">
        <x:v>いいえ</x:v>
      </x:c>
      <x:c r="G26" s="149" t="str">
        <x:v>標準スコアは質問別ロジックで上書き可</x:v>
      </x:c>
      <x:c r="H26" s="117"/>
      <x:c r="I26" s="117"/>
      <x:c r="J26" s="117"/>
      <x:c r="K26" s="117"/>
      <x:c r="L26" s="117"/>
      <x:c r="M26" s="117"/>
      <x:c r="N26" s="117"/>
      <x:c r="O26" s="117"/>
      <x:c r="P26" s="117"/>
      <x:c r="Q26" s="117"/>
      <x:c r="R26" s="117"/>
      <x:c r="S26" s="117"/>
      <x:c r="T26" s="117"/>
      <x:c r="U26" s="117"/>
      <x:c r="V26" s="117"/>
      <x:c r="W26" s="117"/>
      <x:c r="X26" s="117"/>
      <x:c r="Y26" s="117"/>
      <x:c r="Z26" s="117"/>
    </x:row>
    <x:row r="27">
      <x:c r="A27" s="147" t="str">
        <x:v>ANS-EVIDENCE4</x:v>
      </x:c>
      <x:c r="B27" s="148" t="n">
        <x:v>3</x:v>
      </x:c>
      <x:c r="C27" s="148" t="str">
        <x:v>口頭・記憶のみ</x:v>
      </x:c>
      <x:c r="D27" s="148" t="str">
        <x:v>VERBAL</x:v>
      </x:c>
      <x:c r="E27" s="148" t="n">
        <x:v>30</x:v>
      </x:c>
      <x:c r="F27" s="148" t="str">
        <x:v>いいえ</x:v>
      </x:c>
      <x:c r="G27" s="149" t="str">
        <x:v>標準スコアは質問別ロジックで上書き可</x:v>
      </x:c>
      <x:c r="H27" s="117"/>
      <x:c r="I27" s="117"/>
      <x:c r="J27" s="117"/>
      <x:c r="K27" s="117"/>
      <x:c r="L27" s="117"/>
      <x:c r="M27" s="117"/>
      <x:c r="N27" s="117"/>
      <x:c r="O27" s="117"/>
      <x:c r="P27" s="117"/>
      <x:c r="Q27" s="117"/>
      <x:c r="R27" s="117"/>
      <x:c r="S27" s="117"/>
      <x:c r="T27" s="117"/>
      <x:c r="U27" s="117"/>
      <x:c r="V27" s="117"/>
      <x:c r="W27" s="117"/>
      <x:c r="X27" s="117"/>
      <x:c r="Y27" s="117"/>
      <x:c r="Z27" s="117"/>
    </x:row>
    <x:row r="28">
      <x:c r="A28" s="147" t="str">
        <x:v>ANS-EVIDENCE4</x:v>
      </x:c>
      <x:c r="B28" s="148" t="n">
        <x:v>4</x:v>
      </x:c>
      <x:c r="C28" s="148" t="str">
        <x:v>分からない・資料なし</x:v>
      </x:c>
      <x:c r="D28" s="148" t="str">
        <x:v>UNKNOWN</x:v>
      </x:c>
      <x:c r="E28" s="148"/>
      <x:c r="F28" s="148" t="str">
        <x:v>はい</x:v>
      </x:c>
      <x:c r="G28" s="149" t="str">
        <x:v>標準スコアは質問別ロジックで上書き可</x:v>
      </x:c>
      <x:c r="H28" s="117"/>
      <x:c r="I28" s="117"/>
      <x:c r="J28" s="117"/>
      <x:c r="K28" s="117"/>
      <x:c r="L28" s="117"/>
      <x:c r="M28" s="117"/>
      <x:c r="N28" s="117"/>
      <x:c r="O28" s="117"/>
      <x:c r="P28" s="117"/>
      <x:c r="Q28" s="117"/>
      <x:c r="R28" s="117"/>
      <x:c r="S28" s="117"/>
      <x:c r="T28" s="117"/>
      <x:c r="U28" s="117"/>
      <x:c r="V28" s="117"/>
      <x:c r="W28" s="117"/>
      <x:c r="X28" s="117"/>
      <x:c r="Y28" s="117"/>
      <x:c r="Z28" s="117"/>
    </x:row>
    <x:row r="29">
      <x:c r="A29" s="147" t="str">
        <x:v>ANS-COVERAGE4</x:v>
      </x:c>
      <x:c r="B29" s="148" t="n">
        <x:v>1</x:v>
      </x:c>
      <x:c r="C29" s="148" t="str">
        <x:v>全て・ほぼ全て</x:v>
      </x:c>
      <x:c r="D29" s="148" t="str">
        <x:v>FULL</x:v>
      </x:c>
      <x:c r="E29" s="148" t="n">
        <x:v>100</x:v>
      </x:c>
      <x:c r="F29" s="148" t="str">
        <x:v>いいえ</x:v>
      </x:c>
      <x:c r="G29" s="149" t="str">
        <x:v>標準スコアは質問別ロジックで上書き可</x:v>
      </x:c>
      <x:c r="H29" s="117"/>
      <x:c r="I29" s="117"/>
      <x:c r="J29" s="117"/>
      <x:c r="K29" s="117"/>
      <x:c r="L29" s="117"/>
      <x:c r="M29" s="117"/>
      <x:c r="N29" s="117"/>
      <x:c r="O29" s="117"/>
      <x:c r="P29" s="117"/>
      <x:c r="Q29" s="117"/>
      <x:c r="R29" s="117"/>
      <x:c r="S29" s="117"/>
      <x:c r="T29" s="117"/>
      <x:c r="U29" s="117"/>
      <x:c r="V29" s="117"/>
      <x:c r="W29" s="117"/>
      <x:c r="X29" s="117"/>
      <x:c r="Y29" s="117"/>
      <x:c r="Z29" s="117"/>
    </x:row>
    <x:row r="30">
      <x:c r="A30" s="147" t="str">
        <x:v>ANS-COVERAGE4</x:v>
      </x:c>
      <x:c r="B30" s="148" t="n">
        <x:v>2</x:v>
      </x:c>
      <x:c r="C30" s="148" t="str">
        <x:v>一部</x:v>
      </x:c>
      <x:c r="D30" s="148" t="str">
        <x:v>PARTIAL</x:v>
      </x:c>
      <x:c r="E30" s="148" t="n">
        <x:v>60</x:v>
      </x:c>
      <x:c r="F30" s="148" t="str">
        <x:v>いいえ</x:v>
      </x:c>
      <x:c r="G30" s="149" t="str">
        <x:v>標準スコアは質問別ロジックで上書き可</x:v>
      </x:c>
      <x:c r="H30" s="117"/>
      <x:c r="I30" s="117"/>
      <x:c r="J30" s="117"/>
      <x:c r="K30" s="117"/>
      <x:c r="L30" s="117"/>
      <x:c r="M30" s="117"/>
      <x:c r="N30" s="117"/>
      <x:c r="O30" s="117"/>
      <x:c r="P30" s="117"/>
      <x:c r="Q30" s="117"/>
      <x:c r="R30" s="117"/>
      <x:c r="S30" s="117"/>
      <x:c r="T30" s="117"/>
      <x:c r="U30" s="117"/>
      <x:c r="V30" s="117"/>
      <x:c r="W30" s="117"/>
      <x:c r="X30" s="117"/>
      <x:c r="Y30" s="117"/>
      <x:c r="Z30" s="117"/>
    </x:row>
    <x:row r="31">
      <x:c r="A31" s="147" t="str">
        <x:v>ANS-COVERAGE4</x:v>
      </x:c>
      <x:c r="B31" s="148" t="n">
        <x:v>3</x:v>
      </x:c>
      <x:c r="C31" s="148" t="str">
        <x:v>ほとんどない</x:v>
      </x:c>
      <x:c r="D31" s="148" t="str">
        <x:v>LOW</x:v>
      </x:c>
      <x:c r="E31" s="148" t="n">
        <x:v>20</x:v>
      </x:c>
      <x:c r="F31" s="148" t="str">
        <x:v>いいえ</x:v>
      </x:c>
      <x:c r="G31" s="149" t="str">
        <x:v>標準スコアは質問別ロジックで上書き可</x:v>
      </x:c>
      <x:c r="H31" s="117"/>
      <x:c r="I31" s="117"/>
      <x:c r="J31" s="117"/>
      <x:c r="K31" s="117"/>
      <x:c r="L31" s="117"/>
      <x:c r="M31" s="117"/>
      <x:c r="N31" s="117"/>
      <x:c r="O31" s="117"/>
      <x:c r="P31" s="117"/>
      <x:c r="Q31" s="117"/>
      <x:c r="R31" s="117"/>
      <x:c r="S31" s="117"/>
      <x:c r="T31" s="117"/>
      <x:c r="U31" s="117"/>
      <x:c r="V31" s="117"/>
      <x:c r="W31" s="117"/>
      <x:c r="X31" s="117"/>
      <x:c r="Y31" s="117"/>
      <x:c r="Z31" s="117"/>
    </x:row>
    <x:row r="32">
      <x:c r="A32" s="147" t="str">
        <x:v>ANS-COVERAGE4</x:v>
      </x:c>
      <x:c r="B32" s="148" t="n">
        <x:v>4</x:v>
      </x:c>
      <x:c r="C32" s="148" t="str">
        <x:v>分からない</x:v>
      </x:c>
      <x:c r="D32" s="148" t="str">
        <x:v>UNKNOWN</x:v>
      </x:c>
      <x:c r="E32" s="148"/>
      <x:c r="F32" s="148" t="str">
        <x:v>はい</x:v>
      </x:c>
      <x:c r="G32" s="149" t="str">
        <x:v>標準スコアは質問別ロジックで上書き可</x:v>
      </x:c>
      <x:c r="H32" s="117"/>
      <x:c r="I32" s="117"/>
      <x:c r="J32" s="117"/>
      <x:c r="K32" s="117"/>
      <x:c r="L32" s="117"/>
      <x:c r="M32" s="117"/>
      <x:c r="N32" s="117"/>
      <x:c r="O32" s="117"/>
      <x:c r="P32" s="117"/>
      <x:c r="Q32" s="117"/>
      <x:c r="R32" s="117"/>
      <x:c r="S32" s="117"/>
      <x:c r="T32" s="117"/>
      <x:c r="U32" s="117"/>
      <x:c r="V32" s="117"/>
      <x:c r="W32" s="117"/>
      <x:c r="X32" s="117"/>
      <x:c r="Y32" s="117"/>
      <x:c r="Z32" s="117"/>
    </x:row>
    <x:row r="33">
      <x:c r="A33" s="147" t="str">
        <x:v>ANS-IMPACT4</x:v>
      </x:c>
      <x:c r="B33" s="148" t="n">
        <x:v>1</x:v>
      </x:c>
      <x:c r="C33" s="148" t="str">
        <x:v>人身・品質・事業継続に重大影響</x:v>
      </x:c>
      <x:c r="D33" s="148" t="str">
        <x:v>CRITICAL</x:v>
      </x:c>
      <x:c r="E33" s="148" t="n">
        <x:v>0</x:v>
      </x:c>
      <x:c r="F33" s="148" t="str">
        <x:v>いいえ</x:v>
      </x:c>
      <x:c r="G33" s="149" t="str">
        <x:v>標準スコアは質問別ロジックで上書き可</x:v>
      </x:c>
      <x:c r="H33" s="117"/>
      <x:c r="I33" s="117"/>
      <x:c r="J33" s="117"/>
      <x:c r="K33" s="117"/>
      <x:c r="L33" s="117"/>
      <x:c r="M33" s="117"/>
      <x:c r="N33" s="117"/>
      <x:c r="O33" s="117"/>
      <x:c r="P33" s="117"/>
      <x:c r="Q33" s="117"/>
      <x:c r="R33" s="117"/>
      <x:c r="S33" s="117"/>
      <x:c r="T33" s="117"/>
      <x:c r="U33" s="117"/>
      <x:c r="V33" s="117"/>
      <x:c r="W33" s="117"/>
      <x:c r="X33" s="117"/>
      <x:c r="Y33" s="117"/>
      <x:c r="Z33" s="117"/>
    </x:row>
    <x:row r="34">
      <x:c r="A34" s="147" t="str">
        <x:v>ANS-IMPACT4</x:v>
      </x:c>
      <x:c r="B34" s="148" t="n">
        <x:v>2</x:v>
      </x:c>
      <x:c r="C34" s="148" t="str">
        <x:v>生産・出荷に大きな影響</x:v>
      </x:c>
      <x:c r="D34" s="148" t="str">
        <x:v>HIGH</x:v>
      </x:c>
      <x:c r="E34" s="148" t="n">
        <x:v>25</x:v>
      </x:c>
      <x:c r="F34" s="148" t="str">
        <x:v>いいえ</x:v>
      </x:c>
      <x:c r="G34" s="149" t="str">
        <x:v>標準スコアは質問別ロジックで上書き可</x:v>
      </x:c>
      <x:c r="H34" s="117"/>
      <x:c r="I34" s="117"/>
      <x:c r="J34" s="117"/>
      <x:c r="K34" s="117"/>
      <x:c r="L34" s="117"/>
      <x:c r="M34" s="117"/>
      <x:c r="N34" s="117"/>
      <x:c r="O34" s="117"/>
      <x:c r="P34" s="117"/>
      <x:c r="Q34" s="117"/>
      <x:c r="R34" s="117"/>
      <x:c r="S34" s="117"/>
      <x:c r="T34" s="117"/>
      <x:c r="U34" s="117"/>
      <x:c r="V34" s="117"/>
      <x:c r="W34" s="117"/>
      <x:c r="X34" s="117"/>
      <x:c r="Y34" s="117"/>
      <x:c r="Z34" s="117"/>
    </x:row>
    <x:row r="35">
      <x:c r="A35" s="147" t="str">
        <x:v>ANS-IMPACT4</x:v>
      </x:c>
      <x:c r="B35" s="148" t="n">
        <x:v>3</x:v>
      </x:c>
      <x:c r="C35" s="148" t="str">
        <x:v>限定的な影響</x:v>
      </x:c>
      <x:c r="D35" s="148" t="str">
        <x:v>LOW</x:v>
      </x:c>
      <x:c r="E35" s="148" t="n">
        <x:v>65</x:v>
      </x:c>
      <x:c r="F35" s="148" t="str">
        <x:v>いいえ</x:v>
      </x:c>
      <x:c r="G35" s="149" t="str">
        <x:v>標準スコアは質問別ロジックで上書き可</x:v>
      </x:c>
      <x:c r="H35" s="117"/>
      <x:c r="I35" s="117"/>
      <x:c r="J35" s="117"/>
      <x:c r="K35" s="117"/>
      <x:c r="L35" s="117"/>
      <x:c r="M35" s="117"/>
      <x:c r="N35" s="117"/>
      <x:c r="O35" s="117"/>
      <x:c r="P35" s="117"/>
      <x:c r="Q35" s="117"/>
      <x:c r="R35" s="117"/>
      <x:c r="S35" s="117"/>
      <x:c r="T35" s="117"/>
      <x:c r="U35" s="117"/>
      <x:c r="V35" s="117"/>
      <x:c r="W35" s="117"/>
      <x:c r="X35" s="117"/>
      <x:c r="Y35" s="117"/>
      <x:c r="Z35" s="117"/>
    </x:row>
    <x:row r="36">
      <x:c r="A36" s="147" t="str">
        <x:v>ANS-IMPACT4</x:v>
      </x:c>
      <x:c r="B36" s="148" t="n">
        <x:v>4</x:v>
      </x:c>
      <x:c r="C36" s="148" t="str">
        <x:v>ほぼ影響なし</x:v>
      </x:c>
      <x:c r="D36" s="148" t="str">
        <x:v>NONE</x:v>
      </x:c>
      <x:c r="E36" s="148" t="n">
        <x:v>100</x:v>
      </x:c>
      <x:c r="F36" s="148" t="str">
        <x:v>いいえ</x:v>
      </x:c>
      <x:c r="G36" s="149" t="str">
        <x:v>標準スコアは質問別ロジックで上書き可</x:v>
      </x:c>
      <x:c r="H36" s="117"/>
      <x:c r="I36" s="117"/>
      <x:c r="J36" s="117"/>
      <x:c r="K36" s="117"/>
      <x:c r="L36" s="117"/>
      <x:c r="M36" s="117"/>
      <x:c r="N36" s="117"/>
      <x:c r="O36" s="117"/>
      <x:c r="P36" s="117"/>
      <x:c r="Q36" s="117"/>
      <x:c r="R36" s="117"/>
      <x:c r="S36" s="117"/>
      <x:c r="T36" s="117"/>
      <x:c r="U36" s="117"/>
      <x:c r="V36" s="117"/>
      <x:c r="W36" s="117"/>
      <x:c r="X36" s="117"/>
      <x:c r="Y36" s="117"/>
      <x:c r="Z36" s="117"/>
    </x:row>
    <x:row r="37">
      <x:c r="A37" s="147" t="str">
        <x:v>ANS-IMPACT4</x:v>
      </x:c>
      <x:c r="B37" s="148" t="n">
        <x:v>5</x:v>
      </x:c>
      <x:c r="C37" s="148" t="str">
        <x:v>分からない</x:v>
      </x:c>
      <x:c r="D37" s="148" t="str">
        <x:v>UNKNOWN</x:v>
      </x:c>
      <x:c r="E37" s="148"/>
      <x:c r="F37" s="148" t="str">
        <x:v>はい</x:v>
      </x:c>
      <x:c r="G37" s="149" t="str">
        <x:v>標準スコアは質問別ロジックで上書き可</x:v>
      </x:c>
      <x:c r="H37" s="117"/>
      <x:c r="I37" s="117"/>
      <x:c r="J37" s="117"/>
      <x:c r="K37" s="117"/>
      <x:c r="L37" s="117"/>
      <x:c r="M37" s="117"/>
      <x:c r="N37" s="117"/>
      <x:c r="O37" s="117"/>
      <x:c r="P37" s="117"/>
      <x:c r="Q37" s="117"/>
      <x:c r="R37" s="117"/>
      <x:c r="S37" s="117"/>
      <x:c r="T37" s="117"/>
      <x:c r="U37" s="117"/>
      <x:c r="V37" s="117"/>
      <x:c r="W37" s="117"/>
      <x:c r="X37" s="117"/>
      <x:c r="Y37" s="117"/>
      <x:c r="Z37" s="117"/>
    </x:row>
    <x:row r="38">
      <x:c r="A38" s="147" t="str">
        <x:v>ANS-BACKUP4</x:v>
      </x:c>
      <x:c r="B38" s="148" t="n">
        <x:v>1</x:v>
      </x:c>
      <x:c r="C38" s="148" t="str">
        <x:v>即時に代替可能</x:v>
      </x:c>
      <x:c r="D38" s="148" t="str">
        <x:v>FULL</x:v>
      </x:c>
      <x:c r="E38" s="148" t="n">
        <x:v>100</x:v>
      </x:c>
      <x:c r="F38" s="148" t="str">
        <x:v>いいえ</x:v>
      </x:c>
      <x:c r="G38" s="149" t="str">
        <x:v>標準スコアは質問別ロジックで上書き可</x:v>
      </x:c>
      <x:c r="H38" s="117"/>
      <x:c r="I38" s="117"/>
      <x:c r="J38" s="117"/>
      <x:c r="K38" s="117"/>
      <x:c r="L38" s="117"/>
      <x:c r="M38" s="117"/>
      <x:c r="N38" s="117"/>
      <x:c r="O38" s="117"/>
      <x:c r="P38" s="117"/>
      <x:c r="Q38" s="117"/>
      <x:c r="R38" s="117"/>
      <x:c r="S38" s="117"/>
      <x:c r="T38" s="117"/>
      <x:c r="U38" s="117"/>
      <x:c r="V38" s="117"/>
      <x:c r="W38" s="117"/>
      <x:c r="X38" s="117"/>
      <x:c r="Y38" s="117"/>
      <x:c r="Z38" s="117"/>
    </x:row>
    <x:row r="39">
      <x:c r="A39" s="147" t="str">
        <x:v>ANS-BACKUP4</x:v>
      </x:c>
      <x:c r="B39" s="148" t="n">
        <x:v>2</x:v>
      </x:c>
      <x:c r="C39" s="148" t="str">
        <x:v>一部代替可能</x:v>
      </x:c>
      <x:c r="D39" s="148" t="str">
        <x:v>PARTIAL</x:v>
      </x:c>
      <x:c r="E39" s="148" t="n">
        <x:v>60</x:v>
      </x:c>
      <x:c r="F39" s="148" t="str">
        <x:v>いいえ</x:v>
      </x:c>
      <x:c r="G39" s="149" t="str">
        <x:v>標準スコアは質問別ロジックで上書き可</x:v>
      </x:c>
      <x:c r="H39" s="117"/>
      <x:c r="I39" s="117"/>
      <x:c r="J39" s="117"/>
      <x:c r="K39" s="117"/>
      <x:c r="L39" s="117"/>
      <x:c r="M39" s="117"/>
      <x:c r="N39" s="117"/>
      <x:c r="O39" s="117"/>
      <x:c r="P39" s="117"/>
      <x:c r="Q39" s="117"/>
      <x:c r="R39" s="117"/>
      <x:c r="S39" s="117"/>
      <x:c r="T39" s="117"/>
      <x:c r="U39" s="117"/>
      <x:c r="V39" s="117"/>
      <x:c r="W39" s="117"/>
      <x:c r="X39" s="117"/>
      <x:c r="Y39" s="117"/>
      <x:c r="Z39" s="117"/>
    </x:row>
    <x:row r="40">
      <x:c r="A40" s="147" t="str">
        <x:v>ANS-BACKUP4</x:v>
      </x:c>
      <x:c r="B40" s="148" t="n">
        <x:v>3</x:v>
      </x:c>
      <x:c r="C40" s="148" t="str">
        <x:v>代替なし</x:v>
      </x:c>
      <x:c r="D40" s="148" t="str">
        <x:v>NONE</x:v>
      </x:c>
      <x:c r="E40" s="148" t="n">
        <x:v>0</x:v>
      </x:c>
      <x:c r="F40" s="148" t="str">
        <x:v>いいえ</x:v>
      </x:c>
      <x:c r="G40" s="149" t="str">
        <x:v>標準スコアは質問別ロジックで上書き可</x:v>
      </x:c>
      <x:c r="H40" s="117"/>
      <x:c r="I40" s="117"/>
      <x:c r="J40" s="117"/>
      <x:c r="K40" s="117"/>
      <x:c r="L40" s="117"/>
      <x:c r="M40" s="117"/>
      <x:c r="N40" s="117"/>
      <x:c r="O40" s="117"/>
      <x:c r="P40" s="117"/>
      <x:c r="Q40" s="117"/>
      <x:c r="R40" s="117"/>
      <x:c r="S40" s="117"/>
      <x:c r="T40" s="117"/>
      <x:c r="U40" s="117"/>
      <x:c r="V40" s="117"/>
      <x:c r="W40" s="117"/>
      <x:c r="X40" s="117"/>
      <x:c r="Y40" s="117"/>
      <x:c r="Z40" s="117"/>
    </x:row>
    <x:row r="41">
      <x:c r="A41" s="147" t="str">
        <x:v>ANS-BACKUP4</x:v>
      </x:c>
      <x:c r="B41" s="148" t="n">
        <x:v>4</x:v>
      </x:c>
      <x:c r="C41" s="148" t="str">
        <x:v>分からない</x:v>
      </x:c>
      <x:c r="D41" s="148" t="str">
        <x:v>UNKNOWN</x:v>
      </x:c>
      <x:c r="E41" s="148"/>
      <x:c r="F41" s="148" t="str">
        <x:v>はい</x:v>
      </x:c>
      <x:c r="G41" s="149" t="str">
        <x:v>標準スコアは質問別ロジックで上書き可</x:v>
      </x:c>
      <x:c r="H41" s="117"/>
      <x:c r="I41" s="117"/>
      <x:c r="J41" s="117"/>
      <x:c r="K41" s="117"/>
      <x:c r="L41" s="117"/>
      <x:c r="M41" s="117"/>
      <x:c r="N41" s="117"/>
      <x:c r="O41" s="117"/>
      <x:c r="P41" s="117"/>
      <x:c r="Q41" s="117"/>
      <x:c r="R41" s="117"/>
      <x:c r="S41" s="117"/>
      <x:c r="T41" s="117"/>
      <x:c r="U41" s="117"/>
      <x:c r="V41" s="117"/>
      <x:c r="W41" s="117"/>
      <x:c r="X41" s="117"/>
      <x:c r="Y41" s="117"/>
      <x:c r="Z41" s="117"/>
    </x:row>
    <x:row r="42">
      <x:c r="A42" s="147" t="str">
        <x:v>ANS-RESTORE4</x:v>
      </x:c>
      <x:c r="B42" s="148" t="n">
        <x:v>1</x:v>
      </x:c>
      <x:c r="C42" s="148" t="str">
        <x:v>時間・手順・連絡先まで明確</x:v>
      </x:c>
      <x:c r="D42" s="148" t="str">
        <x:v>FULL</x:v>
      </x:c>
      <x:c r="E42" s="148" t="n">
        <x:v>100</x:v>
      </x:c>
      <x:c r="F42" s="148" t="str">
        <x:v>いいえ</x:v>
      </x:c>
      <x:c r="G42" s="149" t="str">
        <x:v>標準スコアは質問別ロジックで上書き可</x:v>
      </x:c>
      <x:c r="H42" s="117"/>
      <x:c r="I42" s="117"/>
      <x:c r="J42" s="117"/>
      <x:c r="K42" s="117"/>
      <x:c r="L42" s="117"/>
      <x:c r="M42" s="117"/>
      <x:c r="N42" s="117"/>
      <x:c r="O42" s="117"/>
      <x:c r="P42" s="117"/>
      <x:c r="Q42" s="117"/>
      <x:c r="R42" s="117"/>
      <x:c r="S42" s="117"/>
      <x:c r="T42" s="117"/>
      <x:c r="U42" s="117"/>
      <x:c r="V42" s="117"/>
      <x:c r="W42" s="117"/>
      <x:c r="X42" s="117"/>
      <x:c r="Y42" s="117"/>
      <x:c r="Z42" s="117"/>
    </x:row>
    <x:row r="43">
      <x:c r="A43" s="147" t="str">
        <x:v>ANS-RESTORE4</x:v>
      </x:c>
      <x:c r="B43" s="148" t="n">
        <x:v>2</x:v>
      </x:c>
      <x:c r="C43" s="148" t="str">
        <x:v>概算時間のみ把握</x:v>
      </x:c>
      <x:c r="D43" s="148" t="str">
        <x:v>PARTIAL</x:v>
      </x:c>
      <x:c r="E43" s="148" t="n">
        <x:v>60</x:v>
      </x:c>
      <x:c r="F43" s="148" t="str">
        <x:v>いいえ</x:v>
      </x:c>
      <x:c r="G43" s="149" t="str">
        <x:v>標準スコアは質問別ロジックで上書き可</x:v>
      </x:c>
      <x:c r="H43" s="117"/>
      <x:c r="I43" s="117"/>
      <x:c r="J43" s="117"/>
      <x:c r="K43" s="117"/>
      <x:c r="L43" s="117"/>
      <x:c r="M43" s="117"/>
      <x:c r="N43" s="117"/>
      <x:c r="O43" s="117"/>
      <x:c r="P43" s="117"/>
      <x:c r="Q43" s="117"/>
      <x:c r="R43" s="117"/>
      <x:c r="S43" s="117"/>
      <x:c r="T43" s="117"/>
      <x:c r="U43" s="117"/>
      <x:c r="V43" s="117"/>
      <x:c r="W43" s="117"/>
      <x:c r="X43" s="117"/>
      <x:c r="Y43" s="117"/>
      <x:c r="Z43" s="117"/>
    </x:row>
    <x:row r="44">
      <x:c r="A44" s="147" t="str">
        <x:v>ANS-RESTORE4</x:v>
      </x:c>
      <x:c r="B44" s="148" t="n">
        <x:v>3</x:v>
      </x:c>
      <x:c r="C44" s="148" t="str">
        <x:v>把握していない</x:v>
      </x:c>
      <x:c r="D44" s="148" t="str">
        <x:v>NONE</x:v>
      </x:c>
      <x:c r="E44" s="148" t="n">
        <x:v>20</x:v>
      </x:c>
      <x:c r="F44" s="148" t="str">
        <x:v>いいえ</x:v>
      </x:c>
      <x:c r="G44" s="149" t="str">
        <x:v>標準スコアは質問別ロジックで上書き可</x:v>
      </x:c>
      <x:c r="H44" s="117"/>
      <x:c r="I44" s="117"/>
      <x:c r="J44" s="117"/>
      <x:c r="K44" s="117"/>
      <x:c r="L44" s="117"/>
      <x:c r="M44" s="117"/>
      <x:c r="N44" s="117"/>
      <x:c r="O44" s="117"/>
      <x:c r="P44" s="117"/>
      <x:c r="Q44" s="117"/>
      <x:c r="R44" s="117"/>
      <x:c r="S44" s="117"/>
      <x:c r="T44" s="117"/>
      <x:c r="U44" s="117"/>
      <x:c r="V44" s="117"/>
      <x:c r="W44" s="117"/>
      <x:c r="X44" s="117"/>
      <x:c r="Y44" s="117"/>
      <x:c r="Z44" s="117"/>
    </x:row>
    <x:row r="45">
      <x:c r="A45" s="147" t="str">
        <x:v>ANS-RESTORE4</x:v>
      </x:c>
      <x:c r="B45" s="148" t="n">
        <x:v>4</x:v>
      </x:c>
      <x:c r="C45" s="148" t="str">
        <x:v>分からない</x:v>
      </x:c>
      <x:c r="D45" s="148" t="str">
        <x:v>UNKNOWN</x:v>
      </x:c>
      <x:c r="E45" s="148"/>
      <x:c r="F45" s="148" t="str">
        <x:v>はい</x:v>
      </x:c>
      <x:c r="G45" s="149" t="str">
        <x:v>標準スコアは質問別ロジックで上書き可</x:v>
      </x:c>
      <x:c r="H45" s="117"/>
      <x:c r="I45" s="117"/>
      <x:c r="J45" s="117"/>
      <x:c r="K45" s="117"/>
      <x:c r="L45" s="117"/>
      <x:c r="M45" s="117"/>
      <x:c r="N45" s="117"/>
      <x:c r="O45" s="117"/>
      <x:c r="P45" s="117"/>
      <x:c r="Q45" s="117"/>
      <x:c r="R45" s="117"/>
      <x:c r="S45" s="117"/>
      <x:c r="T45" s="117"/>
      <x:c r="U45" s="117"/>
      <x:c r="V45" s="117"/>
      <x:c r="W45" s="117"/>
      <x:c r="X45" s="117"/>
      <x:c r="Y45" s="117"/>
      <x:c r="Z45" s="117"/>
    </x:row>
    <x:row r="46">
      <x:c r="A46" s="147" t="str">
        <x:v>ANS-DEADLINE4</x:v>
      </x:c>
      <x:c r="B46" s="148" t="n">
        <x:v>1</x:v>
      </x:c>
      <x:c r="C46" s="148" t="str">
        <x:v>3か月以内</x:v>
      </x:c>
      <x:c r="D46" s="148" t="str">
        <x:v>M3</x:v>
      </x:c>
      <x:c r="E46" s="148" t="n">
        <x:v>0</x:v>
      </x:c>
      <x:c r="F46" s="148" t="str">
        <x:v>いいえ</x:v>
      </x:c>
      <x:c r="G46" s="149" t="str">
        <x:v>標準スコアは質問別ロジックで上書き可</x:v>
      </x:c>
      <x:c r="H46" s="117"/>
      <x:c r="I46" s="117"/>
      <x:c r="J46" s="117"/>
      <x:c r="K46" s="117"/>
      <x:c r="L46" s="117"/>
      <x:c r="M46" s="117"/>
      <x:c r="N46" s="117"/>
      <x:c r="O46" s="117"/>
      <x:c r="P46" s="117"/>
      <x:c r="Q46" s="117"/>
      <x:c r="R46" s="117"/>
      <x:c r="S46" s="117"/>
      <x:c r="T46" s="117"/>
      <x:c r="U46" s="117"/>
      <x:c r="V46" s="117"/>
      <x:c r="W46" s="117"/>
      <x:c r="X46" s="117"/>
      <x:c r="Y46" s="117"/>
      <x:c r="Z46" s="117"/>
    </x:row>
    <x:row r="47">
      <x:c r="A47" s="147" t="str">
        <x:v>ANS-DEADLINE4</x:v>
      </x:c>
      <x:c r="B47" s="148" t="n">
        <x:v>2</x:v>
      </x:c>
      <x:c r="C47" s="148" t="str">
        <x:v>1年以内</x:v>
      </x:c>
      <x:c r="D47" s="148" t="str">
        <x:v>Y1</x:v>
      </x:c>
      <x:c r="E47" s="148" t="n">
        <x:v>35</x:v>
      </x:c>
      <x:c r="F47" s="148" t="str">
        <x:v>いいえ</x:v>
      </x:c>
      <x:c r="G47" s="149" t="str">
        <x:v>標準スコアは質問別ロジックで上書き可</x:v>
      </x:c>
      <x:c r="H47" s="117"/>
      <x:c r="I47" s="117"/>
      <x:c r="J47" s="117"/>
      <x:c r="K47" s="117"/>
      <x:c r="L47" s="117"/>
      <x:c r="M47" s="117"/>
      <x:c r="N47" s="117"/>
      <x:c r="O47" s="117"/>
      <x:c r="P47" s="117"/>
      <x:c r="Q47" s="117"/>
      <x:c r="R47" s="117"/>
      <x:c r="S47" s="117"/>
      <x:c r="T47" s="117"/>
      <x:c r="U47" s="117"/>
      <x:c r="V47" s="117"/>
      <x:c r="W47" s="117"/>
      <x:c r="X47" s="117"/>
      <x:c r="Y47" s="117"/>
      <x:c r="Z47" s="117"/>
    </x:row>
    <x:row r="48">
      <x:c r="A48" s="147" t="str">
        <x:v>ANS-DEADLINE4</x:v>
      </x:c>
      <x:c r="B48" s="148" t="n">
        <x:v>3</x:v>
      </x:c>
      <x:c r="C48" s="148" t="str">
        <x:v>1年超</x:v>
      </x:c>
      <x:c r="D48" s="148" t="str">
        <x:v>LATER</x:v>
      </x:c>
      <x:c r="E48" s="148" t="n">
        <x:v>70</x:v>
      </x:c>
      <x:c r="F48" s="148" t="str">
        <x:v>いいえ</x:v>
      </x:c>
      <x:c r="G48" s="149" t="str">
        <x:v>標準スコアは質問別ロジックで上書き可</x:v>
      </x:c>
      <x:c r="H48" s="117"/>
      <x:c r="I48" s="117"/>
      <x:c r="J48" s="117"/>
      <x:c r="K48" s="117"/>
      <x:c r="L48" s="117"/>
      <x:c r="M48" s="117"/>
      <x:c r="N48" s="117"/>
      <x:c r="O48" s="117"/>
      <x:c r="P48" s="117"/>
      <x:c r="Q48" s="117"/>
      <x:c r="R48" s="117"/>
      <x:c r="S48" s="117"/>
      <x:c r="T48" s="117"/>
      <x:c r="U48" s="117"/>
      <x:c r="V48" s="117"/>
      <x:c r="W48" s="117"/>
      <x:c r="X48" s="117"/>
      <x:c r="Y48" s="117"/>
      <x:c r="Z48" s="117"/>
    </x:row>
    <x:row r="49">
      <x:c r="A49" s="147" t="str">
        <x:v>ANS-DEADLINE4</x:v>
      </x:c>
      <x:c r="B49" s="148" t="n">
        <x:v>4</x:v>
      </x:c>
      <x:c r="C49" s="148" t="str">
        <x:v>期限なし</x:v>
      </x:c>
      <x:c r="D49" s="148" t="str">
        <x:v>NONE</x:v>
      </x:c>
      <x:c r="E49" s="148" t="n">
        <x:v>100</x:v>
      </x:c>
      <x:c r="F49" s="148" t="str">
        <x:v>いいえ</x:v>
      </x:c>
      <x:c r="G49" s="149" t="str">
        <x:v>標準スコアは質問別ロジックで上書き可</x:v>
      </x:c>
      <x:c r="H49" s="117"/>
      <x:c r="I49" s="117"/>
      <x:c r="J49" s="117"/>
      <x:c r="K49" s="117"/>
      <x:c r="L49" s="117"/>
      <x:c r="M49" s="117"/>
      <x:c r="N49" s="117"/>
      <x:c r="O49" s="117"/>
      <x:c r="P49" s="117"/>
      <x:c r="Q49" s="117"/>
      <x:c r="R49" s="117"/>
      <x:c r="S49" s="117"/>
      <x:c r="T49" s="117"/>
      <x:c r="U49" s="117"/>
      <x:c r="V49" s="117"/>
      <x:c r="W49" s="117"/>
      <x:c r="X49" s="117"/>
      <x:c r="Y49" s="117"/>
      <x:c r="Z49" s="117"/>
    </x:row>
    <x:row r="50">
      <x:c r="A50" s="147" t="str">
        <x:v>ANS-DEADLINE4</x:v>
      </x:c>
      <x:c r="B50" s="148" t="n">
        <x:v>5</x:v>
      </x:c>
      <x:c r="C50" s="148" t="str">
        <x:v>分からない</x:v>
      </x:c>
      <x:c r="D50" s="148" t="str">
        <x:v>UNKNOWN</x:v>
      </x:c>
      <x:c r="E50" s="148"/>
      <x:c r="F50" s="148" t="str">
        <x:v>はい</x:v>
      </x:c>
      <x:c r="G50" s="149" t="str">
        <x:v>標準スコアは質問別ロジックで上書き可</x:v>
      </x:c>
      <x:c r="H50" s="117"/>
      <x:c r="I50" s="117"/>
      <x:c r="J50" s="117"/>
      <x:c r="K50" s="117"/>
      <x:c r="L50" s="117"/>
      <x:c r="M50" s="117"/>
      <x:c r="N50" s="117"/>
      <x:c r="O50" s="117"/>
      <x:c r="P50" s="117"/>
      <x:c r="Q50" s="117"/>
      <x:c r="R50" s="117"/>
      <x:c r="S50" s="117"/>
      <x:c r="T50" s="117"/>
      <x:c r="U50" s="117"/>
      <x:c r="V50" s="117"/>
      <x:c r="W50" s="117"/>
      <x:c r="X50" s="117"/>
      <x:c r="Y50" s="117"/>
      <x:c r="Z50" s="117"/>
    </x:row>
    <x:row r="51">
      <x:c r="A51" s="147" t="str">
        <x:v>ANS-YEARKNOWN</x:v>
      </x:c>
      <x:c r="B51" s="148" t="n">
        <x:v>1</x:v>
      </x:c>
      <x:c r="C51" s="148" t="str">
        <x:v>年を入力できる</x:v>
      </x:c>
      <x:c r="D51" s="148" t="str">
        <x:v>KNOWN</x:v>
      </x:c>
      <x:c r="E51" s="148" t="n">
        <x:v>100</x:v>
      </x:c>
      <x:c r="F51" s="148" t="str">
        <x:v>いいえ</x:v>
      </x:c>
      <x:c r="G51" s="149" t="str">
        <x:v>標準スコアは質問別ロジックで上書き可</x:v>
      </x:c>
      <x:c r="H51" s="117"/>
      <x:c r="I51" s="117"/>
      <x:c r="J51" s="117"/>
      <x:c r="K51" s="117"/>
      <x:c r="L51" s="117"/>
      <x:c r="M51" s="117"/>
      <x:c r="N51" s="117"/>
      <x:c r="O51" s="117"/>
      <x:c r="P51" s="117"/>
      <x:c r="Q51" s="117"/>
      <x:c r="R51" s="117"/>
      <x:c r="S51" s="117"/>
      <x:c r="T51" s="117"/>
      <x:c r="U51" s="117"/>
      <x:c r="V51" s="117"/>
      <x:c r="W51" s="117"/>
      <x:c r="X51" s="117"/>
      <x:c r="Y51" s="117"/>
      <x:c r="Z51" s="117"/>
    </x:row>
    <x:row r="52">
      <x:c r="A52" s="147" t="str">
        <x:v>ANS-YEARKNOWN</x:v>
      </x:c>
      <x:c r="B52" s="148" t="n">
        <x:v>2</x:v>
      </x:c>
      <x:c r="C52" s="148" t="str">
        <x:v>概算年代のみ</x:v>
      </x:c>
      <x:c r="D52" s="148" t="str">
        <x:v>APPROX</x:v>
      </x:c>
      <x:c r="E52" s="148" t="n">
        <x:v>60</x:v>
      </x:c>
      <x:c r="F52" s="148" t="str">
        <x:v>いいえ</x:v>
      </x:c>
      <x:c r="G52" s="149" t="str">
        <x:v>標準スコアは質問別ロジックで上書き可</x:v>
      </x:c>
      <x:c r="H52" s="117"/>
      <x:c r="I52" s="117"/>
      <x:c r="J52" s="117"/>
      <x:c r="K52" s="117"/>
      <x:c r="L52" s="117"/>
      <x:c r="M52" s="117"/>
      <x:c r="N52" s="117"/>
      <x:c r="O52" s="117"/>
      <x:c r="P52" s="117"/>
      <x:c r="Q52" s="117"/>
      <x:c r="R52" s="117"/>
      <x:c r="S52" s="117"/>
      <x:c r="T52" s="117"/>
      <x:c r="U52" s="117"/>
      <x:c r="V52" s="117"/>
      <x:c r="W52" s="117"/>
      <x:c r="X52" s="117"/>
      <x:c r="Y52" s="117"/>
      <x:c r="Z52" s="117"/>
    </x:row>
    <x:row r="53">
      <x:c r="A53" s="147" t="str">
        <x:v>ANS-YEARKNOWN</x:v>
      </x:c>
      <x:c r="B53" s="148" t="n">
        <x:v>3</x:v>
      </x:c>
      <x:c r="C53" s="148" t="str">
        <x:v>分からない</x:v>
      </x:c>
      <x:c r="D53" s="148" t="str">
        <x:v>UNKNOWN</x:v>
      </x:c>
      <x:c r="E53" s="148"/>
      <x:c r="F53" s="148" t="str">
        <x:v>はい</x:v>
      </x:c>
      <x:c r="G53" s="149" t="str">
        <x:v>標準スコアは質問別ロジックで上書き可</x:v>
      </x:c>
      <x:c r="H53" s="117"/>
      <x:c r="I53" s="117"/>
      <x:c r="J53" s="117"/>
      <x:c r="K53" s="117"/>
      <x:c r="L53" s="117"/>
      <x:c r="M53" s="117"/>
      <x:c r="N53" s="117"/>
      <x:c r="O53" s="117"/>
      <x:c r="P53" s="117"/>
      <x:c r="Q53" s="117"/>
      <x:c r="R53" s="117"/>
      <x:c r="S53" s="117"/>
      <x:c r="T53" s="117"/>
      <x:c r="U53" s="117"/>
      <x:c r="V53" s="117"/>
      <x:c r="W53" s="117"/>
      <x:c r="X53" s="117"/>
      <x:c r="Y53" s="117"/>
      <x:c r="Z53" s="117"/>
    </x:row>
    <x:row r="54">
      <x:c r="A54" s="147" t="str">
        <x:v>ANS-TREND4</x:v>
      </x:c>
      <x:c r="B54" s="148" t="n">
        <x:v>1</x:v>
      </x:c>
      <x:c r="C54" s="148" t="str">
        <x:v>明確に増加</x:v>
      </x:c>
      <x:c r="D54" s="148" t="str">
        <x:v>UP_HIGH</x:v>
      </x:c>
      <x:c r="E54" s="148" t="n">
        <x:v>0</x:v>
      </x:c>
      <x:c r="F54" s="148" t="str">
        <x:v>いいえ</x:v>
      </x:c>
      <x:c r="G54" s="149" t="str">
        <x:v>標準スコアは質問別ロジックで上書き可</x:v>
      </x:c>
      <x:c r="H54" s="117"/>
      <x:c r="I54" s="117"/>
      <x:c r="J54" s="117"/>
      <x:c r="K54" s="117"/>
      <x:c r="L54" s="117"/>
      <x:c r="M54" s="117"/>
      <x:c r="N54" s="117"/>
      <x:c r="O54" s="117"/>
      <x:c r="P54" s="117"/>
      <x:c r="Q54" s="117"/>
      <x:c r="R54" s="117"/>
      <x:c r="S54" s="117"/>
      <x:c r="T54" s="117"/>
      <x:c r="U54" s="117"/>
      <x:c r="V54" s="117"/>
      <x:c r="W54" s="117"/>
      <x:c r="X54" s="117"/>
      <x:c r="Y54" s="117"/>
      <x:c r="Z54" s="117"/>
    </x:row>
    <x:row r="55">
      <x:c r="A55" s="147" t="str">
        <x:v>ANS-TREND4</x:v>
      </x:c>
      <x:c r="B55" s="148" t="n">
        <x:v>2</x:v>
      </x:c>
      <x:c r="C55" s="148" t="str">
        <x:v>やや増加</x:v>
      </x:c>
      <x:c r="D55" s="148" t="str">
        <x:v>UP</x:v>
      </x:c>
      <x:c r="E55" s="148" t="n">
        <x:v>35</x:v>
      </x:c>
      <x:c r="F55" s="148" t="str">
        <x:v>いいえ</x:v>
      </x:c>
      <x:c r="G55" s="149" t="str">
        <x:v>標準スコアは質問別ロジックで上書き可</x:v>
      </x:c>
      <x:c r="H55" s="117"/>
      <x:c r="I55" s="117"/>
      <x:c r="J55" s="117"/>
      <x:c r="K55" s="117"/>
      <x:c r="L55" s="117"/>
      <x:c r="M55" s="117"/>
      <x:c r="N55" s="117"/>
      <x:c r="O55" s="117"/>
      <x:c r="P55" s="117"/>
      <x:c r="Q55" s="117"/>
      <x:c r="R55" s="117"/>
      <x:c r="S55" s="117"/>
      <x:c r="T55" s="117"/>
      <x:c r="U55" s="117"/>
      <x:c r="V55" s="117"/>
      <x:c r="W55" s="117"/>
      <x:c r="X55" s="117"/>
      <x:c r="Y55" s="117"/>
      <x:c r="Z55" s="117"/>
    </x:row>
    <x:row r="56">
      <x:c r="A56" s="147" t="str">
        <x:v>ANS-TREND4</x:v>
      </x:c>
      <x:c r="B56" s="148" t="n">
        <x:v>3</x:v>
      </x:c>
      <x:c r="C56" s="148" t="str">
        <x:v>横ばい</x:v>
      </x:c>
      <x:c r="D56" s="148" t="str">
        <x:v>FLAT</x:v>
      </x:c>
      <x:c r="E56" s="148" t="n">
        <x:v>70</x:v>
      </x:c>
      <x:c r="F56" s="148" t="str">
        <x:v>いいえ</x:v>
      </x:c>
      <x:c r="G56" s="149" t="str">
        <x:v>標準スコアは質問別ロジックで上書き可</x:v>
      </x:c>
      <x:c r="H56" s="117"/>
      <x:c r="I56" s="117"/>
      <x:c r="J56" s="117"/>
      <x:c r="K56" s="117"/>
      <x:c r="L56" s="117"/>
      <x:c r="M56" s="117"/>
      <x:c r="N56" s="117"/>
      <x:c r="O56" s="117"/>
      <x:c r="P56" s="117"/>
      <x:c r="Q56" s="117"/>
      <x:c r="R56" s="117"/>
      <x:c r="S56" s="117"/>
      <x:c r="T56" s="117"/>
      <x:c r="U56" s="117"/>
      <x:c r="V56" s="117"/>
      <x:c r="W56" s="117"/>
      <x:c r="X56" s="117"/>
      <x:c r="Y56" s="117"/>
      <x:c r="Z56" s="117"/>
    </x:row>
    <x:row r="57">
      <x:c r="A57" s="147" t="str">
        <x:v>ANS-TREND4</x:v>
      </x:c>
      <x:c r="B57" s="148" t="n">
        <x:v>4</x:v>
      </x:c>
      <x:c r="C57" s="148" t="str">
        <x:v>減少・ほぼなし</x:v>
      </x:c>
      <x:c r="D57" s="148" t="str">
        <x:v>DOWN</x:v>
      </x:c>
      <x:c r="E57" s="148" t="n">
        <x:v>100</x:v>
      </x:c>
      <x:c r="F57" s="148" t="str">
        <x:v>いいえ</x:v>
      </x:c>
      <x:c r="G57" s="149" t="str">
        <x:v>標準スコアは質問別ロジックで上書き可</x:v>
      </x:c>
      <x:c r="H57" s="117"/>
      <x:c r="I57" s="117"/>
      <x:c r="J57" s="117"/>
      <x:c r="K57" s="117"/>
      <x:c r="L57" s="117"/>
      <x:c r="M57" s="117"/>
      <x:c r="N57" s="117"/>
      <x:c r="O57" s="117"/>
      <x:c r="P57" s="117"/>
      <x:c r="Q57" s="117"/>
      <x:c r="R57" s="117"/>
      <x:c r="S57" s="117"/>
      <x:c r="T57" s="117"/>
      <x:c r="U57" s="117"/>
      <x:c r="V57" s="117"/>
      <x:c r="W57" s="117"/>
      <x:c r="X57" s="117"/>
      <x:c r="Y57" s="117"/>
      <x:c r="Z57" s="117"/>
    </x:row>
    <x:row r="58">
      <x:c r="A58" s="147" t="str">
        <x:v>ANS-TREND4</x:v>
      </x:c>
      <x:c r="B58" s="148" t="n">
        <x:v>5</x:v>
      </x:c>
      <x:c r="C58" s="148" t="str">
        <x:v>分からない</x:v>
      </x:c>
      <x:c r="D58" s="148" t="str">
        <x:v>UNKNOWN</x:v>
      </x:c>
      <x:c r="E58" s="148"/>
      <x:c r="F58" s="148" t="str">
        <x:v>はい</x:v>
      </x:c>
      <x:c r="G58" s="149" t="str">
        <x:v>標準スコアは質問別ロジックで上書き可</x:v>
      </x:c>
      <x:c r="H58" s="117"/>
      <x:c r="I58" s="117"/>
      <x:c r="J58" s="117"/>
      <x:c r="K58" s="117"/>
      <x:c r="L58" s="117"/>
      <x:c r="M58" s="117"/>
      <x:c r="N58" s="117"/>
      <x:c r="O58" s="117"/>
      <x:c r="P58" s="117"/>
      <x:c r="Q58" s="117"/>
      <x:c r="R58" s="117"/>
      <x:c r="S58" s="117"/>
      <x:c r="T58" s="117"/>
      <x:c r="U58" s="117"/>
      <x:c r="V58" s="117"/>
      <x:c r="W58" s="117"/>
      <x:c r="X58" s="117"/>
      <x:c r="Y58" s="117"/>
      <x:c r="Z58" s="117"/>
    </x:row>
    <x:row r="59">
      <x:c r="A59" s="147" t="str">
        <x:v>ANS-MAINT4</x:v>
      </x:c>
      <x:c r="B59" s="148" t="n">
        <x:v>1</x:v>
      </x:c>
      <x:c r="C59" s="148" t="str">
        <x:v>予防保全・状態監視</x:v>
      </x:c>
      <x:c r="D59" s="148" t="str">
        <x:v>PREDICTIVE</x:v>
      </x:c>
      <x:c r="E59" s="148" t="n">
        <x:v>100</x:v>
      </x:c>
      <x:c r="F59" s="148" t="str">
        <x:v>いいえ</x:v>
      </x:c>
      <x:c r="G59" s="149" t="str">
        <x:v>標準スコアは質問別ロジックで上書き可</x:v>
      </x:c>
      <x:c r="H59" s="117"/>
      <x:c r="I59" s="117"/>
      <x:c r="J59" s="117"/>
      <x:c r="K59" s="117"/>
      <x:c r="L59" s="117"/>
      <x:c r="M59" s="117"/>
      <x:c r="N59" s="117"/>
      <x:c r="O59" s="117"/>
      <x:c r="P59" s="117"/>
      <x:c r="Q59" s="117"/>
      <x:c r="R59" s="117"/>
      <x:c r="S59" s="117"/>
      <x:c r="T59" s="117"/>
      <x:c r="U59" s="117"/>
      <x:c r="V59" s="117"/>
      <x:c r="W59" s="117"/>
      <x:c r="X59" s="117"/>
      <x:c r="Y59" s="117"/>
      <x:c r="Z59" s="117"/>
    </x:row>
    <x:row r="60">
      <x:c r="A60" s="147" t="str">
        <x:v>ANS-MAINT4</x:v>
      </x:c>
      <x:c r="B60" s="148" t="n">
        <x:v>2</x:v>
      </x:c>
      <x:c r="C60" s="148" t="str">
        <x:v>定期保全</x:v>
      </x:c>
      <x:c r="D60" s="148" t="str">
        <x:v>PERIODIC</x:v>
      </x:c>
      <x:c r="E60" s="148" t="n">
        <x:v>75</x:v>
      </x:c>
      <x:c r="F60" s="148" t="str">
        <x:v>いいえ</x:v>
      </x:c>
      <x:c r="G60" s="149" t="str">
        <x:v>標準スコアは質問別ロジックで上書き可</x:v>
      </x:c>
      <x:c r="H60" s="117"/>
      <x:c r="I60" s="117"/>
      <x:c r="J60" s="117"/>
      <x:c r="K60" s="117"/>
      <x:c r="L60" s="117"/>
      <x:c r="M60" s="117"/>
      <x:c r="N60" s="117"/>
      <x:c r="O60" s="117"/>
      <x:c r="P60" s="117"/>
      <x:c r="Q60" s="117"/>
      <x:c r="R60" s="117"/>
      <x:c r="S60" s="117"/>
      <x:c r="T60" s="117"/>
      <x:c r="U60" s="117"/>
      <x:c r="V60" s="117"/>
      <x:c r="W60" s="117"/>
      <x:c r="X60" s="117"/>
      <x:c r="Y60" s="117"/>
      <x:c r="Z60" s="117"/>
    </x:row>
    <x:row r="61">
      <x:c r="A61" s="147" t="str">
        <x:v>ANS-MAINT4</x:v>
      </x:c>
      <x:c r="B61" s="148" t="n">
        <x:v>3</x:v>
      </x:c>
      <x:c r="C61" s="148" t="str">
        <x:v>故障後対応中心</x:v>
      </x:c>
      <x:c r="D61" s="148" t="str">
        <x:v>BREAKDOWN</x:v>
      </x:c>
      <x:c r="E61" s="148" t="n">
        <x:v>20</x:v>
      </x:c>
      <x:c r="F61" s="148" t="str">
        <x:v>いいえ</x:v>
      </x:c>
      <x:c r="G61" s="149" t="str">
        <x:v>標準スコアは質問別ロジックで上書き可</x:v>
      </x:c>
      <x:c r="H61" s="117"/>
      <x:c r="I61" s="117"/>
      <x:c r="J61" s="117"/>
      <x:c r="K61" s="117"/>
      <x:c r="L61" s="117"/>
      <x:c r="M61" s="117"/>
      <x:c r="N61" s="117"/>
      <x:c r="O61" s="117"/>
      <x:c r="P61" s="117"/>
      <x:c r="Q61" s="117"/>
      <x:c r="R61" s="117"/>
      <x:c r="S61" s="117"/>
      <x:c r="T61" s="117"/>
      <x:c r="U61" s="117"/>
      <x:c r="V61" s="117"/>
      <x:c r="W61" s="117"/>
      <x:c r="X61" s="117"/>
      <x:c r="Y61" s="117"/>
      <x:c r="Z61" s="117"/>
    </x:row>
    <x:row r="62">
      <x:c r="A62" s="147" t="str">
        <x:v>ANS-MAINT4</x:v>
      </x:c>
      <x:c r="B62" s="148" t="n">
        <x:v>4</x:v>
      </x:c>
      <x:c r="C62" s="148" t="str">
        <x:v>未管理・不明</x:v>
      </x:c>
      <x:c r="D62" s="148" t="str">
        <x:v>UNKNOWN</x:v>
      </x:c>
      <x:c r="E62" s="148"/>
      <x:c r="F62" s="148" t="str">
        <x:v>はい</x:v>
      </x:c>
      <x:c r="G62" s="149" t="str">
        <x:v>標準スコアは質問別ロジックで上書き可</x:v>
      </x:c>
      <x:c r="H62" s="117"/>
      <x:c r="I62" s="117"/>
      <x:c r="J62" s="117"/>
      <x:c r="K62" s="117"/>
      <x:c r="L62" s="117"/>
      <x:c r="M62" s="117"/>
      <x:c r="N62" s="117"/>
      <x:c r="O62" s="117"/>
      <x:c r="P62" s="117"/>
      <x:c r="Q62" s="117"/>
      <x:c r="R62" s="117"/>
      <x:c r="S62" s="117"/>
      <x:c r="T62" s="117"/>
      <x:c r="U62" s="117"/>
      <x:c r="V62" s="117"/>
      <x:c r="W62" s="117"/>
      <x:c r="X62" s="117"/>
      <x:c r="Y62" s="117"/>
      <x:c r="Z62" s="117"/>
    </x:row>
    <x:row r="63">
      <x:c r="A63" s="147" t="str">
        <x:v>ANS-IMPL4</x:v>
      </x:c>
      <x:c r="B63" s="148" t="n">
        <x:v>1</x:v>
      </x:c>
      <x:c r="C63" s="148" t="str">
        <x:v>実施し効果検証済み</x:v>
      </x:c>
      <x:c r="D63" s="148" t="str">
        <x:v>VERIFIED</x:v>
      </x:c>
      <x:c r="E63" s="148" t="n">
        <x:v>100</x:v>
      </x:c>
      <x:c r="F63" s="148" t="str">
        <x:v>いいえ</x:v>
      </x:c>
      <x:c r="G63" s="149" t="str">
        <x:v>標準スコアは質問別ロジックで上書き可</x:v>
      </x:c>
      <x:c r="H63" s="117"/>
      <x:c r="I63" s="117"/>
      <x:c r="J63" s="117"/>
      <x:c r="K63" s="117"/>
      <x:c r="L63" s="117"/>
      <x:c r="M63" s="117"/>
      <x:c r="N63" s="117"/>
      <x:c r="O63" s="117"/>
      <x:c r="P63" s="117"/>
      <x:c r="Q63" s="117"/>
      <x:c r="R63" s="117"/>
      <x:c r="S63" s="117"/>
      <x:c r="T63" s="117"/>
      <x:c r="U63" s="117"/>
      <x:c r="V63" s="117"/>
      <x:c r="W63" s="117"/>
      <x:c r="X63" s="117"/>
      <x:c r="Y63" s="117"/>
      <x:c r="Z63" s="117"/>
    </x:row>
    <x:row r="64">
      <x:c r="A64" s="147" t="str">
        <x:v>ANS-IMPL4</x:v>
      </x:c>
      <x:c r="B64" s="148" t="n">
        <x:v>2</x:v>
      </x:c>
      <x:c r="C64" s="148" t="str">
        <x:v>実施したが効果未検証</x:v>
      </x:c>
      <x:c r="D64" s="148" t="str">
        <x:v>DONE</x:v>
      </x:c>
      <x:c r="E64" s="148" t="n">
        <x:v>60</x:v>
      </x:c>
      <x:c r="F64" s="148" t="str">
        <x:v>いいえ</x:v>
      </x:c>
      <x:c r="G64" s="149" t="str">
        <x:v>標準スコアは質問別ロジックで上書き可</x:v>
      </x:c>
      <x:c r="H64" s="117"/>
      <x:c r="I64" s="117"/>
      <x:c r="J64" s="117"/>
      <x:c r="K64" s="117"/>
      <x:c r="L64" s="117"/>
      <x:c r="M64" s="117"/>
      <x:c r="N64" s="117"/>
      <x:c r="O64" s="117"/>
      <x:c r="P64" s="117"/>
      <x:c r="Q64" s="117"/>
      <x:c r="R64" s="117"/>
      <x:c r="S64" s="117"/>
      <x:c r="T64" s="117"/>
      <x:c r="U64" s="117"/>
      <x:c r="V64" s="117"/>
      <x:c r="W64" s="117"/>
      <x:c r="X64" s="117"/>
      <x:c r="Y64" s="117"/>
      <x:c r="Z64" s="117"/>
    </x:row>
    <x:row r="65">
      <x:c r="A65" s="147" t="str">
        <x:v>ANS-IMPL4</x:v>
      </x:c>
      <x:c r="B65" s="148" t="n">
        <x:v>3</x:v>
      </x:c>
      <x:c r="C65" s="148" t="str">
        <x:v>未実施</x:v>
      </x:c>
      <x:c r="D65" s="148" t="str">
        <x:v>NONE</x:v>
      </x:c>
      <x:c r="E65" s="148" t="n">
        <x:v>20</x:v>
      </x:c>
      <x:c r="F65" s="148" t="str">
        <x:v>いいえ</x:v>
      </x:c>
      <x:c r="G65" s="149" t="str">
        <x:v>標準スコアは質問別ロジックで上書き可</x:v>
      </x:c>
      <x:c r="H65" s="117"/>
      <x:c r="I65" s="117"/>
      <x:c r="J65" s="117"/>
      <x:c r="K65" s="117"/>
      <x:c r="L65" s="117"/>
      <x:c r="M65" s="117"/>
      <x:c r="N65" s="117"/>
      <x:c r="O65" s="117"/>
      <x:c r="P65" s="117"/>
      <x:c r="Q65" s="117"/>
      <x:c r="R65" s="117"/>
      <x:c r="S65" s="117"/>
      <x:c r="T65" s="117"/>
      <x:c r="U65" s="117"/>
      <x:c r="V65" s="117"/>
      <x:c r="W65" s="117"/>
      <x:c r="X65" s="117"/>
      <x:c r="Y65" s="117"/>
      <x:c r="Z65" s="117"/>
    </x:row>
    <x:row r="66">
      <x:c r="A66" s="147" t="str">
        <x:v>ANS-IMPL4</x:v>
      </x:c>
      <x:c r="B66" s="148" t="n">
        <x:v>4</x:v>
      </x:c>
      <x:c r="C66" s="148" t="str">
        <x:v>分からない</x:v>
      </x:c>
      <x:c r="D66" s="148" t="str">
        <x:v>UNKNOWN</x:v>
      </x:c>
      <x:c r="E66" s="148"/>
      <x:c r="F66" s="148" t="str">
        <x:v>はい</x:v>
      </x:c>
      <x:c r="G66" s="149" t="str">
        <x:v>標準スコアは質問別ロジックで上書き可</x:v>
      </x:c>
      <x:c r="H66" s="117"/>
      <x:c r="I66" s="117"/>
      <x:c r="J66" s="117"/>
      <x:c r="K66" s="117"/>
      <x:c r="L66" s="117"/>
      <x:c r="M66" s="117"/>
      <x:c r="N66" s="117"/>
      <x:c r="O66" s="117"/>
      <x:c r="P66" s="117"/>
      <x:c r="Q66" s="117"/>
      <x:c r="R66" s="117"/>
      <x:c r="S66" s="117"/>
      <x:c r="T66" s="117"/>
      <x:c r="U66" s="117"/>
      <x:c r="V66" s="117"/>
      <x:c r="W66" s="117"/>
      <x:c r="X66" s="117"/>
      <x:c r="Y66" s="117"/>
      <x:c r="Z66" s="117"/>
    </x:row>
    <x:row r="67">
      <x:c r="A67" s="147" t="str">
        <x:v>ANS-DECISION4</x:v>
      </x:c>
      <x:c r="B67" s="148" t="n">
        <x:v>1</x:v>
      </x:c>
      <x:c r="C67" s="148" t="str">
        <x:v>合意・確定済み</x:v>
      </x:c>
      <x:c r="D67" s="148" t="str">
        <x:v>FULL</x:v>
      </x:c>
      <x:c r="E67" s="148" t="n">
        <x:v>100</x:v>
      </x:c>
      <x:c r="F67" s="148" t="str">
        <x:v>いいえ</x:v>
      </x:c>
      <x:c r="G67" s="149" t="str">
        <x:v>標準スコアは質問別ロジックで上書き可</x:v>
      </x:c>
      <x:c r="H67" s="117"/>
      <x:c r="I67" s="117"/>
      <x:c r="J67" s="117"/>
      <x:c r="K67" s="117"/>
      <x:c r="L67" s="117"/>
      <x:c r="M67" s="117"/>
      <x:c r="N67" s="117"/>
      <x:c r="O67" s="117"/>
      <x:c r="P67" s="117"/>
      <x:c r="Q67" s="117"/>
      <x:c r="R67" s="117"/>
      <x:c r="S67" s="117"/>
      <x:c r="T67" s="117"/>
      <x:c r="U67" s="117"/>
      <x:c r="V67" s="117"/>
      <x:c r="W67" s="117"/>
      <x:c r="X67" s="117"/>
      <x:c r="Y67" s="117"/>
      <x:c r="Z67" s="117"/>
    </x:row>
    <x:row r="68">
      <x:c r="A68" s="147" t="str">
        <x:v>ANS-DECISION4</x:v>
      </x:c>
      <x:c r="B68" s="148" t="n">
        <x:v>2</x:v>
      </x:c>
      <x:c r="C68" s="148" t="str">
        <x:v>検討中・一部合意</x:v>
      </x:c>
      <x:c r="D68" s="148" t="str">
        <x:v>PARTIAL</x:v>
      </x:c>
      <x:c r="E68" s="148" t="n">
        <x:v>60</x:v>
      </x:c>
      <x:c r="F68" s="148" t="str">
        <x:v>いいえ</x:v>
      </x:c>
      <x:c r="G68" s="149" t="str">
        <x:v>標準スコアは質問別ロジックで上書き可</x:v>
      </x:c>
      <x:c r="H68" s="117"/>
      <x:c r="I68" s="117"/>
      <x:c r="J68" s="117"/>
      <x:c r="K68" s="117"/>
      <x:c r="L68" s="117"/>
      <x:c r="M68" s="117"/>
      <x:c r="N68" s="117"/>
      <x:c r="O68" s="117"/>
      <x:c r="P68" s="117"/>
      <x:c r="Q68" s="117"/>
      <x:c r="R68" s="117"/>
      <x:c r="S68" s="117"/>
      <x:c r="T68" s="117"/>
      <x:c r="U68" s="117"/>
      <x:c r="V68" s="117"/>
      <x:c r="W68" s="117"/>
      <x:c r="X68" s="117"/>
      <x:c r="Y68" s="117"/>
      <x:c r="Z68" s="117"/>
    </x:row>
    <x:row r="69">
      <x:c r="A69" s="147" t="str">
        <x:v>ANS-DECISION4</x:v>
      </x:c>
      <x:c r="B69" s="148" t="n">
        <x:v>3</x:v>
      </x:c>
      <x:c r="C69" s="148" t="str">
        <x:v>未整理</x:v>
      </x:c>
      <x:c r="D69" s="148" t="str">
        <x:v>NONE</x:v>
      </x:c>
      <x:c r="E69" s="148" t="n">
        <x:v>20</x:v>
      </x:c>
      <x:c r="F69" s="148" t="str">
        <x:v>いいえ</x:v>
      </x:c>
      <x:c r="G69" s="149" t="str">
        <x:v>標準スコアは質問別ロジックで上書き可</x:v>
      </x:c>
      <x:c r="H69" s="117"/>
      <x:c r="I69" s="117"/>
      <x:c r="J69" s="117"/>
      <x:c r="K69" s="117"/>
      <x:c r="L69" s="117"/>
      <x:c r="M69" s="117"/>
      <x:c r="N69" s="117"/>
      <x:c r="O69" s="117"/>
      <x:c r="P69" s="117"/>
      <x:c r="Q69" s="117"/>
      <x:c r="R69" s="117"/>
      <x:c r="S69" s="117"/>
      <x:c r="T69" s="117"/>
      <x:c r="U69" s="117"/>
      <x:c r="V69" s="117"/>
      <x:c r="W69" s="117"/>
      <x:c r="X69" s="117"/>
      <x:c r="Y69" s="117"/>
      <x:c r="Z69" s="117"/>
    </x:row>
    <x:row r="70">
      <x:c r="A70" s="147" t="str">
        <x:v>ANS-DECISION4</x:v>
      </x:c>
      <x:c r="B70" s="148" t="n">
        <x:v>4</x:v>
      </x:c>
      <x:c r="C70" s="148" t="str">
        <x:v>分からない</x:v>
      </x:c>
      <x:c r="D70" s="148" t="str">
        <x:v>UNKNOWN</x:v>
      </x:c>
      <x:c r="E70" s="148"/>
      <x:c r="F70" s="148" t="str">
        <x:v>はい</x:v>
      </x:c>
      <x:c r="G70" s="149" t="str">
        <x:v>標準スコアは質問別ロジックで上書き可</x:v>
      </x:c>
      <x:c r="H70" s="117"/>
      <x:c r="I70" s="117"/>
      <x:c r="J70" s="117"/>
      <x:c r="K70" s="117"/>
      <x:c r="L70" s="117"/>
      <x:c r="M70" s="117"/>
      <x:c r="N70" s="117"/>
      <x:c r="O70" s="117"/>
      <x:c r="P70" s="117"/>
      <x:c r="Q70" s="117"/>
      <x:c r="R70" s="117"/>
      <x:c r="S70" s="117"/>
      <x:c r="T70" s="117"/>
      <x:c r="U70" s="117"/>
      <x:c r="V70" s="117"/>
      <x:c r="W70" s="117"/>
      <x:c r="X70" s="117"/>
      <x:c r="Y70" s="117"/>
      <x:c r="Z70" s="117"/>
    </x:row>
    <x:row r="71">
      <x:c r="A71" s="147" t="str">
        <x:v>ANS-BUDGET4</x:v>
      </x:c>
      <x:c r="B71" s="148" t="n">
        <x:v>1</x:v>
      </x:c>
      <x:c r="C71" s="148" t="str">
        <x:v>予算確保済み</x:v>
      </x:c>
      <x:c r="D71" s="148" t="str">
        <x:v>SECURED</x:v>
      </x:c>
      <x:c r="E71" s="148" t="n">
        <x:v>100</x:v>
      </x:c>
      <x:c r="F71" s="148" t="str">
        <x:v>いいえ</x:v>
      </x:c>
      <x:c r="G71" s="149" t="str">
        <x:v>標準スコアは質問別ロジックで上書き可</x:v>
      </x:c>
      <x:c r="H71" s="117"/>
      <x:c r="I71" s="117"/>
      <x:c r="J71" s="117"/>
      <x:c r="K71" s="117"/>
      <x:c r="L71" s="117"/>
      <x:c r="M71" s="117"/>
      <x:c r="N71" s="117"/>
      <x:c r="O71" s="117"/>
      <x:c r="P71" s="117"/>
      <x:c r="Q71" s="117"/>
      <x:c r="R71" s="117"/>
      <x:c r="S71" s="117"/>
      <x:c r="T71" s="117"/>
      <x:c r="U71" s="117"/>
      <x:c r="V71" s="117"/>
      <x:c r="W71" s="117"/>
      <x:c r="X71" s="117"/>
      <x:c r="Y71" s="117"/>
      <x:c r="Z71" s="117"/>
    </x:row>
    <x:row r="72">
      <x:c r="A72" s="147" t="str">
        <x:v>ANS-BUDGET4</x:v>
      </x:c>
      <x:c r="B72" s="148" t="n">
        <x:v>2</x:v>
      </x:c>
      <x:c r="C72" s="148" t="str">
        <x:v>申請時期・目安あり</x:v>
      </x:c>
      <x:c r="D72" s="148" t="str">
        <x:v>PLANNED</x:v>
      </x:c>
      <x:c r="E72" s="148" t="n">
        <x:v>70</x:v>
      </x:c>
      <x:c r="F72" s="148" t="str">
        <x:v>いいえ</x:v>
      </x:c>
      <x:c r="G72" s="149" t="str">
        <x:v>標準スコアは質問別ロジックで上書き可</x:v>
      </x:c>
      <x:c r="H72" s="117"/>
      <x:c r="I72" s="117"/>
      <x:c r="J72" s="117"/>
      <x:c r="K72" s="117"/>
      <x:c r="L72" s="117"/>
      <x:c r="M72" s="117"/>
      <x:c r="N72" s="117"/>
      <x:c r="O72" s="117"/>
      <x:c r="P72" s="117"/>
      <x:c r="Q72" s="117"/>
      <x:c r="R72" s="117"/>
      <x:c r="S72" s="117"/>
      <x:c r="T72" s="117"/>
      <x:c r="U72" s="117"/>
      <x:c r="V72" s="117"/>
      <x:c r="W72" s="117"/>
      <x:c r="X72" s="117"/>
      <x:c r="Y72" s="117"/>
      <x:c r="Z72" s="117"/>
    </x:row>
    <x:row r="73">
      <x:c r="A73" s="147" t="str">
        <x:v>ANS-BUDGET4</x:v>
      </x:c>
      <x:c r="B73" s="148" t="n">
        <x:v>3</x:v>
      </x:c>
      <x:c r="C73" s="148" t="str">
        <x:v>未定</x:v>
      </x:c>
      <x:c r="D73" s="148" t="str">
        <x:v>NONE</x:v>
      </x:c>
      <x:c r="E73" s="148" t="n">
        <x:v>20</x:v>
      </x:c>
      <x:c r="F73" s="148" t="str">
        <x:v>いいえ</x:v>
      </x:c>
      <x:c r="G73" s="149" t="str">
        <x:v>標準スコアは質問別ロジックで上書き可</x:v>
      </x:c>
      <x:c r="H73" s="117"/>
      <x:c r="I73" s="117"/>
      <x:c r="J73" s="117"/>
      <x:c r="K73" s="117"/>
      <x:c r="L73" s="117"/>
      <x:c r="M73" s="117"/>
      <x:c r="N73" s="117"/>
      <x:c r="O73" s="117"/>
      <x:c r="P73" s="117"/>
      <x:c r="Q73" s="117"/>
      <x:c r="R73" s="117"/>
      <x:c r="S73" s="117"/>
      <x:c r="T73" s="117"/>
      <x:c r="U73" s="117"/>
      <x:c r="V73" s="117"/>
      <x:c r="W73" s="117"/>
      <x:c r="X73" s="117"/>
      <x:c r="Y73" s="117"/>
      <x:c r="Z73" s="117"/>
    </x:row>
    <x:row r="74">
      <x:c r="A74" s="147" t="str">
        <x:v>ANS-BUDGET4</x:v>
      </x:c>
      <x:c r="B74" s="148" t="n">
        <x:v>4</x:v>
      </x:c>
      <x:c r="C74" s="148" t="str">
        <x:v>分からない</x:v>
      </x:c>
      <x:c r="D74" s="148" t="str">
        <x:v>UNKNOWN</x:v>
      </x:c>
      <x:c r="E74" s="148"/>
      <x:c r="F74" s="148" t="str">
        <x:v>はい</x:v>
      </x:c>
      <x:c r="G74" s="149" t="str">
        <x:v>標準スコアは質問別ロジックで上書き可</x:v>
      </x:c>
      <x:c r="H74" s="117"/>
      <x:c r="I74" s="117"/>
      <x:c r="J74" s="117"/>
      <x:c r="K74" s="117"/>
      <x:c r="L74" s="117"/>
      <x:c r="M74" s="117"/>
      <x:c r="N74" s="117"/>
      <x:c r="O74" s="117"/>
      <x:c r="P74" s="117"/>
      <x:c r="Q74" s="117"/>
      <x:c r="R74" s="117"/>
      <x:c r="S74" s="117"/>
      <x:c r="T74" s="117"/>
      <x:c r="U74" s="117"/>
      <x:c r="V74" s="117"/>
      <x:c r="W74" s="117"/>
      <x:c r="X74" s="117"/>
      <x:c r="Y74" s="117"/>
      <x:c r="Z74" s="117"/>
    </x:row>
    <x:row r="75">
      <x:c r="A75" s="147" t="str">
        <x:v>ANS-URGENCY4</x:v>
      </x:c>
      <x:c r="B75" s="148" t="n">
        <x:v>1</x:v>
      </x:c>
      <x:c r="C75" s="148" t="str">
        <x:v>直ちに・3か月以内</x:v>
      </x:c>
      <x:c r="D75" s="148" t="str">
        <x:v>NOW</x:v>
      </x:c>
      <x:c r="E75" s="148" t="n">
        <x:v>100</x:v>
      </x:c>
      <x:c r="F75" s="148" t="str">
        <x:v>いいえ</x:v>
      </x:c>
      <x:c r="G75" s="149" t="str">
        <x:v>標準スコアは質問別ロジックで上書き可</x:v>
      </x:c>
      <x:c r="H75" s="117"/>
      <x:c r="I75" s="117"/>
      <x:c r="J75" s="117"/>
      <x:c r="K75" s="117"/>
      <x:c r="L75" s="117"/>
      <x:c r="M75" s="117"/>
      <x:c r="N75" s="117"/>
      <x:c r="O75" s="117"/>
      <x:c r="P75" s="117"/>
      <x:c r="Q75" s="117"/>
      <x:c r="R75" s="117"/>
      <x:c r="S75" s="117"/>
      <x:c r="T75" s="117"/>
      <x:c r="U75" s="117"/>
      <x:c r="V75" s="117"/>
      <x:c r="W75" s="117"/>
      <x:c r="X75" s="117"/>
      <x:c r="Y75" s="117"/>
      <x:c r="Z75" s="117"/>
    </x:row>
    <x:row r="76">
      <x:c r="A76" s="147" t="str">
        <x:v>ANS-URGENCY4</x:v>
      </x:c>
      <x:c r="B76" s="148" t="n">
        <x:v>2</x:v>
      </x:c>
      <x:c r="C76" s="148" t="str">
        <x:v>1年以内</x:v>
      </x:c>
      <x:c r="D76" s="148" t="str">
        <x:v>Y1</x:v>
      </x:c>
      <x:c r="E76" s="148" t="n">
        <x:v>75</x:v>
      </x:c>
      <x:c r="F76" s="148" t="str">
        <x:v>いいえ</x:v>
      </x:c>
      <x:c r="G76" s="149" t="str">
        <x:v>標準スコアは質問別ロジックで上書き可</x:v>
      </x:c>
      <x:c r="H76" s="117"/>
      <x:c r="I76" s="117"/>
      <x:c r="J76" s="117"/>
      <x:c r="K76" s="117"/>
      <x:c r="L76" s="117"/>
      <x:c r="M76" s="117"/>
      <x:c r="N76" s="117"/>
      <x:c r="O76" s="117"/>
      <x:c r="P76" s="117"/>
      <x:c r="Q76" s="117"/>
      <x:c r="R76" s="117"/>
      <x:c r="S76" s="117"/>
      <x:c r="T76" s="117"/>
      <x:c r="U76" s="117"/>
      <x:c r="V76" s="117"/>
      <x:c r="W76" s="117"/>
      <x:c r="X76" s="117"/>
      <x:c r="Y76" s="117"/>
      <x:c r="Z76" s="117"/>
    </x:row>
    <x:row r="77">
      <x:c r="A77" s="147" t="str">
        <x:v>ANS-URGENCY4</x:v>
      </x:c>
      <x:c r="B77" s="148" t="n">
        <x:v>3</x:v>
      </x:c>
      <x:c r="C77" s="148" t="str">
        <x:v>1～3年以内</x:v>
      </x:c>
      <x:c r="D77" s="148" t="str">
        <x:v>Y3</x:v>
      </x:c>
      <x:c r="E77" s="148" t="n">
        <x:v>45</x:v>
      </x:c>
      <x:c r="F77" s="148" t="str">
        <x:v>いいえ</x:v>
      </x:c>
      <x:c r="G77" s="149" t="str">
        <x:v>標準スコアは質問別ロジックで上書き可</x:v>
      </x:c>
      <x:c r="H77" s="117"/>
      <x:c r="I77" s="117"/>
      <x:c r="J77" s="117"/>
      <x:c r="K77" s="117"/>
      <x:c r="L77" s="117"/>
      <x:c r="M77" s="117"/>
      <x:c r="N77" s="117"/>
      <x:c r="O77" s="117"/>
      <x:c r="P77" s="117"/>
      <x:c r="Q77" s="117"/>
      <x:c r="R77" s="117"/>
      <x:c r="S77" s="117"/>
      <x:c r="T77" s="117"/>
      <x:c r="U77" s="117"/>
      <x:c r="V77" s="117"/>
      <x:c r="W77" s="117"/>
      <x:c r="X77" s="117"/>
      <x:c r="Y77" s="117"/>
      <x:c r="Z77" s="117"/>
    </x:row>
    <x:row r="78">
      <x:c r="A78" s="147" t="str">
        <x:v>ANS-URGENCY4</x:v>
      </x:c>
      <x:c r="B78" s="148" t="n">
        <x:v>4</x:v>
      </x:c>
      <x:c r="C78" s="148" t="str">
        <x:v>3年超・未定</x:v>
      </x:c>
      <x:c r="D78" s="148" t="str">
        <x:v>LATER</x:v>
      </x:c>
      <x:c r="E78" s="148" t="n">
        <x:v>15</x:v>
      </x:c>
      <x:c r="F78" s="148" t="str">
        <x:v>いいえ</x:v>
      </x:c>
      <x:c r="G78" s="149" t="str">
        <x:v>標準スコアは質問別ロジックで上書き可</x:v>
      </x:c>
      <x:c r="H78" s="117"/>
      <x:c r="I78" s="117"/>
      <x:c r="J78" s="117"/>
      <x:c r="K78" s="117"/>
      <x:c r="L78" s="117"/>
      <x:c r="M78" s="117"/>
      <x:c r="N78" s="117"/>
      <x:c r="O78" s="117"/>
      <x:c r="P78" s="117"/>
      <x:c r="Q78" s="117"/>
      <x:c r="R78" s="117"/>
      <x:c r="S78" s="117"/>
      <x:c r="T78" s="117"/>
      <x:c r="U78" s="117"/>
      <x:c r="V78" s="117"/>
      <x:c r="W78" s="117"/>
      <x:c r="X78" s="117"/>
      <x:c r="Y78" s="117"/>
      <x:c r="Z78" s="117"/>
    </x:row>
    <x:row r="79">
      <x:c r="A79" s="147" t="str">
        <x:v>ANS-URGENCY4</x:v>
      </x:c>
      <x:c r="B79" s="148" t="n">
        <x:v>5</x:v>
      </x:c>
      <x:c r="C79" s="148" t="str">
        <x:v>分からない</x:v>
      </x:c>
      <x:c r="D79" s="148" t="str">
        <x:v>UNKNOWN</x:v>
      </x:c>
      <x:c r="E79" s="148"/>
      <x:c r="F79" s="148" t="str">
        <x:v>はい</x:v>
      </x:c>
      <x:c r="G79" s="149" t="str">
        <x:v>標準スコアは質問別ロジックで上書き可</x:v>
      </x:c>
      <x:c r="H79" s="117"/>
      <x:c r="I79" s="117"/>
      <x:c r="J79" s="117"/>
      <x:c r="K79" s="117"/>
      <x:c r="L79" s="117"/>
      <x:c r="M79" s="117"/>
      <x:c r="N79" s="117"/>
      <x:c r="O79" s="117"/>
      <x:c r="P79" s="117"/>
      <x:c r="Q79" s="117"/>
      <x:c r="R79" s="117"/>
      <x:c r="S79" s="117"/>
      <x:c r="T79" s="117"/>
      <x:c r="U79" s="117"/>
      <x:c r="V79" s="117"/>
      <x:c r="W79" s="117"/>
      <x:c r="X79" s="117"/>
      <x:c r="Y79" s="117"/>
      <x:c r="Z79" s="117"/>
    </x:row>
    <x:row r="80">
      <x:c r="A80" s="147" t="str">
        <x:v>ANS-IMPACTVALUE4</x:v>
      </x:c>
      <x:c r="B80" s="148" t="n">
        <x:v>1</x:v>
      </x:c>
      <x:c r="C80" s="148" t="str">
        <x:v>金額・影響範囲を算定済み</x:v>
      </x:c>
      <x:c r="D80" s="148" t="str">
        <x:v>FULL</x:v>
      </x:c>
      <x:c r="E80" s="148" t="n">
        <x:v>100</x:v>
      </x:c>
      <x:c r="F80" s="148" t="str">
        <x:v>いいえ</x:v>
      </x:c>
      <x:c r="G80" s="149" t="str">
        <x:v>標準スコアは質問別ロジックで上書き可</x:v>
      </x:c>
      <x:c r="H80" s="117"/>
      <x:c r="I80" s="117"/>
      <x:c r="J80" s="117"/>
      <x:c r="K80" s="117"/>
      <x:c r="L80" s="117"/>
      <x:c r="M80" s="117"/>
      <x:c r="N80" s="117"/>
      <x:c r="O80" s="117"/>
      <x:c r="P80" s="117"/>
      <x:c r="Q80" s="117"/>
      <x:c r="R80" s="117"/>
      <x:c r="S80" s="117"/>
      <x:c r="T80" s="117"/>
      <x:c r="U80" s="117"/>
      <x:c r="V80" s="117"/>
      <x:c r="W80" s="117"/>
      <x:c r="X80" s="117"/>
      <x:c r="Y80" s="117"/>
      <x:c r="Z80" s="117"/>
    </x:row>
    <x:row r="81">
      <x:c r="A81" s="147" t="str">
        <x:v>ANS-IMPACTVALUE4</x:v>
      </x:c>
      <x:c r="B81" s="148" t="n">
        <x:v>2</x:v>
      </x:c>
      <x:c r="C81" s="148" t="str">
        <x:v>概算可能</x:v>
      </x:c>
      <x:c r="D81" s="148" t="str">
        <x:v>PARTIAL</x:v>
      </x:c>
      <x:c r="E81" s="148" t="n">
        <x:v>65</x:v>
      </x:c>
      <x:c r="F81" s="148" t="str">
        <x:v>いいえ</x:v>
      </x:c>
      <x:c r="G81" s="149" t="str">
        <x:v>標準スコアは質問別ロジックで上書き可</x:v>
      </x:c>
      <x:c r="H81" s="117"/>
      <x:c r="I81" s="117"/>
      <x:c r="J81" s="117"/>
      <x:c r="K81" s="117"/>
      <x:c r="L81" s="117"/>
      <x:c r="M81" s="117"/>
      <x:c r="N81" s="117"/>
      <x:c r="O81" s="117"/>
      <x:c r="P81" s="117"/>
      <x:c r="Q81" s="117"/>
      <x:c r="R81" s="117"/>
      <x:c r="S81" s="117"/>
      <x:c r="T81" s="117"/>
      <x:c r="U81" s="117"/>
      <x:c r="V81" s="117"/>
      <x:c r="W81" s="117"/>
      <x:c r="X81" s="117"/>
      <x:c r="Y81" s="117"/>
      <x:c r="Z81" s="117"/>
    </x:row>
    <x:row r="82">
      <x:c r="A82" s="147" t="str">
        <x:v>ANS-IMPACTVALUE4</x:v>
      </x:c>
      <x:c r="B82" s="148" t="n">
        <x:v>3</x:v>
      </x:c>
      <x:c r="C82" s="148" t="str">
        <x:v>大きい認識のみ</x:v>
      </x:c>
      <x:c r="D82" s="148" t="str">
        <x:v>VERBAL</x:v>
      </x:c>
      <x:c r="E82" s="148" t="n">
        <x:v>35</x:v>
      </x:c>
      <x:c r="F82" s="148" t="str">
        <x:v>いいえ</x:v>
      </x:c>
      <x:c r="G82" s="149" t="str">
        <x:v>標準スコアは質問別ロジックで上書き可</x:v>
      </x:c>
      <x:c r="H82" s="117"/>
      <x:c r="I82" s="117"/>
      <x:c r="J82" s="117"/>
      <x:c r="K82" s="117"/>
      <x:c r="L82" s="117"/>
      <x:c r="M82" s="117"/>
      <x:c r="N82" s="117"/>
      <x:c r="O82" s="117"/>
      <x:c r="P82" s="117"/>
      <x:c r="Q82" s="117"/>
      <x:c r="R82" s="117"/>
      <x:c r="S82" s="117"/>
      <x:c r="T82" s="117"/>
      <x:c r="U82" s="117"/>
      <x:c r="V82" s="117"/>
      <x:c r="W82" s="117"/>
      <x:c r="X82" s="117"/>
      <x:c r="Y82" s="117"/>
      <x:c r="Z82" s="117"/>
    </x:row>
    <x:row r="83">
      <x:c r="A83" s="147" t="str">
        <x:v>ANS-IMPACTVALUE4</x:v>
      </x:c>
      <x:c r="B83" s="148" t="n">
        <x:v>4</x:v>
      </x:c>
      <x:c r="C83" s="148" t="str">
        <x:v>把握していない</x:v>
      </x:c>
      <x:c r="D83" s="148" t="str">
        <x:v>NONE</x:v>
      </x:c>
      <x:c r="E83" s="148" t="n">
        <x:v>10</x:v>
      </x:c>
      <x:c r="F83" s="148" t="str">
        <x:v>いいえ</x:v>
      </x:c>
      <x:c r="G83" s="149" t="str">
        <x:v>標準スコアは質問別ロジックで上書き可</x:v>
      </x:c>
      <x:c r="H83" s="117"/>
      <x:c r="I83" s="117"/>
      <x:c r="J83" s="117"/>
      <x:c r="K83" s="117"/>
      <x:c r="L83" s="117"/>
      <x:c r="M83" s="117"/>
      <x:c r="N83" s="117"/>
      <x:c r="O83" s="117"/>
      <x:c r="P83" s="117"/>
      <x:c r="Q83" s="117"/>
      <x:c r="R83" s="117"/>
      <x:c r="S83" s="117"/>
      <x:c r="T83" s="117"/>
      <x:c r="U83" s="117"/>
      <x:c r="V83" s="117"/>
      <x:c r="W83" s="117"/>
      <x:c r="X83" s="117"/>
      <x:c r="Y83" s="117"/>
      <x:c r="Z83" s="117"/>
    </x:row>
    <x:row r="84">
      <x:c r="A84" s="147" t="str">
        <x:v>ANS-IMPACTVALUE4</x:v>
      </x:c>
      <x:c r="B84" s="148" t="n">
        <x:v>5</x:v>
      </x:c>
      <x:c r="C84" s="148" t="str">
        <x:v>分からない</x:v>
      </x:c>
      <x:c r="D84" s="148" t="str">
        <x:v>UNKNOWN</x:v>
      </x:c>
      <x:c r="E84" s="148"/>
      <x:c r="F84" s="148" t="str">
        <x:v>はい</x:v>
      </x:c>
      <x:c r="G84" s="149" t="str">
        <x:v>標準スコアは質問別ロジックで上書き可</x:v>
      </x:c>
      <x:c r="H84" s="117"/>
      <x:c r="I84" s="117"/>
      <x:c r="J84" s="117"/>
      <x:c r="K84" s="117"/>
      <x:c r="L84" s="117"/>
      <x:c r="M84" s="117"/>
      <x:c r="N84" s="117"/>
      <x:c r="O84" s="117"/>
      <x:c r="P84" s="117"/>
      <x:c r="Q84" s="117"/>
      <x:c r="R84" s="117"/>
      <x:c r="S84" s="117"/>
      <x:c r="T84" s="117"/>
      <x:c r="U84" s="117"/>
      <x:c r="V84" s="117"/>
      <x:c r="W84" s="117"/>
      <x:c r="X84" s="117"/>
      <x:c r="Y84" s="117"/>
      <x:c r="Z84" s="117"/>
    </x:row>
    <x:row r="85">
      <x:c r="A85" s="147" t="str">
        <x:v>ANS-RISK4</x:v>
      </x:c>
      <x:c r="B85" s="148" t="n">
        <x:v>1</x:v>
      </x:c>
      <x:c r="C85" s="148" t="str">
        <x:v>高い根拠あり</x:v>
      </x:c>
      <x:c r="D85" s="148" t="str">
        <x:v>HIGH</x:v>
      </x:c>
      <x:c r="E85" s="148" t="n">
        <x:v>100</x:v>
      </x:c>
      <x:c r="F85" s="148" t="str">
        <x:v>いいえ</x:v>
      </x:c>
      <x:c r="G85" s="149" t="str">
        <x:v>標準スコアは質問別ロジックで上書き可</x:v>
      </x:c>
      <x:c r="H85" s="117"/>
      <x:c r="I85" s="117"/>
      <x:c r="J85" s="117"/>
      <x:c r="K85" s="117"/>
      <x:c r="L85" s="117"/>
      <x:c r="M85" s="117"/>
      <x:c r="N85" s="117"/>
      <x:c r="O85" s="117"/>
      <x:c r="P85" s="117"/>
      <x:c r="Q85" s="117"/>
      <x:c r="R85" s="117"/>
      <x:c r="S85" s="117"/>
      <x:c r="T85" s="117"/>
      <x:c r="U85" s="117"/>
      <x:c r="V85" s="117"/>
      <x:c r="W85" s="117"/>
      <x:c r="X85" s="117"/>
      <x:c r="Y85" s="117"/>
      <x:c r="Z85" s="117"/>
    </x:row>
    <x:row r="86">
      <x:c r="A86" s="147" t="str">
        <x:v>ANS-RISK4</x:v>
      </x:c>
      <x:c r="B86" s="148" t="n">
        <x:v>2</x:v>
      </x:c>
      <x:c r="C86" s="148" t="str">
        <x:v>高い可能性あり</x:v>
      </x:c>
      <x:c r="D86" s="148" t="str">
        <x:v>MID</x:v>
      </x:c>
      <x:c r="E86" s="148" t="n">
        <x:v>70</x:v>
      </x:c>
      <x:c r="F86" s="148" t="str">
        <x:v>いいえ</x:v>
      </x:c>
      <x:c r="G86" s="149" t="str">
        <x:v>標準スコアは質問別ロジックで上書き可</x:v>
      </x:c>
      <x:c r="H86" s="117"/>
      <x:c r="I86" s="117"/>
      <x:c r="J86" s="117"/>
      <x:c r="K86" s="117"/>
      <x:c r="L86" s="117"/>
      <x:c r="M86" s="117"/>
      <x:c r="N86" s="117"/>
      <x:c r="O86" s="117"/>
      <x:c r="P86" s="117"/>
      <x:c r="Q86" s="117"/>
      <x:c r="R86" s="117"/>
      <x:c r="S86" s="117"/>
      <x:c r="T86" s="117"/>
      <x:c r="U86" s="117"/>
      <x:c r="V86" s="117"/>
      <x:c r="W86" s="117"/>
      <x:c r="X86" s="117"/>
      <x:c r="Y86" s="117"/>
      <x:c r="Z86" s="117"/>
    </x:row>
    <x:row r="87">
      <x:c r="A87" s="147" t="str">
        <x:v>ANS-RISK4</x:v>
      </x:c>
      <x:c r="B87" s="148" t="n">
        <x:v>3</x:v>
      </x:c>
      <x:c r="C87" s="148" t="str">
        <x:v>低い</x:v>
      </x:c>
      <x:c r="D87" s="148" t="str">
        <x:v>LOW</x:v>
      </x:c>
      <x:c r="E87" s="148" t="n">
        <x:v>20</x:v>
      </x:c>
      <x:c r="F87" s="148" t="str">
        <x:v>いいえ</x:v>
      </x:c>
      <x:c r="G87" s="149" t="str">
        <x:v>標準スコアは質問別ロジックで上書き可</x:v>
      </x:c>
      <x:c r="H87" s="117"/>
      <x:c r="I87" s="117"/>
      <x:c r="J87" s="117"/>
      <x:c r="K87" s="117"/>
      <x:c r="L87" s="117"/>
      <x:c r="M87" s="117"/>
      <x:c r="N87" s="117"/>
      <x:c r="O87" s="117"/>
      <x:c r="P87" s="117"/>
      <x:c r="Q87" s="117"/>
      <x:c r="R87" s="117"/>
      <x:c r="S87" s="117"/>
      <x:c r="T87" s="117"/>
      <x:c r="U87" s="117"/>
      <x:c r="V87" s="117"/>
      <x:c r="W87" s="117"/>
      <x:c r="X87" s="117"/>
      <x:c r="Y87" s="117"/>
      <x:c r="Z87" s="117"/>
    </x:row>
    <x:row r="88">
      <x:c r="A88" s="147" t="str">
        <x:v>ANS-RISK4</x:v>
      </x:c>
      <x:c r="B88" s="148" t="n">
        <x:v>4</x:v>
      </x:c>
      <x:c r="C88" s="148" t="str">
        <x:v>分からない</x:v>
      </x:c>
      <x:c r="D88" s="148" t="str">
        <x:v>UNKNOWN</x:v>
      </x:c>
      <x:c r="E88" s="148"/>
      <x:c r="F88" s="148" t="str">
        <x:v>はい</x:v>
      </x:c>
      <x:c r="G88" s="149" t="str">
        <x:v>標準スコアは質問別ロジックで上書き可</x:v>
      </x:c>
      <x:c r="H88" s="117"/>
      <x:c r="I88" s="117"/>
      <x:c r="J88" s="117"/>
      <x:c r="K88" s="117"/>
      <x:c r="L88" s="117"/>
      <x:c r="M88" s="117"/>
      <x:c r="N88" s="117"/>
      <x:c r="O88" s="117"/>
      <x:c r="P88" s="117"/>
      <x:c r="Q88" s="117"/>
      <x:c r="R88" s="117"/>
      <x:c r="S88" s="117"/>
      <x:c r="T88" s="117"/>
      <x:c r="U88" s="117"/>
      <x:c r="V88" s="117"/>
      <x:c r="W88" s="117"/>
      <x:c r="X88" s="117"/>
      <x:c r="Y88" s="117"/>
      <x:c r="Z88" s="117"/>
    </x:row>
    <x:row r="89">
      <x:c r="A89" s="147" t="str">
        <x:v>ANS-OPPORTUNITY4</x:v>
      </x:c>
      <x:c r="B89" s="148" t="n">
        <x:v>1</x:v>
      </x:c>
      <x:c r="C89" s="148" t="str">
        <x:v>6か月以内に好機あり</x:v>
      </x:c>
      <x:c r="D89" s="148" t="str">
        <x:v>SOON</x:v>
      </x:c>
      <x:c r="E89" s="148" t="n">
        <x:v>100</x:v>
      </x:c>
      <x:c r="F89" s="148" t="str">
        <x:v>いいえ</x:v>
      </x:c>
      <x:c r="G89" s="149" t="str">
        <x:v>標準スコアは質問別ロジックで上書き可</x:v>
      </x:c>
      <x:c r="H89" s="117"/>
      <x:c r="I89" s="117"/>
      <x:c r="J89" s="117"/>
      <x:c r="K89" s="117"/>
      <x:c r="L89" s="117"/>
      <x:c r="M89" s="117"/>
      <x:c r="N89" s="117"/>
      <x:c r="O89" s="117"/>
      <x:c r="P89" s="117"/>
      <x:c r="Q89" s="117"/>
      <x:c r="R89" s="117"/>
      <x:c r="S89" s="117"/>
      <x:c r="T89" s="117"/>
      <x:c r="U89" s="117"/>
      <x:c r="V89" s="117"/>
      <x:c r="W89" s="117"/>
      <x:c r="X89" s="117"/>
      <x:c r="Y89" s="117"/>
      <x:c r="Z89" s="117"/>
    </x:row>
    <x:row r="90">
      <x:c r="A90" s="147" t="str">
        <x:v>ANS-OPPORTUNITY4</x:v>
      </x:c>
      <x:c r="B90" s="148" t="n">
        <x:v>2</x:v>
      </x:c>
      <x:c r="C90" s="148" t="str">
        <x:v>1年以内に好機あり</x:v>
      </x:c>
      <x:c r="D90" s="148" t="str">
        <x:v>Y1</x:v>
      </x:c>
      <x:c r="E90" s="148" t="n">
        <x:v>70</x:v>
      </x:c>
      <x:c r="F90" s="148" t="str">
        <x:v>いいえ</x:v>
      </x:c>
      <x:c r="G90" s="149" t="str">
        <x:v>標準スコアは質問別ロジックで上書き可</x:v>
      </x:c>
      <x:c r="H90" s="117"/>
      <x:c r="I90" s="117"/>
      <x:c r="J90" s="117"/>
      <x:c r="K90" s="117"/>
      <x:c r="L90" s="117"/>
      <x:c r="M90" s="117"/>
      <x:c r="N90" s="117"/>
      <x:c r="O90" s="117"/>
      <x:c r="P90" s="117"/>
      <x:c r="Q90" s="117"/>
      <x:c r="R90" s="117"/>
      <x:c r="S90" s="117"/>
      <x:c r="T90" s="117"/>
      <x:c r="U90" s="117"/>
      <x:c r="V90" s="117"/>
      <x:c r="W90" s="117"/>
      <x:c r="X90" s="117"/>
      <x:c r="Y90" s="117"/>
      <x:c r="Z90" s="117"/>
    </x:row>
    <x:row r="91">
      <x:c r="A91" s="147" t="str">
        <x:v>ANS-OPPORTUNITY4</x:v>
      </x:c>
      <x:c r="B91" s="148" t="n">
        <x:v>3</x:v>
      </x:c>
      <x:c r="C91" s="148" t="str">
        <x:v>当面なし</x:v>
      </x:c>
      <x:c r="D91" s="148" t="str">
        <x:v>NONE</x:v>
      </x:c>
      <x:c r="E91" s="148" t="n">
        <x:v>20</x:v>
      </x:c>
      <x:c r="F91" s="148" t="str">
        <x:v>いいえ</x:v>
      </x:c>
      <x:c r="G91" s="149" t="str">
        <x:v>標準スコアは質問別ロジックで上書き可</x:v>
      </x:c>
      <x:c r="H91" s="117"/>
      <x:c r="I91" s="117"/>
      <x:c r="J91" s="117"/>
      <x:c r="K91" s="117"/>
      <x:c r="L91" s="117"/>
      <x:c r="M91" s="117"/>
      <x:c r="N91" s="117"/>
      <x:c r="O91" s="117"/>
      <x:c r="P91" s="117"/>
      <x:c r="Q91" s="117"/>
      <x:c r="R91" s="117"/>
      <x:c r="S91" s="117"/>
      <x:c r="T91" s="117"/>
      <x:c r="U91" s="117"/>
      <x:c r="V91" s="117"/>
      <x:c r="W91" s="117"/>
      <x:c r="X91" s="117"/>
      <x:c r="Y91" s="117"/>
      <x:c r="Z91" s="117"/>
    </x:row>
    <x:row r="92">
      <x:c r="A92" s="147" t="str">
        <x:v>ANS-OPPORTUNITY4</x:v>
      </x:c>
      <x:c r="B92" s="148" t="n">
        <x:v>4</x:v>
      </x:c>
      <x:c r="C92" s="148" t="str">
        <x:v>分からない</x:v>
      </x:c>
      <x:c r="D92" s="148" t="str">
        <x:v>UNKNOWN</x:v>
      </x:c>
      <x:c r="E92" s="148"/>
      <x:c r="F92" s="148" t="str">
        <x:v>はい</x:v>
      </x:c>
      <x:c r="G92" s="149" t="str">
        <x:v>標準スコアは質問別ロジックで上書き可</x:v>
      </x:c>
      <x:c r="H92" s="117"/>
      <x:c r="I92" s="117"/>
      <x:c r="J92" s="117"/>
      <x:c r="K92" s="117"/>
      <x:c r="L92" s="117"/>
      <x:c r="M92" s="117"/>
      <x:c r="N92" s="117"/>
      <x:c r="O92" s="117"/>
      <x:c r="P92" s="117"/>
      <x:c r="Q92" s="117"/>
      <x:c r="R92" s="117"/>
      <x:c r="S92" s="117"/>
      <x:c r="T92" s="117"/>
      <x:c r="U92" s="117"/>
      <x:c r="V92" s="117"/>
      <x:c r="W92" s="117"/>
      <x:c r="X92" s="117"/>
      <x:c r="Y92" s="117"/>
      <x:c r="Z92" s="117"/>
    </x:row>
    <x:row r="93">
      <x:c r="A93" s="147" t="str">
        <x:v>ANS-BENEFIT4</x:v>
      </x:c>
      <x:c r="B93" s="148" t="n">
        <x:v>1</x:v>
      </x:c>
      <x:c r="C93" s="148" t="str">
        <x:v>定量的に大きい</x:v>
      </x:c>
      <x:c r="D93" s="148" t="str">
        <x:v>HIGH</x:v>
      </x:c>
      <x:c r="E93" s="148" t="n">
        <x:v>100</x:v>
      </x:c>
      <x:c r="F93" s="148" t="str">
        <x:v>いいえ</x:v>
      </x:c>
      <x:c r="G93" s="149" t="str">
        <x:v>標準スコアは質問別ロジックで上書き可</x:v>
      </x:c>
      <x:c r="H93" s="117"/>
      <x:c r="I93" s="117"/>
      <x:c r="J93" s="117"/>
      <x:c r="K93" s="117"/>
      <x:c r="L93" s="117"/>
      <x:c r="M93" s="117"/>
      <x:c r="N93" s="117"/>
      <x:c r="O93" s="117"/>
      <x:c r="P93" s="117"/>
      <x:c r="Q93" s="117"/>
      <x:c r="R93" s="117"/>
      <x:c r="S93" s="117"/>
      <x:c r="T93" s="117"/>
      <x:c r="U93" s="117"/>
      <x:c r="V93" s="117"/>
      <x:c r="W93" s="117"/>
      <x:c r="X93" s="117"/>
      <x:c r="Y93" s="117"/>
      <x:c r="Z93" s="117"/>
    </x:row>
    <x:row r="94">
      <x:c r="A94" s="147" t="str">
        <x:v>ANS-BENEFIT4</x:v>
      </x:c>
      <x:c r="B94" s="148" t="n">
        <x:v>2</x:v>
      </x:c>
      <x:c r="C94" s="148" t="str">
        <x:v>効果見込みあり</x:v>
      </x:c>
      <x:c r="D94" s="148" t="str">
        <x:v>MID</x:v>
      </x:c>
      <x:c r="E94" s="148" t="n">
        <x:v>65</x:v>
      </x:c>
      <x:c r="F94" s="148" t="str">
        <x:v>いいえ</x:v>
      </x:c>
      <x:c r="G94" s="149" t="str">
        <x:v>標準スコアは質問別ロジックで上書き可</x:v>
      </x:c>
      <x:c r="H94" s="117"/>
      <x:c r="I94" s="117"/>
      <x:c r="J94" s="117"/>
      <x:c r="K94" s="117"/>
      <x:c r="L94" s="117"/>
      <x:c r="M94" s="117"/>
      <x:c r="N94" s="117"/>
      <x:c r="O94" s="117"/>
      <x:c r="P94" s="117"/>
      <x:c r="Q94" s="117"/>
      <x:c r="R94" s="117"/>
      <x:c r="S94" s="117"/>
      <x:c r="T94" s="117"/>
      <x:c r="U94" s="117"/>
      <x:c r="V94" s="117"/>
      <x:c r="W94" s="117"/>
      <x:c r="X94" s="117"/>
      <x:c r="Y94" s="117"/>
      <x:c r="Z94" s="117"/>
    </x:row>
    <x:row r="95">
      <x:c r="A95" s="147" t="str">
        <x:v>ANS-BENEFIT4</x:v>
      </x:c>
      <x:c r="B95" s="148" t="n">
        <x:v>3</x:v>
      </x:c>
      <x:c r="C95" s="148" t="str">
        <x:v>小さい・不明確</x:v>
      </x:c>
      <x:c r="D95" s="148" t="str">
        <x:v>LOW</x:v>
      </x:c>
      <x:c r="E95" s="148" t="n">
        <x:v>20</x:v>
      </x:c>
      <x:c r="F95" s="148" t="str">
        <x:v>いいえ</x:v>
      </x:c>
      <x:c r="G95" s="149" t="str">
        <x:v>標準スコアは質問別ロジックで上書き可</x:v>
      </x:c>
      <x:c r="H95" s="117"/>
      <x:c r="I95" s="117"/>
      <x:c r="J95" s="117"/>
      <x:c r="K95" s="117"/>
      <x:c r="L95" s="117"/>
      <x:c r="M95" s="117"/>
      <x:c r="N95" s="117"/>
      <x:c r="O95" s="117"/>
      <x:c r="P95" s="117"/>
      <x:c r="Q95" s="117"/>
      <x:c r="R95" s="117"/>
      <x:c r="S95" s="117"/>
      <x:c r="T95" s="117"/>
      <x:c r="U95" s="117"/>
      <x:c r="V95" s="117"/>
      <x:c r="W95" s="117"/>
      <x:c r="X95" s="117"/>
      <x:c r="Y95" s="117"/>
      <x:c r="Z95" s="117"/>
    </x:row>
    <x:row r="96">
      <x:c r="A96" s="147" t="str">
        <x:v>ANS-BENEFIT4</x:v>
      </x:c>
      <x:c r="B96" s="148" t="n">
        <x:v>4</x:v>
      </x:c>
      <x:c r="C96" s="148" t="str">
        <x:v>分からない</x:v>
      </x:c>
      <x:c r="D96" s="148" t="str">
        <x:v>UNKNOWN</x:v>
      </x:c>
      <x:c r="E96" s="148"/>
      <x:c r="F96" s="148" t="str">
        <x:v>はい</x:v>
      </x:c>
      <x:c r="G96" s="149" t="str">
        <x:v>標準スコアは質問別ロジックで上書き可</x:v>
      </x:c>
      <x:c r="H96" s="117"/>
      <x:c r="I96" s="117"/>
      <x:c r="J96" s="117"/>
      <x:c r="K96" s="117"/>
      <x:c r="L96" s="117"/>
      <x:c r="M96" s="117"/>
      <x:c r="N96" s="117"/>
      <x:c r="O96" s="117"/>
      <x:c r="P96" s="117"/>
      <x:c r="Q96" s="117"/>
      <x:c r="R96" s="117"/>
      <x:c r="S96" s="117"/>
      <x:c r="T96" s="117"/>
      <x:c r="U96" s="117"/>
      <x:c r="V96" s="117"/>
      <x:c r="W96" s="117"/>
      <x:c r="X96" s="117"/>
      <x:c r="Y96" s="117"/>
      <x:c r="Z96" s="117"/>
    </x:row>
    <x:row r="97">
      <x:c r="A97" s="147" t="str">
        <x:v>ANS-INDUSTRY</x:v>
      </x:c>
      <x:c r="B97" s="148" t="n">
        <x:v>1</x:v>
      </x:c>
      <x:c r="C97" s="148" t="str">
        <x:v>製造業</x:v>
      </x:c>
      <x:c r="D97" s="148" t="str">
        <x:v>MFG</x:v>
      </x:c>
      <x:c r="E97" s="148"/>
      <x:c r="F97" s="148" t="str">
        <x:v>いいえ</x:v>
      </x:c>
      <x:c r="G97" s="149" t="str">
        <x:v>標準スコアは質問別ロジックで上書き可</x:v>
      </x:c>
      <x:c r="H97" s="117"/>
      <x:c r="I97" s="117"/>
      <x:c r="J97" s="117"/>
      <x:c r="K97" s="117"/>
      <x:c r="L97" s="117"/>
      <x:c r="M97" s="117"/>
      <x:c r="N97" s="117"/>
      <x:c r="O97" s="117"/>
      <x:c r="P97" s="117"/>
      <x:c r="Q97" s="117"/>
      <x:c r="R97" s="117"/>
      <x:c r="S97" s="117"/>
      <x:c r="T97" s="117"/>
      <x:c r="U97" s="117"/>
      <x:c r="V97" s="117"/>
      <x:c r="W97" s="117"/>
      <x:c r="X97" s="117"/>
      <x:c r="Y97" s="117"/>
      <x:c r="Z97" s="117"/>
    </x:row>
    <x:row r="98">
      <x:c r="A98" s="147" t="str">
        <x:v>ANS-INDUSTRY</x:v>
      </x:c>
      <x:c r="B98" s="148" t="n">
        <x:v>2</x:v>
      </x:c>
      <x:c r="C98" s="148" t="str">
        <x:v>食品・医薬</x:v>
      </x:c>
      <x:c r="D98" s="148" t="str">
        <x:v>FOOD</x:v>
      </x:c>
      <x:c r="E98" s="148"/>
      <x:c r="F98" s="148" t="str">
        <x:v>いいえ</x:v>
      </x:c>
      <x:c r="G98" s="149" t="str">
        <x:v>標準スコアは質問別ロジックで上書き可</x:v>
      </x:c>
      <x:c r="H98" s="117"/>
      <x:c r="I98" s="117"/>
      <x:c r="J98" s="117"/>
      <x:c r="K98" s="117"/>
      <x:c r="L98" s="117"/>
      <x:c r="M98" s="117"/>
      <x:c r="N98" s="117"/>
      <x:c r="O98" s="117"/>
      <x:c r="P98" s="117"/>
      <x:c r="Q98" s="117"/>
      <x:c r="R98" s="117"/>
      <x:c r="S98" s="117"/>
      <x:c r="T98" s="117"/>
      <x:c r="U98" s="117"/>
      <x:c r="V98" s="117"/>
      <x:c r="W98" s="117"/>
      <x:c r="X98" s="117"/>
      <x:c r="Y98" s="117"/>
      <x:c r="Z98" s="117"/>
    </x:row>
    <x:row r="99">
      <x:c r="A99" s="147" t="str">
        <x:v>ANS-INDUSTRY</x:v>
      </x:c>
      <x:c r="B99" s="148" t="n">
        <x:v>3</x:v>
      </x:c>
      <x:c r="C99" s="148" t="str">
        <x:v>物流・倉庫</x:v>
      </x:c>
      <x:c r="D99" s="148" t="str">
        <x:v>LOGI</x:v>
      </x:c>
      <x:c r="E99" s="148"/>
      <x:c r="F99" s="148" t="str">
        <x:v>いいえ</x:v>
      </x:c>
      <x:c r="G99" s="149" t="str">
        <x:v>標準スコアは質問別ロジックで上書き可</x:v>
      </x:c>
      <x:c r="H99" s="117"/>
      <x:c r="I99" s="117"/>
      <x:c r="J99" s="117"/>
      <x:c r="K99" s="117"/>
      <x:c r="L99" s="117"/>
      <x:c r="M99" s="117"/>
      <x:c r="N99" s="117"/>
      <x:c r="O99" s="117"/>
      <x:c r="P99" s="117"/>
      <x:c r="Q99" s="117"/>
      <x:c r="R99" s="117"/>
      <x:c r="S99" s="117"/>
      <x:c r="T99" s="117"/>
      <x:c r="U99" s="117"/>
      <x:c r="V99" s="117"/>
      <x:c r="W99" s="117"/>
      <x:c r="X99" s="117"/>
      <x:c r="Y99" s="117"/>
      <x:c r="Z99" s="117"/>
    </x:row>
    <x:row r="100">
      <x:c r="A100" s="147" t="str">
        <x:v>ANS-INDUSTRY</x:v>
      </x:c>
      <x:c r="B100" s="148" t="n">
        <x:v>4</x:v>
      </x:c>
      <x:c r="C100" s="148" t="str">
        <x:v>事務所・商業</x:v>
      </x:c>
      <x:c r="D100" s="148" t="str">
        <x:v>OFFICE</x:v>
      </x:c>
      <x:c r="E100" s="148"/>
      <x:c r="F100" s="148" t="str">
        <x:v>いいえ</x:v>
      </x:c>
      <x:c r="G100" s="149" t="str">
        <x:v>標準スコアは質問別ロジックで上書き可</x:v>
      </x:c>
      <x:c r="H100" s="117"/>
      <x:c r="I100" s="117"/>
      <x:c r="J100" s="117"/>
      <x:c r="K100" s="117"/>
      <x:c r="L100" s="117"/>
      <x:c r="M100" s="117"/>
      <x:c r="N100" s="117"/>
      <x:c r="O100" s="117"/>
      <x:c r="P100" s="117"/>
      <x:c r="Q100" s="117"/>
      <x:c r="R100" s="117"/>
      <x:c r="S100" s="117"/>
      <x:c r="T100" s="117"/>
      <x:c r="U100" s="117"/>
      <x:c r="V100" s="117"/>
      <x:c r="W100" s="117"/>
      <x:c r="X100" s="117"/>
      <x:c r="Y100" s="117"/>
      <x:c r="Z100" s="117"/>
    </x:row>
    <x:row r="101">
      <x:c r="A101" s="147" t="str">
        <x:v>ANS-INDUSTRY</x:v>
      </x:c>
      <x:c r="B101" s="148" t="n">
        <x:v>5</x:v>
      </x:c>
      <x:c r="C101" s="148" t="str">
        <x:v>その他</x:v>
      </x:c>
      <x:c r="D101" s="148" t="str">
        <x:v>OTHER</x:v>
      </x:c>
      <x:c r="E101" s="148"/>
      <x:c r="F101" s="148" t="str">
        <x:v>いいえ</x:v>
      </x:c>
      <x:c r="G101" s="149" t="str">
        <x:v>標準スコアは質問別ロジックで上書き可</x:v>
      </x:c>
      <x:c r="H101" s="117"/>
      <x:c r="I101" s="117"/>
      <x:c r="J101" s="117"/>
      <x:c r="K101" s="117"/>
      <x:c r="L101" s="117"/>
      <x:c r="M101" s="117"/>
      <x:c r="N101" s="117"/>
      <x:c r="O101" s="117"/>
      <x:c r="P101" s="117"/>
      <x:c r="Q101" s="117"/>
      <x:c r="R101" s="117"/>
      <x:c r="S101" s="117"/>
      <x:c r="T101" s="117"/>
      <x:c r="U101" s="117"/>
      <x:c r="V101" s="117"/>
      <x:c r="W101" s="117"/>
      <x:c r="X101" s="117"/>
      <x:c r="Y101" s="117"/>
      <x:c r="Z101" s="117"/>
    </x:row>
    <x:row r="102">
      <x:c r="A102" s="147" t="str">
        <x:v>ANS-ROLE</x:v>
      </x:c>
      <x:c r="B102" s="148" t="n">
        <x:v>1</x:v>
      </x:c>
      <x:c r="C102" s="148" t="str">
        <x:v>経営者・役員</x:v>
      </x:c>
      <x:c r="D102" s="148" t="str">
        <x:v>EXEC</x:v>
      </x:c>
      <x:c r="E102" s="148"/>
      <x:c r="F102" s="148" t="str">
        <x:v>いいえ</x:v>
      </x:c>
      <x:c r="G102" s="149" t="str">
        <x:v>標準スコアは質問別ロジックで上書き可</x:v>
      </x:c>
      <x:c r="H102" s="117"/>
      <x:c r="I102" s="117"/>
      <x:c r="J102" s="117"/>
      <x:c r="K102" s="117"/>
      <x:c r="L102" s="117"/>
      <x:c r="M102" s="117"/>
      <x:c r="N102" s="117"/>
      <x:c r="O102" s="117"/>
      <x:c r="P102" s="117"/>
      <x:c r="Q102" s="117"/>
      <x:c r="R102" s="117"/>
      <x:c r="S102" s="117"/>
      <x:c r="T102" s="117"/>
      <x:c r="U102" s="117"/>
      <x:c r="V102" s="117"/>
      <x:c r="W102" s="117"/>
      <x:c r="X102" s="117"/>
      <x:c r="Y102" s="117"/>
      <x:c r="Z102" s="117"/>
    </x:row>
    <x:row r="103">
      <x:c r="A103" s="147" t="str">
        <x:v>ANS-ROLE</x:v>
      </x:c>
      <x:c r="B103" s="148" t="n">
        <x:v>2</x:v>
      </x:c>
      <x:c r="C103" s="148" t="str">
        <x:v>工場長・部門長</x:v>
      </x:c>
      <x:c r="D103" s="148" t="str">
        <x:v>MGR</x:v>
      </x:c>
      <x:c r="E103" s="148"/>
      <x:c r="F103" s="148" t="str">
        <x:v>いいえ</x:v>
      </x:c>
      <x:c r="G103" s="149" t="str">
        <x:v>標準スコアは質問別ロジックで上書き可</x:v>
      </x:c>
      <x:c r="H103" s="117"/>
      <x:c r="I103" s="117"/>
      <x:c r="J103" s="117"/>
      <x:c r="K103" s="117"/>
      <x:c r="L103" s="117"/>
      <x:c r="M103" s="117"/>
      <x:c r="N103" s="117"/>
      <x:c r="O103" s="117"/>
      <x:c r="P103" s="117"/>
      <x:c r="Q103" s="117"/>
      <x:c r="R103" s="117"/>
      <x:c r="S103" s="117"/>
      <x:c r="T103" s="117"/>
      <x:c r="U103" s="117"/>
      <x:c r="V103" s="117"/>
      <x:c r="W103" s="117"/>
      <x:c r="X103" s="117"/>
      <x:c r="Y103" s="117"/>
      <x:c r="Z103" s="117"/>
    </x:row>
    <x:row r="104">
      <x:c r="A104" s="147" t="str">
        <x:v>ANS-ROLE</x:v>
      </x:c>
      <x:c r="B104" s="148" t="n">
        <x:v>3</x:v>
      </x:c>
      <x:c r="C104" s="148" t="str">
        <x:v>設備・保全担当</x:v>
      </x:c>
      <x:c r="D104" s="148" t="str">
        <x:v>MAINT</x:v>
      </x:c>
      <x:c r="E104" s="148"/>
      <x:c r="F104" s="148" t="str">
        <x:v>いいえ</x:v>
      </x:c>
      <x:c r="G104" s="149" t="str">
        <x:v>標準スコアは質問別ロジックで上書き可</x:v>
      </x:c>
      <x:c r="H104" s="117"/>
      <x:c r="I104" s="117"/>
      <x:c r="J104" s="117"/>
      <x:c r="K104" s="117"/>
      <x:c r="L104" s="117"/>
      <x:c r="M104" s="117"/>
      <x:c r="N104" s="117"/>
      <x:c r="O104" s="117"/>
      <x:c r="P104" s="117"/>
      <x:c r="Q104" s="117"/>
      <x:c r="R104" s="117"/>
      <x:c r="S104" s="117"/>
      <x:c r="T104" s="117"/>
      <x:c r="U104" s="117"/>
      <x:c r="V104" s="117"/>
      <x:c r="W104" s="117"/>
      <x:c r="X104" s="117"/>
      <x:c r="Y104" s="117"/>
      <x:c r="Z104" s="117"/>
    </x:row>
    <x:row r="105">
      <x:c r="A105" s="147" t="str">
        <x:v>ANS-ROLE</x:v>
      </x:c>
      <x:c r="B105" s="148" t="n">
        <x:v>4</x:v>
      </x:c>
      <x:c r="C105" s="148" t="str">
        <x:v>エネルギー担当</x:v>
      </x:c>
      <x:c r="D105" s="148" t="str">
        <x:v>ENERGY</x:v>
      </x:c>
      <x:c r="E105" s="148"/>
      <x:c r="F105" s="148" t="str">
        <x:v>いいえ</x:v>
      </x:c>
      <x:c r="G105" s="149" t="str">
        <x:v>標準スコアは質問別ロジックで上書き可</x:v>
      </x:c>
      <x:c r="H105" s="117"/>
      <x:c r="I105" s="117"/>
      <x:c r="J105" s="117"/>
      <x:c r="K105" s="117"/>
      <x:c r="L105" s="117"/>
      <x:c r="M105" s="117"/>
      <x:c r="N105" s="117"/>
      <x:c r="O105" s="117"/>
      <x:c r="P105" s="117"/>
      <x:c r="Q105" s="117"/>
      <x:c r="R105" s="117"/>
      <x:c r="S105" s="117"/>
      <x:c r="T105" s="117"/>
      <x:c r="U105" s="117"/>
      <x:c r="V105" s="117"/>
      <x:c r="W105" s="117"/>
      <x:c r="X105" s="117"/>
      <x:c r="Y105" s="117"/>
      <x:c r="Z105" s="117"/>
    </x:row>
    <x:row r="106">
      <x:c r="A106" s="147" t="str">
        <x:v>ANS-ROLE</x:v>
      </x:c>
      <x:c r="B106" s="148" t="n">
        <x:v>5</x:v>
      </x:c>
      <x:c r="C106" s="148" t="str">
        <x:v>総務・管理</x:v>
      </x:c>
      <x:c r="D106" s="148" t="str">
        <x:v>ADMIN</x:v>
      </x:c>
      <x:c r="E106" s="148"/>
      <x:c r="F106" s="148" t="str">
        <x:v>いいえ</x:v>
      </x:c>
      <x:c r="G106" s="149" t="str">
        <x:v>標準スコアは質問別ロジックで上書き可</x:v>
      </x:c>
      <x:c r="H106" s="117"/>
      <x:c r="I106" s="117"/>
      <x:c r="J106" s="117"/>
      <x:c r="K106" s="117"/>
      <x:c r="L106" s="117"/>
      <x:c r="M106" s="117"/>
      <x:c r="N106" s="117"/>
      <x:c r="O106" s="117"/>
      <x:c r="P106" s="117"/>
      <x:c r="Q106" s="117"/>
      <x:c r="R106" s="117"/>
      <x:c r="S106" s="117"/>
      <x:c r="T106" s="117"/>
      <x:c r="U106" s="117"/>
      <x:c r="V106" s="117"/>
      <x:c r="W106" s="117"/>
      <x:c r="X106" s="117"/>
      <x:c r="Y106" s="117"/>
      <x:c r="Z106" s="117"/>
    </x:row>
    <x:row r="107">
      <x:c r="A107" s="158" t="str">
        <x:v>ANS-ROLE</x:v>
      </x:c>
      <x:c r="B107" s="159" t="n">
        <x:v>6</x:v>
      </x:c>
      <x:c r="C107" s="159" t="str">
        <x:v>その他</x:v>
      </x:c>
      <x:c r="D107" s="159" t="str">
        <x:v>OTHER</x:v>
      </x:c>
      <x:c r="E107" s="159"/>
      <x:c r="F107" s="159" t="str">
        <x:v>いいえ</x:v>
      </x:c>
      <x:c r="G107" s="160" t="str">
        <x:v>標準スコアは質問別ロジックで上書き可</x:v>
      </x:c>
      <x:c r="H107" s="117"/>
      <x:c r="I107" s="117"/>
      <x:c r="J107" s="117"/>
      <x:c r="K107" s="117"/>
      <x:c r="L107" s="117"/>
      <x:c r="M107" s="117"/>
      <x:c r="N107" s="117"/>
      <x:c r="O107" s="117"/>
      <x:c r="P107" s="117"/>
      <x:c r="Q107" s="117"/>
      <x:c r="R107" s="117"/>
      <x:c r="S107" s="117"/>
      <x:c r="T107" s="117"/>
      <x:c r="U107" s="117"/>
      <x:c r="V107" s="117"/>
      <x:c r="W107" s="117"/>
      <x:c r="X107" s="117"/>
      <x:c r="Y107" s="117"/>
      <x:c r="Z107" s="117"/>
    </x:row>
    <x:row r="108">
      <x:c r="A108" s="117"/>
      <x:c r="B108" s="117"/>
      <x:c r="C108" s="117"/>
      <x:c r="D108" s="117"/>
      <x:c r="E108" s="117"/>
      <x:c r="F108" s="117"/>
      <x:c r="G108" s="117"/>
      <x:c r="H108" s="117"/>
      <x:c r="I108" s="117"/>
      <x:c r="J108" s="117"/>
      <x:c r="K108" s="117"/>
      <x:c r="L108" s="117"/>
      <x:c r="M108" s="117"/>
      <x:c r="N108" s="117"/>
      <x:c r="O108" s="117"/>
      <x:c r="P108" s="117"/>
      <x:c r="Q108" s="117"/>
      <x:c r="R108" s="117"/>
      <x:c r="S108" s="117"/>
      <x:c r="T108" s="117"/>
      <x:c r="U108" s="117"/>
      <x:c r="V108" s="117"/>
      <x:c r="W108" s="117"/>
      <x:c r="X108" s="117"/>
      <x:c r="Y108" s="117"/>
      <x:c r="Z108" s="117"/>
    </x:row>
    <x:row r="109">
      <x:c r="A109" s="117"/>
      <x:c r="B109" s="117"/>
      <x:c r="C109" s="117"/>
      <x:c r="D109" s="117"/>
      <x:c r="E109" s="117"/>
      <x:c r="F109" s="117"/>
      <x:c r="G109" s="117"/>
      <x:c r="H109" s="117"/>
      <x:c r="I109" s="117"/>
      <x:c r="J109" s="117"/>
      <x:c r="K109" s="117"/>
      <x:c r="L109" s="117"/>
      <x:c r="M109" s="117"/>
      <x:c r="N109" s="117"/>
      <x:c r="O109" s="117"/>
      <x:c r="P109" s="117"/>
      <x:c r="Q109" s="117"/>
      <x:c r="R109" s="117"/>
      <x:c r="S109" s="117"/>
      <x:c r="T109" s="117"/>
      <x:c r="U109" s="117"/>
      <x:c r="V109" s="117"/>
      <x:c r="W109" s="117"/>
      <x:c r="X109" s="117"/>
      <x:c r="Y109" s="117"/>
      <x:c r="Z109" s="117"/>
    </x:row>
    <x:row r="110">
      <x:c r="A110" s="117"/>
      <x:c r="B110" s="117"/>
      <x:c r="C110" s="117"/>
      <x:c r="D110" s="117"/>
      <x:c r="E110" s="117"/>
      <x:c r="F110" s="117"/>
      <x:c r="G110" s="117"/>
      <x:c r="H110" s="117"/>
      <x:c r="I110" s="117"/>
      <x:c r="J110" s="117"/>
      <x:c r="K110" s="117"/>
      <x:c r="L110" s="117"/>
      <x:c r="M110" s="117"/>
      <x:c r="N110" s="117"/>
      <x:c r="O110" s="117"/>
      <x:c r="P110" s="117"/>
      <x:c r="Q110" s="117"/>
      <x:c r="R110" s="117"/>
      <x:c r="S110" s="117"/>
      <x:c r="T110" s="117"/>
      <x:c r="U110" s="117"/>
      <x:c r="V110" s="117"/>
      <x:c r="W110" s="117"/>
      <x:c r="X110" s="117"/>
      <x:c r="Y110" s="117"/>
      <x:c r="Z110" s="117"/>
    </x:row>
    <x:row r="111">
      <x:c r="A111" s="117"/>
      <x:c r="B111" s="117"/>
      <x:c r="C111" s="117"/>
      <x:c r="D111" s="117"/>
      <x:c r="E111" s="117"/>
      <x:c r="F111" s="117"/>
      <x:c r="G111" s="117"/>
      <x:c r="H111" s="117"/>
      <x:c r="I111" s="117"/>
      <x:c r="J111" s="117"/>
      <x:c r="K111" s="117"/>
      <x:c r="L111" s="117"/>
      <x:c r="M111" s="117"/>
      <x:c r="N111" s="117"/>
      <x:c r="O111" s="117"/>
      <x:c r="P111" s="117"/>
      <x:c r="Q111" s="117"/>
      <x:c r="R111" s="117"/>
      <x:c r="S111" s="117"/>
      <x:c r="T111" s="117"/>
      <x:c r="U111" s="117"/>
      <x:c r="V111" s="117"/>
      <x:c r="W111" s="117"/>
      <x:c r="X111" s="117"/>
      <x:c r="Y111" s="117"/>
      <x:c r="Z111" s="117"/>
    </x:row>
    <x:row r="112">
      <x:c r="A112" s="117"/>
      <x:c r="B112" s="117"/>
      <x:c r="C112" s="117"/>
      <x:c r="D112" s="117"/>
      <x:c r="E112" s="117"/>
      <x:c r="F112" s="117"/>
      <x:c r="G112" s="117"/>
      <x:c r="H112" s="117"/>
      <x:c r="I112" s="117"/>
      <x:c r="J112" s="117"/>
      <x:c r="K112" s="117"/>
      <x:c r="L112" s="117"/>
      <x:c r="M112" s="117"/>
      <x:c r="N112" s="117"/>
      <x:c r="O112" s="117"/>
      <x:c r="P112" s="117"/>
      <x:c r="Q112" s="117"/>
      <x:c r="R112" s="117"/>
      <x:c r="S112" s="117"/>
      <x:c r="T112" s="117"/>
      <x:c r="U112" s="117"/>
      <x:c r="V112" s="117"/>
      <x:c r="W112" s="117"/>
      <x:c r="X112" s="117"/>
      <x:c r="Y112" s="117"/>
      <x:c r="Z112" s="117"/>
    </x:row>
    <x:row r="113">
      <x:c r="A113" s="117"/>
      <x:c r="B113" s="117"/>
      <x:c r="C113" s="117"/>
      <x:c r="D113" s="117"/>
      <x:c r="E113" s="117"/>
      <x:c r="F113" s="117"/>
      <x:c r="G113" s="117"/>
      <x:c r="H113" s="117"/>
      <x:c r="I113" s="117"/>
      <x:c r="J113" s="117"/>
      <x:c r="K113" s="117"/>
      <x:c r="L113" s="117"/>
      <x:c r="M113" s="117"/>
      <x:c r="N113" s="117"/>
      <x:c r="O113" s="117"/>
      <x:c r="P113" s="117"/>
      <x:c r="Q113" s="117"/>
      <x:c r="R113" s="117"/>
      <x:c r="S113" s="117"/>
      <x:c r="T113" s="117"/>
      <x:c r="U113" s="117"/>
      <x:c r="V113" s="117"/>
      <x:c r="W113" s="117"/>
      <x:c r="X113" s="117"/>
      <x:c r="Y113" s="117"/>
      <x:c r="Z113" s="117"/>
    </x:row>
    <x:row r="114">
      <x:c r="A114" s="117"/>
      <x:c r="B114" s="117"/>
      <x:c r="C114" s="117"/>
      <x:c r="D114" s="117"/>
      <x:c r="E114" s="117"/>
      <x:c r="F114" s="117"/>
      <x:c r="G114" s="117"/>
      <x:c r="H114" s="117"/>
      <x:c r="I114" s="117"/>
      <x:c r="J114" s="117"/>
      <x:c r="K114" s="117"/>
      <x:c r="L114" s="117"/>
      <x:c r="M114" s="117"/>
      <x:c r="N114" s="117"/>
      <x:c r="O114" s="117"/>
      <x:c r="P114" s="117"/>
      <x:c r="Q114" s="117"/>
      <x:c r="R114" s="117"/>
      <x:c r="S114" s="117"/>
      <x:c r="T114" s="117"/>
      <x:c r="U114" s="117"/>
      <x:c r="V114" s="117"/>
      <x:c r="W114" s="117"/>
      <x:c r="X114" s="117"/>
      <x:c r="Y114" s="117"/>
      <x:c r="Z114" s="117"/>
    </x:row>
    <x:row r="115">
      <x:c r="A115" s="117"/>
      <x:c r="B115" s="117"/>
      <x:c r="C115" s="117"/>
      <x:c r="D115" s="117"/>
      <x:c r="E115" s="117"/>
      <x:c r="F115" s="117"/>
      <x:c r="G115" s="117"/>
      <x:c r="H115" s="117"/>
      <x:c r="I115" s="117"/>
      <x:c r="J115" s="117"/>
      <x:c r="K115" s="117"/>
      <x:c r="L115" s="117"/>
      <x:c r="M115" s="117"/>
      <x:c r="N115" s="117"/>
      <x:c r="O115" s="117"/>
      <x:c r="P115" s="117"/>
      <x:c r="Q115" s="117"/>
      <x:c r="R115" s="117"/>
      <x:c r="S115" s="117"/>
      <x:c r="T115" s="117"/>
      <x:c r="U115" s="117"/>
      <x:c r="V115" s="117"/>
      <x:c r="W115" s="117"/>
      <x:c r="X115" s="117"/>
      <x:c r="Y115" s="117"/>
      <x:c r="Z115" s="117"/>
    </x:row>
    <x:row r="116">
      <x:c r="A116" s="117"/>
      <x:c r="B116" s="117"/>
      <x:c r="C116" s="117"/>
      <x:c r="D116" s="117"/>
      <x:c r="E116" s="117"/>
      <x:c r="F116" s="117"/>
      <x:c r="G116" s="117"/>
      <x:c r="H116" s="117"/>
      <x:c r="I116" s="117"/>
      <x:c r="J116" s="117"/>
      <x:c r="K116" s="117"/>
      <x:c r="L116" s="117"/>
      <x:c r="M116" s="117"/>
      <x:c r="N116" s="117"/>
      <x:c r="O116" s="117"/>
      <x:c r="P116" s="117"/>
      <x:c r="Q116" s="117"/>
      <x:c r="R116" s="117"/>
      <x:c r="S116" s="117"/>
      <x:c r="T116" s="117"/>
      <x:c r="U116" s="117"/>
      <x:c r="V116" s="117"/>
      <x:c r="W116" s="117"/>
      <x:c r="X116" s="117"/>
      <x:c r="Y116" s="117"/>
      <x:c r="Z116" s="117"/>
    </x:row>
    <x:row r="117">
      <x:c r="A117" s="117"/>
      <x:c r="B117" s="117"/>
      <x:c r="C117" s="117"/>
      <x:c r="D117" s="117"/>
      <x:c r="E117" s="117"/>
      <x:c r="F117" s="117"/>
      <x:c r="G117" s="117"/>
      <x:c r="H117" s="117"/>
      <x:c r="I117" s="117"/>
      <x:c r="J117" s="117"/>
      <x:c r="K117" s="117"/>
      <x:c r="L117" s="117"/>
      <x:c r="M117" s="117"/>
      <x:c r="N117" s="117"/>
      <x:c r="O117" s="117"/>
      <x:c r="P117" s="117"/>
      <x:c r="Q117" s="117"/>
      <x:c r="R117" s="117"/>
      <x:c r="S117" s="117"/>
      <x:c r="T117" s="117"/>
      <x:c r="U117" s="117"/>
      <x:c r="V117" s="117"/>
      <x:c r="W117" s="117"/>
      <x:c r="X117" s="117"/>
      <x:c r="Y117" s="117"/>
      <x:c r="Z117" s="117"/>
    </x:row>
    <x:row r="118">
      <x:c r="A118" s="117"/>
      <x:c r="B118" s="117"/>
      <x:c r="C118" s="117"/>
      <x:c r="D118" s="117"/>
      <x:c r="E118" s="117"/>
      <x:c r="F118" s="117"/>
      <x:c r="G118" s="117"/>
      <x:c r="H118" s="117"/>
      <x:c r="I118" s="117"/>
      <x:c r="J118" s="117"/>
      <x:c r="K118" s="117"/>
      <x:c r="L118" s="117"/>
      <x:c r="M118" s="117"/>
      <x:c r="N118" s="117"/>
      <x:c r="O118" s="117"/>
      <x:c r="P118" s="117"/>
      <x:c r="Q118" s="117"/>
      <x:c r="R118" s="117"/>
      <x:c r="S118" s="117"/>
      <x:c r="T118" s="117"/>
      <x:c r="U118" s="117"/>
      <x:c r="V118" s="117"/>
      <x:c r="W118" s="117"/>
      <x:c r="X118" s="117"/>
      <x:c r="Y118" s="117"/>
      <x:c r="Z118" s="117"/>
    </x:row>
    <x:row r="119">
      <x:c r="A119" s="117"/>
      <x:c r="B119" s="117"/>
      <x:c r="C119" s="117"/>
      <x:c r="D119" s="117"/>
      <x:c r="E119" s="117"/>
      <x:c r="F119" s="117"/>
      <x:c r="G119" s="117"/>
      <x:c r="H119" s="117"/>
      <x:c r="I119" s="117"/>
      <x:c r="J119" s="117"/>
      <x:c r="K119" s="117"/>
      <x:c r="L119" s="117"/>
      <x:c r="M119" s="117"/>
      <x:c r="N119" s="117"/>
      <x:c r="O119" s="117"/>
      <x:c r="P119" s="117"/>
      <x:c r="Q119" s="117"/>
      <x:c r="R119" s="117"/>
      <x:c r="S119" s="117"/>
      <x:c r="T119" s="117"/>
      <x:c r="U119" s="117"/>
      <x:c r="V119" s="117"/>
      <x:c r="W119" s="117"/>
      <x:c r="X119" s="117"/>
      <x:c r="Y119" s="117"/>
      <x:c r="Z119" s="117"/>
    </x:row>
    <x:row r="120">
      <x:c r="A120" s="117"/>
      <x:c r="B120" s="117"/>
      <x:c r="C120" s="117"/>
      <x:c r="D120" s="117"/>
      <x:c r="E120" s="117"/>
      <x:c r="F120" s="117"/>
      <x:c r="G120" s="117"/>
      <x:c r="H120" s="117"/>
      <x:c r="I120" s="117"/>
      <x:c r="J120" s="117"/>
      <x:c r="K120" s="117"/>
      <x:c r="L120" s="117"/>
      <x:c r="M120" s="117"/>
      <x:c r="N120" s="117"/>
      <x:c r="O120" s="117"/>
      <x:c r="P120" s="117"/>
      <x:c r="Q120" s="117"/>
      <x:c r="R120" s="117"/>
      <x:c r="S120" s="117"/>
      <x:c r="T120" s="117"/>
      <x:c r="U120" s="117"/>
      <x:c r="V120" s="117"/>
      <x:c r="W120" s="117"/>
      <x:c r="X120" s="117"/>
      <x:c r="Y120" s="117"/>
      <x:c r="Z120" s="117"/>
    </x:row>
    <x:row r="121">
      <x:c r="A121" s="117"/>
      <x:c r="B121" s="117"/>
      <x:c r="C121" s="117"/>
      <x:c r="D121" s="117"/>
      <x:c r="E121" s="117"/>
      <x:c r="F121" s="117"/>
      <x:c r="G121" s="117"/>
      <x:c r="H121" s="117"/>
      <x:c r="I121" s="117"/>
      <x:c r="J121" s="117"/>
      <x:c r="K121" s="117"/>
      <x:c r="L121" s="117"/>
      <x:c r="M121" s="117"/>
      <x:c r="N121" s="117"/>
      <x:c r="O121" s="117"/>
      <x:c r="P121" s="117"/>
      <x:c r="Q121" s="117"/>
      <x:c r="R121" s="117"/>
      <x:c r="S121" s="117"/>
      <x:c r="T121" s="117"/>
      <x:c r="U121" s="117"/>
      <x:c r="V121" s="117"/>
      <x:c r="W121" s="117"/>
      <x:c r="X121" s="117"/>
      <x:c r="Y121" s="117"/>
      <x:c r="Z121" s="117"/>
    </x:row>
    <x:row r="122">
      <x:c r="A122" s="117"/>
      <x:c r="B122" s="117"/>
      <x:c r="C122" s="117"/>
      <x:c r="D122" s="117"/>
      <x:c r="E122" s="117"/>
      <x:c r="F122" s="117"/>
      <x:c r="G122" s="117"/>
      <x:c r="H122" s="117"/>
      <x:c r="I122" s="117"/>
      <x:c r="J122" s="117"/>
      <x:c r="K122" s="117"/>
      <x:c r="L122" s="117"/>
      <x:c r="M122" s="117"/>
      <x:c r="N122" s="117"/>
      <x:c r="O122" s="117"/>
      <x:c r="P122" s="117"/>
      <x:c r="Q122" s="117"/>
      <x:c r="R122" s="117"/>
      <x:c r="S122" s="117"/>
      <x:c r="T122" s="117"/>
      <x:c r="U122" s="117"/>
      <x:c r="V122" s="117"/>
      <x:c r="W122" s="117"/>
      <x:c r="X122" s="117"/>
      <x:c r="Y122" s="117"/>
      <x:c r="Z122" s="117"/>
    </x:row>
    <x:row r="123">
      <x:c r="A123" s="117"/>
      <x:c r="B123" s="117"/>
      <x:c r="C123" s="117"/>
      <x:c r="D123" s="117"/>
      <x:c r="E123" s="117"/>
      <x:c r="F123" s="117"/>
      <x:c r="G123" s="117"/>
      <x:c r="H123" s="117"/>
      <x:c r="I123" s="117"/>
      <x:c r="J123" s="117"/>
      <x:c r="K123" s="117"/>
      <x:c r="L123" s="117"/>
      <x:c r="M123" s="117"/>
      <x:c r="N123" s="117"/>
      <x:c r="O123" s="117"/>
      <x:c r="P123" s="117"/>
      <x:c r="Q123" s="117"/>
      <x:c r="R123" s="117"/>
      <x:c r="S123" s="117"/>
      <x:c r="T123" s="117"/>
      <x:c r="U123" s="117"/>
      <x:c r="V123" s="117"/>
      <x:c r="W123" s="117"/>
      <x:c r="X123" s="117"/>
      <x:c r="Y123" s="117"/>
      <x:c r="Z123" s="117"/>
    </x:row>
    <x:row r="124">
      <x:c r="A124" s="117"/>
      <x:c r="B124" s="117"/>
      <x:c r="C124" s="117"/>
      <x:c r="D124" s="117"/>
      <x:c r="E124" s="117"/>
      <x:c r="F124" s="117"/>
      <x:c r="G124" s="117"/>
      <x:c r="H124" s="117"/>
      <x:c r="I124" s="117"/>
      <x:c r="J124" s="117"/>
      <x:c r="K124" s="117"/>
      <x:c r="L124" s="117"/>
      <x:c r="M124" s="117"/>
      <x:c r="N124" s="117"/>
      <x:c r="O124" s="117"/>
      <x:c r="P124" s="117"/>
      <x:c r="Q124" s="117"/>
      <x:c r="R124" s="117"/>
      <x:c r="S124" s="117"/>
      <x:c r="T124" s="117"/>
      <x:c r="U124" s="117"/>
      <x:c r="V124" s="117"/>
      <x:c r="W124" s="117"/>
      <x:c r="X124" s="117"/>
      <x:c r="Y124" s="117"/>
      <x:c r="Z124" s="117"/>
    </x:row>
    <x:row r="125">
      <x:c r="A125" s="117"/>
      <x:c r="B125" s="117"/>
      <x:c r="C125" s="117"/>
      <x:c r="D125" s="117"/>
      <x:c r="E125" s="117"/>
      <x:c r="F125" s="117"/>
      <x:c r="G125" s="117"/>
      <x:c r="H125" s="117"/>
      <x:c r="I125" s="117"/>
      <x:c r="J125" s="117"/>
      <x:c r="K125" s="117"/>
      <x:c r="L125" s="117"/>
      <x:c r="M125" s="117"/>
      <x:c r="N125" s="117"/>
      <x:c r="O125" s="117"/>
      <x:c r="P125" s="117"/>
      <x:c r="Q125" s="117"/>
      <x:c r="R125" s="117"/>
      <x:c r="S125" s="117"/>
      <x:c r="T125" s="117"/>
      <x:c r="U125" s="117"/>
      <x:c r="V125" s="117"/>
      <x:c r="W125" s="117"/>
      <x:c r="X125" s="117"/>
      <x:c r="Y125" s="117"/>
      <x:c r="Z125" s="117"/>
    </x:row>
    <x:row r="126">
      <x:c r="A126" s="117"/>
      <x:c r="B126" s="117"/>
      <x:c r="C126" s="117"/>
      <x:c r="D126" s="117"/>
      <x:c r="E126" s="117"/>
      <x:c r="F126" s="117"/>
      <x:c r="G126" s="117"/>
      <x:c r="H126" s="117"/>
      <x:c r="I126" s="117"/>
      <x:c r="J126" s="117"/>
      <x:c r="K126" s="117"/>
      <x:c r="L126" s="117"/>
      <x:c r="M126" s="117"/>
      <x:c r="N126" s="117"/>
      <x:c r="O126" s="117"/>
      <x:c r="P126" s="117"/>
      <x:c r="Q126" s="117"/>
      <x:c r="R126" s="117"/>
      <x:c r="S126" s="117"/>
      <x:c r="T126" s="117"/>
      <x:c r="U126" s="117"/>
      <x:c r="V126" s="117"/>
      <x:c r="W126" s="117"/>
      <x:c r="X126" s="117"/>
      <x:c r="Y126" s="117"/>
      <x:c r="Z126" s="117"/>
    </x:row>
    <x:row r="127">
      <x:c r="A127" s="117"/>
      <x:c r="B127" s="117"/>
      <x:c r="C127" s="117"/>
      <x:c r="D127" s="117"/>
      <x:c r="E127" s="117"/>
      <x:c r="F127" s="117"/>
      <x:c r="G127" s="117"/>
      <x:c r="H127" s="117"/>
      <x:c r="I127" s="117"/>
      <x:c r="J127" s="117"/>
      <x:c r="K127" s="117"/>
      <x:c r="L127" s="117"/>
      <x:c r="M127" s="117"/>
      <x:c r="N127" s="117"/>
      <x:c r="O127" s="117"/>
      <x:c r="P127" s="117"/>
      <x:c r="Q127" s="117"/>
      <x:c r="R127" s="117"/>
      <x:c r="S127" s="117"/>
      <x:c r="T127" s="117"/>
      <x:c r="U127" s="117"/>
      <x:c r="V127" s="117"/>
      <x:c r="W127" s="117"/>
      <x:c r="X127" s="117"/>
      <x:c r="Y127" s="117"/>
      <x:c r="Z127" s="117"/>
    </x:row>
    <x:row r="128">
      <x:c r="A128" s="117"/>
      <x:c r="B128" s="117"/>
      <x:c r="C128" s="117"/>
      <x:c r="D128" s="117"/>
      <x:c r="E128" s="117"/>
      <x:c r="F128" s="117"/>
      <x:c r="G128" s="117"/>
      <x:c r="H128" s="117"/>
      <x:c r="I128" s="117"/>
      <x:c r="J128" s="117"/>
      <x:c r="K128" s="117"/>
      <x:c r="L128" s="117"/>
      <x:c r="M128" s="117"/>
      <x:c r="N128" s="117"/>
      <x:c r="O128" s="117"/>
      <x:c r="P128" s="117"/>
      <x:c r="Q128" s="117"/>
      <x:c r="R128" s="117"/>
      <x:c r="S128" s="117"/>
      <x:c r="T128" s="117"/>
      <x:c r="U128" s="117"/>
      <x:c r="V128" s="117"/>
      <x:c r="W128" s="117"/>
      <x:c r="X128" s="117"/>
      <x:c r="Y128" s="117"/>
      <x:c r="Z128" s="117"/>
    </x:row>
    <x:row r="129">
      <x:c r="A129" s="117"/>
      <x:c r="B129" s="117"/>
      <x:c r="C129" s="117"/>
      <x:c r="D129" s="117"/>
      <x:c r="E129" s="117"/>
      <x:c r="F129" s="117"/>
      <x:c r="G129" s="117"/>
      <x:c r="H129" s="117"/>
      <x:c r="I129" s="117"/>
      <x:c r="J129" s="117"/>
      <x:c r="K129" s="117"/>
      <x:c r="L129" s="117"/>
      <x:c r="M129" s="117"/>
      <x:c r="N129" s="117"/>
      <x:c r="O129" s="117"/>
      <x:c r="P129" s="117"/>
      <x:c r="Q129" s="117"/>
      <x:c r="R129" s="117"/>
      <x:c r="S129" s="117"/>
      <x:c r="T129" s="117"/>
      <x:c r="U129" s="117"/>
      <x:c r="V129" s="117"/>
      <x:c r="W129" s="117"/>
      <x:c r="X129" s="117"/>
      <x:c r="Y129" s="117"/>
      <x:c r="Z129" s="117"/>
    </x:row>
    <x:row r="130">
      <x:c r="A130" s="117"/>
      <x:c r="B130" s="117"/>
      <x:c r="C130" s="117"/>
      <x:c r="D130" s="117"/>
      <x:c r="E130" s="117"/>
      <x:c r="F130" s="117"/>
      <x:c r="G130" s="117"/>
      <x:c r="H130" s="117"/>
      <x:c r="I130" s="117"/>
      <x:c r="J130" s="117"/>
      <x:c r="K130" s="117"/>
      <x:c r="L130" s="117"/>
      <x:c r="M130" s="117"/>
      <x:c r="N130" s="117"/>
      <x:c r="O130" s="117"/>
      <x:c r="P130" s="117"/>
      <x:c r="Q130" s="117"/>
      <x:c r="R130" s="117"/>
      <x:c r="S130" s="117"/>
      <x:c r="T130" s="117"/>
      <x:c r="U130" s="117"/>
      <x:c r="V130" s="117"/>
      <x:c r="W130" s="117"/>
      <x:c r="X130" s="117"/>
      <x:c r="Y130" s="117"/>
      <x:c r="Z130" s="117"/>
    </x:row>
    <x:row r="131">
      <x:c r="A131" s="117"/>
      <x:c r="B131" s="117"/>
      <x:c r="C131" s="117"/>
      <x:c r="D131" s="117"/>
      <x:c r="E131" s="117"/>
      <x:c r="F131" s="117"/>
      <x:c r="G131" s="117"/>
      <x:c r="H131" s="117"/>
      <x:c r="I131" s="117"/>
      <x:c r="J131" s="117"/>
      <x:c r="K131" s="117"/>
      <x:c r="L131" s="117"/>
      <x:c r="M131" s="117"/>
      <x:c r="N131" s="117"/>
      <x:c r="O131" s="117"/>
      <x:c r="P131" s="117"/>
      <x:c r="Q131" s="117"/>
      <x:c r="R131" s="117"/>
      <x:c r="S131" s="117"/>
      <x:c r="T131" s="117"/>
      <x:c r="U131" s="117"/>
      <x:c r="V131" s="117"/>
      <x:c r="W131" s="117"/>
      <x:c r="X131" s="117"/>
      <x:c r="Y131" s="117"/>
      <x:c r="Z131" s="117"/>
    </x:row>
    <x:row r="132">
      <x:c r="A132" s="117"/>
      <x:c r="B132" s="117"/>
      <x:c r="C132" s="117"/>
      <x:c r="D132" s="117"/>
      <x:c r="E132" s="117"/>
      <x:c r="F132" s="117"/>
      <x:c r="G132" s="117"/>
      <x:c r="H132" s="117"/>
      <x:c r="I132" s="117"/>
      <x:c r="J132" s="117"/>
      <x:c r="K132" s="117"/>
      <x:c r="L132" s="117"/>
      <x:c r="M132" s="117"/>
      <x:c r="N132" s="117"/>
      <x:c r="O132" s="117"/>
      <x:c r="P132" s="117"/>
      <x:c r="Q132" s="117"/>
      <x:c r="R132" s="117"/>
      <x:c r="S132" s="117"/>
      <x:c r="T132" s="117"/>
      <x:c r="U132" s="117"/>
      <x:c r="V132" s="117"/>
      <x:c r="W132" s="117"/>
      <x:c r="X132" s="117"/>
      <x:c r="Y132" s="117"/>
      <x:c r="Z132" s="117"/>
    </x:row>
    <x:row r="133">
      <x:c r="A133" s="117"/>
      <x:c r="B133" s="117"/>
      <x:c r="C133" s="117"/>
      <x:c r="D133" s="117"/>
      <x:c r="E133" s="117"/>
      <x:c r="F133" s="117"/>
      <x:c r="G133" s="117"/>
      <x:c r="H133" s="117"/>
      <x:c r="I133" s="117"/>
      <x:c r="J133" s="117"/>
      <x:c r="K133" s="117"/>
      <x:c r="L133" s="117"/>
      <x:c r="M133" s="117"/>
      <x:c r="N133" s="117"/>
      <x:c r="O133" s="117"/>
      <x:c r="P133" s="117"/>
      <x:c r="Q133" s="117"/>
      <x:c r="R133" s="117"/>
      <x:c r="S133" s="117"/>
      <x:c r="T133" s="117"/>
      <x:c r="U133" s="117"/>
      <x:c r="V133" s="117"/>
      <x:c r="W133" s="117"/>
      <x:c r="X133" s="117"/>
      <x:c r="Y133" s="117"/>
      <x:c r="Z133" s="117"/>
    </x:row>
    <x:row r="134">
      <x:c r="A134" s="117"/>
      <x:c r="B134" s="117"/>
      <x:c r="C134" s="117"/>
      <x:c r="D134" s="117"/>
      <x:c r="E134" s="117"/>
      <x:c r="F134" s="117"/>
      <x:c r="G134" s="117"/>
      <x:c r="H134" s="117"/>
      <x:c r="I134" s="117"/>
      <x:c r="J134" s="117"/>
      <x:c r="K134" s="117"/>
      <x:c r="L134" s="117"/>
      <x:c r="M134" s="117"/>
      <x:c r="N134" s="117"/>
      <x:c r="O134" s="117"/>
      <x:c r="P134" s="117"/>
      <x:c r="Q134" s="117"/>
      <x:c r="R134" s="117"/>
      <x:c r="S134" s="117"/>
      <x:c r="T134" s="117"/>
      <x:c r="U134" s="117"/>
      <x:c r="V134" s="117"/>
      <x:c r="W134" s="117"/>
      <x:c r="X134" s="117"/>
      <x:c r="Y134" s="117"/>
      <x:c r="Z134" s="117"/>
    </x:row>
    <x:row r="135">
      <x:c r="A135" s="117"/>
      <x:c r="B135" s="117"/>
      <x:c r="C135" s="117"/>
      <x:c r="D135" s="117"/>
      <x:c r="E135" s="117"/>
      <x:c r="F135" s="117"/>
      <x:c r="G135" s="117"/>
      <x:c r="H135" s="117"/>
      <x:c r="I135" s="117"/>
      <x:c r="J135" s="117"/>
      <x:c r="K135" s="117"/>
      <x:c r="L135" s="117"/>
      <x:c r="M135" s="117"/>
      <x:c r="N135" s="117"/>
      <x:c r="O135" s="117"/>
      <x:c r="P135" s="117"/>
      <x:c r="Q135" s="117"/>
      <x:c r="R135" s="117"/>
      <x:c r="S135" s="117"/>
      <x:c r="T135" s="117"/>
      <x:c r="U135" s="117"/>
      <x:c r="V135" s="117"/>
      <x:c r="W135" s="117"/>
      <x:c r="X135" s="117"/>
      <x:c r="Y135" s="117"/>
      <x:c r="Z135" s="117"/>
    </x:row>
    <x:row r="136">
      <x:c r="A136" s="117"/>
      <x:c r="B136" s="117"/>
      <x:c r="C136" s="117"/>
      <x:c r="D136" s="117"/>
      <x:c r="E136" s="117"/>
      <x:c r="F136" s="117"/>
      <x:c r="G136" s="117"/>
      <x:c r="H136" s="117"/>
      <x:c r="I136" s="117"/>
      <x:c r="J136" s="117"/>
      <x:c r="K136" s="117"/>
      <x:c r="L136" s="117"/>
      <x:c r="M136" s="117"/>
      <x:c r="N136" s="117"/>
      <x:c r="O136" s="117"/>
      <x:c r="P136" s="117"/>
      <x:c r="Q136" s="117"/>
      <x:c r="R136" s="117"/>
      <x:c r="S136" s="117"/>
      <x:c r="T136" s="117"/>
      <x:c r="U136" s="117"/>
      <x:c r="V136" s="117"/>
      <x:c r="W136" s="117"/>
      <x:c r="X136" s="117"/>
      <x:c r="Y136" s="117"/>
      <x:c r="Z136" s="117"/>
    </x:row>
    <x:row r="137">
      <x:c r="A137" s="117"/>
      <x:c r="B137" s="117"/>
      <x:c r="C137" s="117"/>
      <x:c r="D137" s="117"/>
      <x:c r="E137" s="117"/>
      <x:c r="F137" s="117"/>
      <x:c r="G137" s="117"/>
      <x:c r="H137" s="117"/>
      <x:c r="I137" s="117"/>
      <x:c r="J137" s="117"/>
      <x:c r="K137" s="117"/>
      <x:c r="L137" s="117"/>
      <x:c r="M137" s="117"/>
      <x:c r="N137" s="117"/>
      <x:c r="O137" s="117"/>
      <x:c r="P137" s="117"/>
      <x:c r="Q137" s="117"/>
      <x:c r="R137" s="117"/>
      <x:c r="S137" s="117"/>
      <x:c r="T137" s="117"/>
      <x:c r="U137" s="117"/>
      <x:c r="V137" s="117"/>
      <x:c r="W137" s="117"/>
      <x:c r="X137" s="117"/>
      <x:c r="Y137" s="117"/>
      <x:c r="Z137" s="117"/>
    </x:row>
    <x:row r="138">
      <x:c r="A138" s="117"/>
      <x:c r="B138" s="117"/>
      <x:c r="C138" s="117"/>
      <x:c r="D138" s="117"/>
      <x:c r="E138" s="117"/>
      <x:c r="F138" s="117"/>
      <x:c r="G138" s="117"/>
      <x:c r="H138" s="117"/>
      <x:c r="I138" s="117"/>
      <x:c r="J138" s="117"/>
      <x:c r="K138" s="117"/>
      <x:c r="L138" s="117"/>
      <x:c r="M138" s="117"/>
      <x:c r="N138" s="117"/>
      <x:c r="O138" s="117"/>
      <x:c r="P138" s="117"/>
      <x:c r="Q138" s="117"/>
      <x:c r="R138" s="117"/>
      <x:c r="S138" s="117"/>
      <x:c r="T138" s="117"/>
      <x:c r="U138" s="117"/>
      <x:c r="V138" s="117"/>
      <x:c r="W138" s="117"/>
      <x:c r="X138" s="117"/>
      <x:c r="Y138" s="117"/>
      <x:c r="Z138" s="117"/>
    </x:row>
    <x:row r="139">
      <x:c r="A139" s="117"/>
      <x:c r="B139" s="117"/>
      <x:c r="C139" s="117"/>
      <x:c r="D139" s="117"/>
      <x:c r="E139" s="117"/>
      <x:c r="F139" s="117"/>
      <x:c r="G139" s="117"/>
      <x:c r="H139" s="117"/>
      <x:c r="I139" s="117"/>
      <x:c r="J139" s="117"/>
      <x:c r="K139" s="117"/>
      <x:c r="L139" s="117"/>
      <x:c r="M139" s="117"/>
      <x:c r="N139" s="117"/>
      <x:c r="O139" s="117"/>
      <x:c r="P139" s="117"/>
      <x:c r="Q139" s="117"/>
      <x:c r="R139" s="117"/>
      <x:c r="S139" s="117"/>
      <x:c r="T139" s="117"/>
      <x:c r="U139" s="117"/>
      <x:c r="V139" s="117"/>
      <x:c r="W139" s="117"/>
      <x:c r="X139" s="117"/>
      <x:c r="Y139" s="117"/>
      <x:c r="Z139" s="117"/>
    </x:row>
    <x:row r="140">
      <x:c r="A140" s="117"/>
      <x:c r="B140" s="117"/>
      <x:c r="C140" s="117"/>
      <x:c r="D140" s="117"/>
      <x:c r="E140" s="117"/>
      <x:c r="F140" s="117"/>
      <x:c r="G140" s="117"/>
      <x:c r="H140" s="117"/>
      <x:c r="I140" s="117"/>
      <x:c r="J140" s="117"/>
      <x:c r="K140" s="117"/>
      <x:c r="L140" s="117"/>
      <x:c r="M140" s="117"/>
      <x:c r="N140" s="117"/>
      <x:c r="O140" s="117"/>
      <x:c r="P140" s="117"/>
      <x:c r="Q140" s="117"/>
      <x:c r="R140" s="117"/>
      <x:c r="S140" s="117"/>
      <x:c r="T140" s="117"/>
      <x:c r="U140" s="117"/>
      <x:c r="V140" s="117"/>
      <x:c r="W140" s="117"/>
      <x:c r="X140" s="117"/>
      <x:c r="Y140" s="117"/>
      <x:c r="Z140" s="117"/>
    </x:row>
    <x:row r="141">
      <x:c r="A141" s="117"/>
      <x:c r="B141" s="117"/>
      <x:c r="C141" s="117"/>
      <x:c r="D141" s="117"/>
      <x:c r="E141" s="117"/>
      <x:c r="F141" s="117"/>
      <x:c r="G141" s="117"/>
      <x:c r="H141" s="117"/>
      <x:c r="I141" s="117"/>
      <x:c r="J141" s="117"/>
      <x:c r="K141" s="117"/>
      <x:c r="L141" s="117"/>
      <x:c r="M141" s="117"/>
      <x:c r="N141" s="117"/>
      <x:c r="O141" s="117"/>
      <x:c r="P141" s="117"/>
      <x:c r="Q141" s="117"/>
      <x:c r="R141" s="117"/>
      <x:c r="S141" s="117"/>
      <x:c r="T141" s="117"/>
      <x:c r="U141" s="117"/>
      <x:c r="V141" s="117"/>
      <x:c r="W141" s="117"/>
      <x:c r="X141" s="117"/>
      <x:c r="Y141" s="117"/>
      <x:c r="Z141" s="117"/>
    </x:row>
    <x:row r="142">
      <x:c r="A142" s="117"/>
      <x:c r="B142" s="117"/>
      <x:c r="C142" s="117"/>
      <x:c r="D142" s="117"/>
      <x:c r="E142" s="117"/>
      <x:c r="F142" s="117"/>
      <x:c r="G142" s="117"/>
      <x:c r="H142" s="117"/>
      <x:c r="I142" s="117"/>
      <x:c r="J142" s="117"/>
      <x:c r="K142" s="117"/>
      <x:c r="L142" s="117"/>
      <x:c r="M142" s="117"/>
      <x:c r="N142" s="117"/>
      <x:c r="O142" s="117"/>
      <x:c r="P142" s="117"/>
      <x:c r="Q142" s="117"/>
      <x:c r="R142" s="117"/>
      <x:c r="S142" s="117"/>
      <x:c r="T142" s="117"/>
      <x:c r="U142" s="117"/>
      <x:c r="V142" s="117"/>
      <x:c r="W142" s="117"/>
      <x:c r="X142" s="117"/>
      <x:c r="Y142" s="117"/>
      <x:c r="Z142" s="117"/>
    </x:row>
    <x:row r="143">
      <x:c r="A143" s="117"/>
      <x:c r="B143" s="117"/>
      <x:c r="C143" s="117"/>
      <x:c r="D143" s="117"/>
      <x:c r="E143" s="117"/>
      <x:c r="F143" s="117"/>
      <x:c r="G143" s="117"/>
      <x:c r="H143" s="117"/>
      <x:c r="I143" s="117"/>
      <x:c r="J143" s="117"/>
      <x:c r="K143" s="117"/>
      <x:c r="L143" s="117"/>
      <x:c r="M143" s="117"/>
      <x:c r="N143" s="117"/>
      <x:c r="O143" s="117"/>
      <x:c r="P143" s="117"/>
      <x:c r="Q143" s="117"/>
      <x:c r="R143" s="117"/>
      <x:c r="S143" s="117"/>
      <x:c r="T143" s="117"/>
      <x:c r="U143" s="117"/>
      <x:c r="V143" s="117"/>
      <x:c r="W143" s="117"/>
      <x:c r="X143" s="117"/>
      <x:c r="Y143" s="117"/>
      <x:c r="Z143" s="117"/>
    </x:row>
    <x:row r="144">
      <x:c r="A144" s="117"/>
      <x:c r="B144" s="117"/>
      <x:c r="C144" s="117"/>
      <x:c r="D144" s="117"/>
      <x:c r="E144" s="117"/>
      <x:c r="F144" s="117"/>
      <x:c r="G144" s="117"/>
      <x:c r="H144" s="117"/>
      <x:c r="I144" s="117"/>
      <x:c r="J144" s="117"/>
      <x:c r="K144" s="117"/>
      <x:c r="L144" s="117"/>
      <x:c r="M144" s="117"/>
      <x:c r="N144" s="117"/>
      <x:c r="O144" s="117"/>
      <x:c r="P144" s="117"/>
      <x:c r="Q144" s="117"/>
      <x:c r="R144" s="117"/>
      <x:c r="S144" s="117"/>
      <x:c r="T144" s="117"/>
      <x:c r="U144" s="117"/>
      <x:c r="V144" s="117"/>
      <x:c r="W144" s="117"/>
      <x:c r="X144" s="117"/>
      <x:c r="Y144" s="117"/>
      <x:c r="Z144" s="117"/>
    </x:row>
    <x:row r="145">
      <x:c r="A145" s="117"/>
      <x:c r="B145" s="117"/>
      <x:c r="C145" s="117"/>
      <x:c r="D145" s="117"/>
      <x:c r="E145" s="117"/>
      <x:c r="F145" s="117"/>
      <x:c r="G145" s="117"/>
      <x:c r="H145" s="117"/>
      <x:c r="I145" s="117"/>
      <x:c r="J145" s="117"/>
      <x:c r="K145" s="117"/>
      <x:c r="L145" s="117"/>
      <x:c r="M145" s="117"/>
      <x:c r="N145" s="117"/>
      <x:c r="O145" s="117"/>
      <x:c r="P145" s="117"/>
      <x:c r="Q145" s="117"/>
      <x:c r="R145" s="117"/>
      <x:c r="S145" s="117"/>
      <x:c r="T145" s="117"/>
      <x:c r="U145" s="117"/>
      <x:c r="V145" s="117"/>
      <x:c r="W145" s="117"/>
      <x:c r="X145" s="117"/>
      <x:c r="Y145" s="117"/>
      <x:c r="Z145" s="117"/>
    </x:row>
    <x:row r="146">
      <x:c r="A146" s="117"/>
      <x:c r="B146" s="117"/>
      <x:c r="C146" s="117"/>
      <x:c r="D146" s="117"/>
      <x:c r="E146" s="117"/>
      <x:c r="F146" s="117"/>
      <x:c r="G146" s="117"/>
      <x:c r="H146" s="117"/>
      <x:c r="I146" s="117"/>
      <x:c r="J146" s="117"/>
      <x:c r="K146" s="117"/>
      <x:c r="L146" s="117"/>
      <x:c r="M146" s="117"/>
      <x:c r="N146" s="117"/>
      <x:c r="O146" s="117"/>
      <x:c r="P146" s="117"/>
      <x:c r="Q146" s="117"/>
      <x:c r="R146" s="117"/>
      <x:c r="S146" s="117"/>
      <x:c r="T146" s="117"/>
      <x:c r="U146" s="117"/>
      <x:c r="V146" s="117"/>
      <x:c r="W146" s="117"/>
      <x:c r="X146" s="117"/>
      <x:c r="Y146" s="117"/>
      <x:c r="Z146" s="117"/>
    </x:row>
    <x:row r="147">
      <x:c r="A147" s="117"/>
      <x:c r="B147" s="117"/>
      <x:c r="C147" s="117"/>
      <x:c r="D147" s="117"/>
      <x:c r="E147" s="117"/>
      <x:c r="F147" s="117"/>
      <x:c r="G147" s="117"/>
      <x:c r="H147" s="117"/>
      <x:c r="I147" s="117"/>
      <x:c r="J147" s="117"/>
      <x:c r="K147" s="117"/>
      <x:c r="L147" s="117"/>
      <x:c r="M147" s="117"/>
      <x:c r="N147" s="117"/>
      <x:c r="O147" s="117"/>
      <x:c r="P147" s="117"/>
      <x:c r="Q147" s="117"/>
      <x:c r="R147" s="117"/>
      <x:c r="S147" s="117"/>
      <x:c r="T147" s="117"/>
      <x:c r="U147" s="117"/>
      <x:c r="V147" s="117"/>
      <x:c r="W147" s="117"/>
      <x:c r="X147" s="117"/>
      <x:c r="Y147" s="117"/>
      <x:c r="Z147" s="117"/>
    </x:row>
    <x:row r="148">
      <x:c r="A148" s="117"/>
      <x:c r="B148" s="117"/>
      <x:c r="C148" s="117"/>
      <x:c r="D148" s="117"/>
      <x:c r="E148" s="117"/>
      <x:c r="F148" s="117"/>
      <x:c r="G148" s="117"/>
      <x:c r="H148" s="117"/>
      <x:c r="I148" s="117"/>
      <x:c r="J148" s="117"/>
      <x:c r="K148" s="117"/>
      <x:c r="L148" s="117"/>
      <x:c r="M148" s="117"/>
      <x:c r="N148" s="117"/>
      <x:c r="O148" s="117"/>
      <x:c r="P148" s="117"/>
      <x:c r="Q148" s="117"/>
      <x:c r="R148" s="117"/>
      <x:c r="S148" s="117"/>
      <x:c r="T148" s="117"/>
      <x:c r="U148" s="117"/>
      <x:c r="V148" s="117"/>
      <x:c r="W148" s="117"/>
      <x:c r="X148" s="117"/>
      <x:c r="Y148" s="117"/>
      <x:c r="Z148" s="117"/>
    </x:row>
    <x:row r="149">
      <x:c r="A149" s="117"/>
      <x:c r="B149" s="117"/>
      <x:c r="C149" s="117"/>
      <x:c r="D149" s="117"/>
      <x:c r="E149" s="117"/>
      <x:c r="F149" s="117"/>
      <x:c r="G149" s="117"/>
      <x:c r="H149" s="117"/>
      <x:c r="I149" s="117"/>
      <x:c r="J149" s="117"/>
      <x:c r="K149" s="117"/>
      <x:c r="L149" s="117"/>
      <x:c r="M149" s="117"/>
      <x:c r="N149" s="117"/>
      <x:c r="O149" s="117"/>
      <x:c r="P149" s="117"/>
      <x:c r="Q149" s="117"/>
      <x:c r="R149" s="117"/>
      <x:c r="S149" s="117"/>
      <x:c r="T149" s="117"/>
      <x:c r="U149" s="117"/>
      <x:c r="V149" s="117"/>
      <x:c r="W149" s="117"/>
      <x:c r="X149" s="117"/>
      <x:c r="Y149" s="117"/>
      <x:c r="Z149" s="117"/>
    </x:row>
    <x:row r="150">
      <x:c r="A150" s="117"/>
      <x:c r="B150" s="117"/>
      <x:c r="C150" s="117"/>
      <x:c r="D150" s="117"/>
      <x:c r="E150" s="117"/>
      <x:c r="F150" s="117"/>
      <x:c r="G150" s="117"/>
      <x:c r="H150" s="117"/>
      <x:c r="I150" s="117"/>
      <x:c r="J150" s="117"/>
      <x:c r="K150" s="117"/>
      <x:c r="L150" s="117"/>
      <x:c r="M150" s="117"/>
      <x:c r="N150" s="117"/>
      <x:c r="O150" s="117"/>
      <x:c r="P150" s="117"/>
      <x:c r="Q150" s="117"/>
      <x:c r="R150" s="117"/>
      <x:c r="S150" s="117"/>
      <x:c r="T150" s="117"/>
      <x:c r="U150" s="117"/>
      <x:c r="V150" s="117"/>
      <x:c r="W150" s="117"/>
      <x:c r="X150" s="117"/>
      <x:c r="Y150" s="117"/>
      <x:c r="Z150" s="117"/>
    </x:row>
    <x:row r="151">
      <x:c r="A151" s="117"/>
      <x:c r="B151" s="117"/>
      <x:c r="C151" s="117"/>
      <x:c r="D151" s="117"/>
      <x:c r="E151" s="117"/>
      <x:c r="F151" s="117"/>
      <x:c r="G151" s="117"/>
      <x:c r="H151" s="117"/>
      <x:c r="I151" s="117"/>
      <x:c r="J151" s="117"/>
      <x:c r="K151" s="117"/>
      <x:c r="L151" s="117"/>
      <x:c r="M151" s="117"/>
      <x:c r="N151" s="117"/>
      <x:c r="O151" s="117"/>
      <x:c r="P151" s="117"/>
      <x:c r="Q151" s="117"/>
      <x:c r="R151" s="117"/>
      <x:c r="S151" s="117"/>
      <x:c r="T151" s="117"/>
      <x:c r="U151" s="117"/>
      <x:c r="V151" s="117"/>
      <x:c r="W151" s="117"/>
      <x:c r="X151" s="117"/>
      <x:c r="Y151" s="117"/>
      <x:c r="Z151" s="117"/>
    </x:row>
    <x:row r="152">
      <x:c r="A152" s="117"/>
      <x:c r="B152" s="117"/>
      <x:c r="C152" s="117"/>
      <x:c r="D152" s="117"/>
      <x:c r="E152" s="117"/>
      <x:c r="F152" s="117"/>
      <x:c r="G152" s="117"/>
      <x:c r="H152" s="117"/>
      <x:c r="I152" s="117"/>
      <x:c r="J152" s="117"/>
      <x:c r="K152" s="117"/>
      <x:c r="L152" s="117"/>
      <x:c r="M152" s="117"/>
      <x:c r="N152" s="117"/>
      <x:c r="O152" s="117"/>
      <x:c r="P152" s="117"/>
      <x:c r="Q152" s="117"/>
      <x:c r="R152" s="117"/>
      <x:c r="S152" s="117"/>
      <x:c r="T152" s="117"/>
      <x:c r="U152" s="117"/>
      <x:c r="V152" s="117"/>
      <x:c r="W152" s="117"/>
      <x:c r="X152" s="117"/>
      <x:c r="Y152" s="117"/>
      <x:c r="Z152" s="117"/>
    </x:row>
    <x:row r="153">
      <x:c r="A153" s="117"/>
      <x:c r="B153" s="117"/>
      <x:c r="C153" s="117"/>
      <x:c r="D153" s="117"/>
      <x:c r="E153" s="117"/>
      <x:c r="F153" s="117"/>
      <x:c r="G153" s="117"/>
      <x:c r="H153" s="117"/>
      <x:c r="I153" s="117"/>
      <x:c r="J153" s="117"/>
      <x:c r="K153" s="117"/>
      <x:c r="L153" s="117"/>
      <x:c r="M153" s="117"/>
      <x:c r="N153" s="117"/>
      <x:c r="O153" s="117"/>
      <x:c r="P153" s="117"/>
      <x:c r="Q153" s="117"/>
      <x:c r="R153" s="117"/>
      <x:c r="S153" s="117"/>
      <x:c r="T153" s="117"/>
      <x:c r="U153" s="117"/>
      <x:c r="V153" s="117"/>
      <x:c r="W153" s="117"/>
      <x:c r="X153" s="117"/>
      <x:c r="Y153" s="117"/>
      <x:c r="Z153" s="117"/>
    </x:row>
    <x:row r="154">
      <x:c r="A154" s="117"/>
      <x:c r="B154" s="117"/>
      <x:c r="C154" s="117"/>
      <x:c r="D154" s="117"/>
      <x:c r="E154" s="117"/>
      <x:c r="F154" s="117"/>
      <x:c r="G154" s="117"/>
      <x:c r="H154" s="117"/>
      <x:c r="I154" s="117"/>
      <x:c r="J154" s="117"/>
      <x:c r="K154" s="117"/>
      <x:c r="L154" s="117"/>
      <x:c r="M154" s="117"/>
      <x:c r="N154" s="117"/>
      <x:c r="O154" s="117"/>
      <x:c r="P154" s="117"/>
      <x:c r="Q154" s="117"/>
      <x:c r="R154" s="117"/>
      <x:c r="S154" s="117"/>
      <x:c r="T154" s="117"/>
      <x:c r="U154" s="117"/>
      <x:c r="V154" s="117"/>
      <x:c r="W154" s="117"/>
      <x:c r="X154" s="117"/>
      <x:c r="Y154" s="117"/>
      <x:c r="Z154" s="117"/>
    </x:row>
    <x:row r="155">
      <x:c r="A155" s="117"/>
      <x:c r="B155" s="117"/>
      <x:c r="C155" s="117"/>
      <x:c r="D155" s="117"/>
      <x:c r="E155" s="117"/>
      <x:c r="F155" s="117"/>
      <x:c r="G155" s="117"/>
      <x:c r="H155" s="117"/>
      <x:c r="I155" s="117"/>
      <x:c r="J155" s="117"/>
      <x:c r="K155" s="117"/>
      <x:c r="L155" s="117"/>
      <x:c r="M155" s="117"/>
      <x:c r="N155" s="117"/>
      <x:c r="O155" s="117"/>
      <x:c r="P155" s="117"/>
      <x:c r="Q155" s="117"/>
      <x:c r="R155" s="117"/>
      <x:c r="S155" s="117"/>
      <x:c r="T155" s="117"/>
      <x:c r="U155" s="117"/>
      <x:c r="V155" s="117"/>
      <x:c r="W155" s="117"/>
      <x:c r="X155" s="117"/>
      <x:c r="Y155" s="117"/>
      <x:c r="Z155" s="117"/>
    </x:row>
    <x:row r="156">
      <x:c r="A156" s="117"/>
      <x:c r="B156" s="117"/>
      <x:c r="C156" s="117"/>
      <x:c r="D156" s="117"/>
      <x:c r="E156" s="117"/>
      <x:c r="F156" s="117"/>
      <x:c r="G156" s="117"/>
      <x:c r="H156" s="117"/>
      <x:c r="I156" s="117"/>
      <x:c r="J156" s="117"/>
      <x:c r="K156" s="117"/>
      <x:c r="L156" s="117"/>
      <x:c r="M156" s="117"/>
      <x:c r="N156" s="117"/>
      <x:c r="O156" s="117"/>
      <x:c r="P156" s="117"/>
      <x:c r="Q156" s="117"/>
      <x:c r="R156" s="117"/>
      <x:c r="S156" s="117"/>
      <x:c r="T156" s="117"/>
      <x:c r="U156" s="117"/>
      <x:c r="V156" s="117"/>
      <x:c r="W156" s="117"/>
      <x:c r="X156" s="117"/>
      <x:c r="Y156" s="117"/>
      <x:c r="Z156" s="117"/>
    </x:row>
    <x:row r="157">
      <x:c r="A157" s="117"/>
      <x:c r="B157" s="117"/>
      <x:c r="C157" s="117"/>
      <x:c r="D157" s="117"/>
      <x:c r="E157" s="117"/>
      <x:c r="F157" s="117"/>
      <x:c r="G157" s="117"/>
      <x:c r="H157" s="117"/>
      <x:c r="I157" s="117"/>
      <x:c r="J157" s="117"/>
      <x:c r="K157" s="117"/>
      <x:c r="L157" s="117"/>
      <x:c r="M157" s="117"/>
      <x:c r="N157" s="117"/>
      <x:c r="O157" s="117"/>
      <x:c r="P157" s="117"/>
      <x:c r="Q157" s="117"/>
      <x:c r="R157" s="117"/>
      <x:c r="S157" s="117"/>
      <x:c r="T157" s="117"/>
      <x:c r="U157" s="117"/>
      <x:c r="V157" s="117"/>
      <x:c r="W157" s="117"/>
      <x:c r="X157" s="117"/>
      <x:c r="Y157" s="117"/>
      <x:c r="Z157" s="117"/>
    </x:row>
    <x:row r="158">
      <x:c r="A158" s="117"/>
      <x:c r="B158" s="117"/>
      <x:c r="C158" s="117"/>
      <x:c r="D158" s="117"/>
      <x:c r="E158" s="117"/>
      <x:c r="F158" s="117"/>
      <x:c r="G158" s="117"/>
      <x:c r="H158" s="117"/>
      <x:c r="I158" s="117"/>
      <x:c r="J158" s="117"/>
      <x:c r="K158" s="117"/>
      <x:c r="L158" s="117"/>
      <x:c r="M158" s="117"/>
      <x:c r="N158" s="117"/>
      <x:c r="O158" s="117"/>
      <x:c r="P158" s="117"/>
      <x:c r="Q158" s="117"/>
      <x:c r="R158" s="117"/>
      <x:c r="S158" s="117"/>
      <x:c r="T158" s="117"/>
      <x:c r="U158" s="117"/>
      <x:c r="V158" s="117"/>
      <x:c r="W158" s="117"/>
      <x:c r="X158" s="117"/>
      <x:c r="Y158" s="117"/>
      <x:c r="Z158" s="117"/>
    </x:row>
    <x:row r="159">
      <x:c r="A159" s="117"/>
      <x:c r="B159" s="117"/>
      <x:c r="C159" s="117"/>
      <x:c r="D159" s="117"/>
      <x:c r="E159" s="117"/>
      <x:c r="F159" s="117"/>
      <x:c r="G159" s="117"/>
      <x:c r="H159" s="117"/>
      <x:c r="I159" s="117"/>
      <x:c r="J159" s="117"/>
      <x:c r="K159" s="117"/>
      <x:c r="L159" s="117"/>
      <x:c r="M159" s="117"/>
      <x:c r="N159" s="117"/>
      <x:c r="O159" s="117"/>
      <x:c r="P159" s="117"/>
      <x:c r="Q159" s="117"/>
      <x:c r="R159" s="117"/>
      <x:c r="S159" s="117"/>
      <x:c r="T159" s="117"/>
      <x:c r="U159" s="117"/>
      <x:c r="V159" s="117"/>
      <x:c r="W159" s="117"/>
      <x:c r="X159" s="117"/>
      <x:c r="Y159" s="117"/>
      <x:c r="Z159" s="117"/>
    </x:row>
    <x:row r="160">
      <x:c r="A160" s="117"/>
      <x:c r="B160" s="117"/>
      <x:c r="C160" s="117"/>
      <x:c r="D160" s="117"/>
      <x:c r="E160" s="117"/>
      <x:c r="F160" s="117"/>
      <x:c r="G160" s="117"/>
      <x:c r="H160" s="117"/>
      <x:c r="I160" s="117"/>
      <x:c r="J160" s="117"/>
      <x:c r="K160" s="117"/>
      <x:c r="L160" s="117"/>
      <x:c r="M160" s="117"/>
      <x:c r="N160" s="117"/>
      <x:c r="O160" s="117"/>
      <x:c r="P160" s="117"/>
      <x:c r="Q160" s="117"/>
      <x:c r="R160" s="117"/>
      <x:c r="S160" s="117"/>
      <x:c r="T160" s="117"/>
      <x:c r="U160" s="117"/>
      <x:c r="V160" s="117"/>
      <x:c r="W160" s="117"/>
      <x:c r="X160" s="117"/>
      <x:c r="Y160" s="117"/>
      <x:c r="Z160" s="117"/>
    </x:row>
    <x:row r="161">
      <x:c r="A161" s="117"/>
      <x:c r="B161" s="117"/>
      <x:c r="C161" s="117"/>
      <x:c r="D161" s="117"/>
      <x:c r="E161" s="117"/>
      <x:c r="F161" s="117"/>
      <x:c r="G161" s="117"/>
      <x:c r="H161" s="117"/>
      <x:c r="I161" s="117"/>
      <x:c r="J161" s="117"/>
      <x:c r="K161" s="117"/>
      <x:c r="L161" s="117"/>
      <x:c r="M161" s="117"/>
      <x:c r="N161" s="117"/>
      <x:c r="O161" s="117"/>
      <x:c r="P161" s="117"/>
      <x:c r="Q161" s="117"/>
      <x:c r="R161" s="117"/>
      <x:c r="S161" s="117"/>
      <x:c r="T161" s="117"/>
      <x:c r="U161" s="117"/>
      <x:c r="V161" s="117"/>
      <x:c r="W161" s="117"/>
      <x:c r="X161" s="117"/>
      <x:c r="Y161" s="117"/>
      <x:c r="Z161" s="117"/>
    </x:row>
    <x:row r="162">
      <x:c r="A162" s="117"/>
      <x:c r="B162" s="117"/>
      <x:c r="C162" s="117"/>
      <x:c r="D162" s="117"/>
      <x:c r="E162" s="117"/>
      <x:c r="F162" s="117"/>
      <x:c r="G162" s="117"/>
      <x:c r="H162" s="117"/>
      <x:c r="I162" s="117"/>
      <x:c r="J162" s="117"/>
      <x:c r="K162" s="117"/>
      <x:c r="L162" s="117"/>
      <x:c r="M162" s="117"/>
      <x:c r="N162" s="117"/>
      <x:c r="O162" s="117"/>
      <x:c r="P162" s="117"/>
      <x:c r="Q162" s="117"/>
      <x:c r="R162" s="117"/>
      <x:c r="S162" s="117"/>
      <x:c r="T162" s="117"/>
      <x:c r="U162" s="117"/>
      <x:c r="V162" s="117"/>
      <x:c r="W162" s="117"/>
      <x:c r="X162" s="117"/>
      <x:c r="Y162" s="117"/>
      <x:c r="Z162" s="117"/>
    </x:row>
    <x:row r="163">
      <x:c r="A163" s="117"/>
      <x:c r="B163" s="117"/>
      <x:c r="C163" s="117"/>
      <x:c r="D163" s="117"/>
      <x:c r="E163" s="117"/>
      <x:c r="F163" s="117"/>
      <x:c r="G163" s="117"/>
      <x:c r="H163" s="117"/>
      <x:c r="I163" s="117"/>
      <x:c r="J163" s="117"/>
      <x:c r="K163" s="117"/>
      <x:c r="L163" s="117"/>
      <x:c r="M163" s="117"/>
      <x:c r="N163" s="117"/>
      <x:c r="O163" s="117"/>
      <x:c r="P163" s="117"/>
      <x:c r="Q163" s="117"/>
      <x:c r="R163" s="117"/>
      <x:c r="S163" s="117"/>
      <x:c r="T163" s="117"/>
      <x:c r="U163" s="117"/>
      <x:c r="V163" s="117"/>
      <x:c r="W163" s="117"/>
      <x:c r="X163" s="117"/>
      <x:c r="Y163" s="117"/>
      <x:c r="Z163" s="117"/>
    </x:row>
    <x:row r="164">
      <x:c r="A164" s="117"/>
      <x:c r="B164" s="117"/>
      <x:c r="C164" s="117"/>
      <x:c r="D164" s="117"/>
      <x:c r="E164" s="117"/>
      <x:c r="F164" s="117"/>
      <x:c r="G164" s="117"/>
      <x:c r="H164" s="117"/>
      <x:c r="I164" s="117"/>
      <x:c r="J164" s="117"/>
      <x:c r="K164" s="117"/>
      <x:c r="L164" s="117"/>
      <x:c r="M164" s="117"/>
      <x:c r="N164" s="117"/>
      <x:c r="O164" s="117"/>
      <x:c r="P164" s="117"/>
      <x:c r="Q164" s="117"/>
      <x:c r="R164" s="117"/>
      <x:c r="S164" s="117"/>
      <x:c r="T164" s="117"/>
      <x:c r="U164" s="117"/>
      <x:c r="V164" s="117"/>
      <x:c r="W164" s="117"/>
      <x:c r="X164" s="117"/>
      <x:c r="Y164" s="117"/>
      <x:c r="Z164" s="117"/>
    </x:row>
    <x:row r="165">
      <x:c r="A165" s="117"/>
      <x:c r="B165" s="117"/>
      <x:c r="C165" s="117"/>
      <x:c r="D165" s="117"/>
      <x:c r="E165" s="117"/>
      <x:c r="F165" s="117"/>
      <x:c r="G165" s="117"/>
      <x:c r="H165" s="117"/>
      <x:c r="I165" s="117"/>
      <x:c r="J165" s="117"/>
      <x:c r="K165" s="117"/>
      <x:c r="L165" s="117"/>
      <x:c r="M165" s="117"/>
      <x:c r="N165" s="117"/>
      <x:c r="O165" s="117"/>
      <x:c r="P165" s="117"/>
      <x:c r="Q165" s="117"/>
      <x:c r="R165" s="117"/>
      <x:c r="S165" s="117"/>
      <x:c r="T165" s="117"/>
      <x:c r="U165" s="117"/>
      <x:c r="V165" s="117"/>
      <x:c r="W165" s="117"/>
      <x:c r="X165" s="117"/>
      <x:c r="Y165" s="117"/>
      <x:c r="Z165" s="117"/>
    </x:row>
    <x:row r="166">
      <x:c r="A166" s="117"/>
      <x:c r="B166" s="117"/>
      <x:c r="C166" s="117"/>
      <x:c r="D166" s="117"/>
      <x:c r="E166" s="117"/>
      <x:c r="F166" s="117"/>
      <x:c r="G166" s="117"/>
      <x:c r="H166" s="117"/>
      <x:c r="I166" s="117"/>
      <x:c r="J166" s="117"/>
      <x:c r="K166" s="117"/>
      <x:c r="L166" s="117"/>
      <x:c r="M166" s="117"/>
      <x:c r="N166" s="117"/>
      <x:c r="O166" s="117"/>
      <x:c r="P166" s="117"/>
      <x:c r="Q166" s="117"/>
      <x:c r="R166" s="117"/>
      <x:c r="S166" s="117"/>
      <x:c r="T166" s="117"/>
      <x:c r="U166" s="117"/>
      <x:c r="V166" s="117"/>
      <x:c r="W166" s="117"/>
      <x:c r="X166" s="117"/>
      <x:c r="Y166" s="117"/>
      <x:c r="Z166" s="117"/>
    </x:row>
    <x:row r="167">
      <x:c r="A167" s="117"/>
      <x:c r="B167" s="117"/>
      <x:c r="C167" s="117"/>
      <x:c r="D167" s="117"/>
      <x:c r="E167" s="117"/>
      <x:c r="F167" s="117"/>
      <x:c r="G167" s="117"/>
      <x:c r="H167" s="117"/>
      <x:c r="I167" s="117"/>
      <x:c r="J167" s="117"/>
      <x:c r="K167" s="117"/>
      <x:c r="L167" s="117"/>
      <x:c r="M167" s="117"/>
      <x:c r="N167" s="117"/>
      <x:c r="O167" s="117"/>
      <x:c r="P167" s="117"/>
      <x:c r="Q167" s="117"/>
      <x:c r="R167" s="117"/>
      <x:c r="S167" s="117"/>
      <x:c r="T167" s="117"/>
      <x:c r="U167" s="117"/>
      <x:c r="V167" s="117"/>
      <x:c r="W167" s="117"/>
      <x:c r="X167" s="117"/>
      <x:c r="Y167" s="117"/>
      <x:c r="Z167" s="117"/>
    </x:row>
    <x:row r="168">
      <x:c r="A168" s="117"/>
      <x:c r="B168" s="117"/>
      <x:c r="C168" s="117"/>
      <x:c r="D168" s="117"/>
      <x:c r="E168" s="117"/>
      <x:c r="F168" s="117"/>
      <x:c r="G168" s="117"/>
      <x:c r="H168" s="117"/>
      <x:c r="I168" s="117"/>
      <x:c r="J168" s="117"/>
      <x:c r="K168" s="117"/>
      <x:c r="L168" s="117"/>
      <x:c r="M168" s="117"/>
      <x:c r="N168" s="117"/>
      <x:c r="O168" s="117"/>
      <x:c r="P168" s="117"/>
      <x:c r="Q168" s="117"/>
      <x:c r="R168" s="117"/>
      <x:c r="S168" s="117"/>
      <x:c r="T168" s="117"/>
      <x:c r="U168" s="117"/>
      <x:c r="V168" s="117"/>
      <x:c r="W168" s="117"/>
      <x:c r="X168" s="117"/>
      <x:c r="Y168" s="117"/>
      <x:c r="Z168" s="117"/>
    </x:row>
    <x:row r="169">
      <x:c r="A169" s="117"/>
      <x:c r="B169" s="117"/>
      <x:c r="C169" s="117"/>
      <x:c r="D169" s="117"/>
      <x:c r="E169" s="117"/>
      <x:c r="F169" s="117"/>
      <x:c r="G169" s="117"/>
      <x:c r="H169" s="117"/>
      <x:c r="I169" s="117"/>
      <x:c r="J169" s="117"/>
      <x:c r="K169" s="117"/>
      <x:c r="L169" s="117"/>
      <x:c r="M169" s="117"/>
      <x:c r="N169" s="117"/>
      <x:c r="O169" s="117"/>
      <x:c r="P169" s="117"/>
      <x:c r="Q169" s="117"/>
      <x:c r="R169" s="117"/>
      <x:c r="S169" s="117"/>
      <x:c r="T169" s="117"/>
      <x:c r="U169" s="117"/>
      <x:c r="V169" s="117"/>
      <x:c r="W169" s="117"/>
      <x:c r="X169" s="117"/>
      <x:c r="Y169" s="117"/>
      <x:c r="Z169" s="117"/>
    </x:row>
    <x:row r="170">
      <x:c r="A170" s="117"/>
      <x:c r="B170" s="117"/>
      <x:c r="C170" s="117"/>
      <x:c r="D170" s="117"/>
      <x:c r="E170" s="117"/>
      <x:c r="F170" s="117"/>
      <x:c r="G170" s="117"/>
      <x:c r="H170" s="117"/>
      <x:c r="I170" s="117"/>
      <x:c r="J170" s="117"/>
      <x:c r="K170" s="117"/>
      <x:c r="L170" s="117"/>
      <x:c r="M170" s="117"/>
      <x:c r="N170" s="117"/>
      <x:c r="O170" s="117"/>
      <x:c r="P170" s="117"/>
      <x:c r="Q170" s="117"/>
      <x:c r="R170" s="117"/>
      <x:c r="S170" s="117"/>
      <x:c r="T170" s="117"/>
      <x:c r="U170" s="117"/>
      <x:c r="V170" s="117"/>
      <x:c r="W170" s="117"/>
      <x:c r="X170" s="117"/>
      <x:c r="Y170" s="117"/>
      <x:c r="Z170" s="117"/>
    </x:row>
    <x:row r="171">
      <x:c r="A171" s="117"/>
      <x:c r="B171" s="117"/>
      <x:c r="C171" s="117"/>
      <x:c r="D171" s="117"/>
      <x:c r="E171" s="117"/>
      <x:c r="F171" s="117"/>
      <x:c r="G171" s="117"/>
      <x:c r="H171" s="117"/>
      <x:c r="I171" s="117"/>
      <x:c r="J171" s="117"/>
      <x:c r="K171" s="117"/>
      <x:c r="L171" s="117"/>
      <x:c r="M171" s="117"/>
      <x:c r="N171" s="117"/>
      <x:c r="O171" s="117"/>
      <x:c r="P171" s="117"/>
      <x:c r="Q171" s="117"/>
      <x:c r="R171" s="117"/>
      <x:c r="S171" s="117"/>
      <x:c r="T171" s="117"/>
      <x:c r="U171" s="117"/>
      <x:c r="V171" s="117"/>
      <x:c r="W171" s="117"/>
      <x:c r="X171" s="117"/>
      <x:c r="Y171" s="117"/>
      <x:c r="Z171" s="117"/>
    </x:row>
    <x:row r="172">
      <x:c r="A172" s="117"/>
      <x:c r="B172" s="117"/>
      <x:c r="C172" s="117"/>
      <x:c r="D172" s="117"/>
      <x:c r="E172" s="117"/>
      <x:c r="F172" s="117"/>
      <x:c r="G172" s="117"/>
      <x:c r="H172" s="117"/>
      <x:c r="I172" s="117"/>
      <x:c r="J172" s="117"/>
      <x:c r="K172" s="117"/>
      <x:c r="L172" s="117"/>
      <x:c r="M172" s="117"/>
      <x:c r="N172" s="117"/>
      <x:c r="O172" s="117"/>
      <x:c r="P172" s="117"/>
      <x:c r="Q172" s="117"/>
      <x:c r="R172" s="117"/>
      <x:c r="S172" s="117"/>
      <x:c r="T172" s="117"/>
      <x:c r="U172" s="117"/>
      <x:c r="V172" s="117"/>
      <x:c r="W172" s="117"/>
      <x:c r="X172" s="117"/>
      <x:c r="Y172" s="117"/>
      <x:c r="Z172" s="117"/>
    </x:row>
    <x:row r="173">
      <x:c r="A173" s="117"/>
      <x:c r="B173" s="117"/>
      <x:c r="C173" s="117"/>
      <x:c r="D173" s="117"/>
      <x:c r="E173" s="117"/>
      <x:c r="F173" s="117"/>
      <x:c r="G173" s="117"/>
      <x:c r="H173" s="117"/>
      <x:c r="I173" s="117"/>
      <x:c r="J173" s="117"/>
      <x:c r="K173" s="117"/>
      <x:c r="L173" s="117"/>
      <x:c r="M173" s="117"/>
      <x:c r="N173" s="117"/>
      <x:c r="O173" s="117"/>
      <x:c r="P173" s="117"/>
      <x:c r="Q173" s="117"/>
      <x:c r="R173" s="117"/>
      <x:c r="S173" s="117"/>
      <x:c r="T173" s="117"/>
      <x:c r="U173" s="117"/>
      <x:c r="V173" s="117"/>
      <x:c r="W173" s="117"/>
      <x:c r="X173" s="117"/>
      <x:c r="Y173" s="117"/>
      <x:c r="Z173" s="117"/>
    </x:row>
    <x:row r="174">
      <x:c r="A174" s="117"/>
      <x:c r="B174" s="117"/>
      <x:c r="C174" s="117"/>
      <x:c r="D174" s="117"/>
      <x:c r="E174" s="117"/>
      <x:c r="F174" s="117"/>
      <x:c r="G174" s="117"/>
      <x:c r="H174" s="117"/>
      <x:c r="I174" s="117"/>
      <x:c r="J174" s="117"/>
      <x:c r="K174" s="117"/>
      <x:c r="L174" s="117"/>
      <x:c r="M174" s="117"/>
      <x:c r="N174" s="117"/>
      <x:c r="O174" s="117"/>
      <x:c r="P174" s="117"/>
      <x:c r="Q174" s="117"/>
      <x:c r="R174" s="117"/>
      <x:c r="S174" s="117"/>
      <x:c r="T174" s="117"/>
      <x:c r="U174" s="117"/>
      <x:c r="V174" s="117"/>
      <x:c r="W174" s="117"/>
      <x:c r="X174" s="117"/>
      <x:c r="Y174" s="117"/>
      <x:c r="Z174" s="117"/>
    </x:row>
    <x:row r="175">
      <x:c r="A175" s="117"/>
      <x:c r="B175" s="117"/>
      <x:c r="C175" s="117"/>
      <x:c r="D175" s="117"/>
      <x:c r="E175" s="117"/>
      <x:c r="F175" s="117"/>
      <x:c r="G175" s="117"/>
      <x:c r="H175" s="117"/>
      <x:c r="I175" s="117"/>
      <x:c r="J175" s="117"/>
      <x:c r="K175" s="117"/>
      <x:c r="L175" s="117"/>
      <x:c r="M175" s="117"/>
      <x:c r="N175" s="117"/>
      <x:c r="O175" s="117"/>
      <x:c r="P175" s="117"/>
      <x:c r="Q175" s="117"/>
      <x:c r="R175" s="117"/>
      <x:c r="S175" s="117"/>
      <x:c r="T175" s="117"/>
      <x:c r="U175" s="117"/>
      <x:c r="V175" s="117"/>
      <x:c r="W175" s="117"/>
      <x:c r="X175" s="117"/>
      <x:c r="Y175" s="117"/>
      <x:c r="Z175" s="117"/>
    </x:row>
    <x:row r="176">
      <x:c r="A176" s="117"/>
      <x:c r="B176" s="117"/>
      <x:c r="C176" s="117"/>
      <x:c r="D176" s="117"/>
      <x:c r="E176" s="117"/>
      <x:c r="F176" s="117"/>
      <x:c r="G176" s="117"/>
      <x:c r="H176" s="117"/>
      <x:c r="I176" s="117"/>
      <x:c r="J176" s="117"/>
      <x:c r="K176" s="117"/>
      <x:c r="L176" s="117"/>
      <x:c r="M176" s="117"/>
      <x:c r="N176" s="117"/>
      <x:c r="O176" s="117"/>
      <x:c r="P176" s="117"/>
      <x:c r="Q176" s="117"/>
      <x:c r="R176" s="117"/>
      <x:c r="S176" s="117"/>
      <x:c r="T176" s="117"/>
      <x:c r="U176" s="117"/>
      <x:c r="V176" s="117"/>
      <x:c r="W176" s="117"/>
      <x:c r="X176" s="117"/>
      <x:c r="Y176" s="117"/>
      <x:c r="Z176" s="117"/>
    </x:row>
    <x:row r="177">
      <x:c r="A177" s="117"/>
      <x:c r="B177" s="117"/>
      <x:c r="C177" s="117"/>
      <x:c r="D177" s="117"/>
      <x:c r="E177" s="117"/>
      <x:c r="F177" s="117"/>
      <x:c r="G177" s="117"/>
      <x:c r="H177" s="117"/>
      <x:c r="I177" s="117"/>
      <x:c r="J177" s="117"/>
      <x:c r="K177" s="117"/>
      <x:c r="L177" s="117"/>
      <x:c r="M177" s="117"/>
      <x:c r="N177" s="117"/>
      <x:c r="O177" s="117"/>
      <x:c r="P177" s="117"/>
      <x:c r="Q177" s="117"/>
      <x:c r="R177" s="117"/>
      <x:c r="S177" s="117"/>
      <x:c r="T177" s="117"/>
      <x:c r="U177" s="117"/>
      <x:c r="V177" s="117"/>
      <x:c r="W177" s="117"/>
      <x:c r="X177" s="117"/>
      <x:c r="Y177" s="117"/>
      <x:c r="Z177" s="117"/>
    </x:row>
    <x:row r="178">
      <x:c r="A178" s="117"/>
      <x:c r="B178" s="117"/>
      <x:c r="C178" s="117"/>
      <x:c r="D178" s="117"/>
      <x:c r="E178" s="117"/>
      <x:c r="F178" s="117"/>
      <x:c r="G178" s="117"/>
      <x:c r="H178" s="117"/>
      <x:c r="I178" s="117"/>
      <x:c r="J178" s="117"/>
      <x:c r="K178" s="117"/>
      <x:c r="L178" s="117"/>
      <x:c r="M178" s="117"/>
      <x:c r="N178" s="117"/>
      <x:c r="O178" s="117"/>
      <x:c r="P178" s="117"/>
      <x:c r="Q178" s="117"/>
      <x:c r="R178" s="117"/>
      <x:c r="S178" s="117"/>
      <x:c r="T178" s="117"/>
      <x:c r="U178" s="117"/>
      <x:c r="V178" s="117"/>
      <x:c r="W178" s="117"/>
      <x:c r="X178" s="117"/>
      <x:c r="Y178" s="117"/>
      <x:c r="Z178" s="117"/>
    </x:row>
    <x:row r="179">
      <x:c r="A179" s="117"/>
      <x:c r="B179" s="117"/>
      <x:c r="C179" s="117"/>
      <x:c r="D179" s="117"/>
      <x:c r="E179" s="117"/>
      <x:c r="F179" s="117"/>
      <x:c r="G179" s="117"/>
      <x:c r="H179" s="117"/>
      <x:c r="I179" s="117"/>
      <x:c r="J179" s="117"/>
      <x:c r="K179" s="117"/>
      <x:c r="L179" s="117"/>
      <x:c r="M179" s="117"/>
      <x:c r="N179" s="117"/>
      <x:c r="O179" s="117"/>
      <x:c r="P179" s="117"/>
      <x:c r="Q179" s="117"/>
      <x:c r="R179" s="117"/>
      <x:c r="S179" s="117"/>
      <x:c r="T179" s="117"/>
      <x:c r="U179" s="117"/>
      <x:c r="V179" s="117"/>
      <x:c r="W179" s="117"/>
      <x:c r="X179" s="117"/>
      <x:c r="Y179" s="117"/>
      <x:c r="Z179" s="117"/>
    </x:row>
    <x:row r="180">
      <x:c r="A180" s="117"/>
      <x:c r="B180" s="117"/>
      <x:c r="C180" s="117"/>
      <x:c r="D180" s="117"/>
      <x:c r="E180" s="117"/>
      <x:c r="F180" s="117"/>
      <x:c r="G180" s="117"/>
      <x:c r="H180" s="117"/>
      <x:c r="I180" s="117"/>
      <x:c r="J180" s="117"/>
      <x:c r="K180" s="117"/>
      <x:c r="L180" s="117"/>
      <x:c r="M180" s="117"/>
      <x:c r="N180" s="117"/>
      <x:c r="O180" s="117"/>
      <x:c r="P180" s="117"/>
      <x:c r="Q180" s="117"/>
      <x:c r="R180" s="117"/>
      <x:c r="S180" s="117"/>
      <x:c r="T180" s="117"/>
      <x:c r="U180" s="117"/>
      <x:c r="V180" s="117"/>
      <x:c r="W180" s="117"/>
      <x:c r="X180" s="117"/>
      <x:c r="Y180" s="117"/>
      <x:c r="Z180" s="117"/>
    </x:row>
    <x:row r="181">
      <x:c r="A181" s="117"/>
      <x:c r="B181" s="117"/>
      <x:c r="C181" s="117"/>
      <x:c r="D181" s="117"/>
      <x:c r="E181" s="117"/>
      <x:c r="F181" s="117"/>
      <x:c r="G181" s="117"/>
      <x:c r="H181" s="117"/>
      <x:c r="I181" s="117"/>
      <x:c r="J181" s="117"/>
      <x:c r="K181" s="117"/>
      <x:c r="L181" s="117"/>
      <x:c r="M181" s="117"/>
      <x:c r="N181" s="117"/>
      <x:c r="O181" s="117"/>
      <x:c r="P181" s="117"/>
      <x:c r="Q181" s="117"/>
      <x:c r="R181" s="117"/>
      <x:c r="S181" s="117"/>
      <x:c r="T181" s="117"/>
      <x:c r="U181" s="117"/>
      <x:c r="V181" s="117"/>
      <x:c r="W181" s="117"/>
      <x:c r="X181" s="117"/>
      <x:c r="Y181" s="117"/>
      <x:c r="Z181" s="117"/>
    </x:row>
    <x:row r="182">
      <x:c r="A182" s="117"/>
      <x:c r="B182" s="117"/>
      <x:c r="C182" s="117"/>
      <x:c r="D182" s="117"/>
      <x:c r="E182" s="117"/>
      <x:c r="F182" s="117"/>
      <x:c r="G182" s="117"/>
      <x:c r="H182" s="117"/>
      <x:c r="I182" s="117"/>
      <x:c r="J182" s="117"/>
      <x:c r="K182" s="117"/>
      <x:c r="L182" s="117"/>
      <x:c r="M182" s="117"/>
      <x:c r="N182" s="117"/>
      <x:c r="O182" s="117"/>
      <x:c r="P182" s="117"/>
      <x:c r="Q182" s="117"/>
      <x:c r="R182" s="117"/>
      <x:c r="S182" s="117"/>
      <x:c r="T182" s="117"/>
      <x:c r="U182" s="117"/>
      <x:c r="V182" s="117"/>
      <x:c r="W182" s="117"/>
      <x:c r="X182" s="117"/>
      <x:c r="Y182" s="117"/>
      <x:c r="Z182" s="117"/>
    </x:row>
    <x:row r="183">
      <x:c r="A183" s="117"/>
      <x:c r="B183" s="117"/>
      <x:c r="C183" s="117"/>
      <x:c r="D183" s="117"/>
      <x:c r="E183" s="117"/>
      <x:c r="F183" s="117"/>
      <x:c r="G183" s="117"/>
      <x:c r="H183" s="117"/>
      <x:c r="I183" s="117"/>
      <x:c r="J183" s="117"/>
      <x:c r="K183" s="117"/>
      <x:c r="L183" s="117"/>
      <x:c r="M183" s="117"/>
      <x:c r="N183" s="117"/>
      <x:c r="O183" s="117"/>
      <x:c r="P183" s="117"/>
      <x:c r="Q183" s="117"/>
      <x:c r="R183" s="117"/>
      <x:c r="S183" s="117"/>
      <x:c r="T183" s="117"/>
      <x:c r="U183" s="117"/>
      <x:c r="V183" s="117"/>
      <x:c r="W183" s="117"/>
      <x:c r="X183" s="117"/>
      <x:c r="Y183" s="117"/>
      <x:c r="Z183" s="117"/>
    </x:row>
    <x:row r="184">
      <x:c r="A184" s="117"/>
      <x:c r="B184" s="117"/>
      <x:c r="C184" s="117"/>
      <x:c r="D184" s="117"/>
      <x:c r="E184" s="117"/>
      <x:c r="F184" s="117"/>
      <x:c r="G184" s="117"/>
      <x:c r="H184" s="117"/>
      <x:c r="I184" s="117"/>
      <x:c r="J184" s="117"/>
      <x:c r="K184" s="117"/>
      <x:c r="L184" s="117"/>
      <x:c r="M184" s="117"/>
      <x:c r="N184" s="117"/>
      <x:c r="O184" s="117"/>
      <x:c r="P184" s="117"/>
      <x:c r="Q184" s="117"/>
      <x:c r="R184" s="117"/>
      <x:c r="S184" s="117"/>
      <x:c r="T184" s="117"/>
      <x:c r="U184" s="117"/>
      <x:c r="V184" s="117"/>
      <x:c r="W184" s="117"/>
      <x:c r="X184" s="117"/>
      <x:c r="Y184" s="117"/>
      <x:c r="Z184" s="117"/>
    </x:row>
    <x:row r="185">
      <x:c r="A185" s="117"/>
      <x:c r="B185" s="117"/>
      <x:c r="C185" s="117"/>
      <x:c r="D185" s="117"/>
      <x:c r="E185" s="117"/>
      <x:c r="F185" s="117"/>
      <x:c r="G185" s="117"/>
      <x:c r="H185" s="117"/>
      <x:c r="I185" s="117"/>
      <x:c r="J185" s="117"/>
      <x:c r="K185" s="117"/>
      <x:c r="L185" s="117"/>
      <x:c r="M185" s="117"/>
      <x:c r="N185" s="117"/>
      <x:c r="O185" s="117"/>
      <x:c r="P185" s="117"/>
      <x:c r="Q185" s="117"/>
      <x:c r="R185" s="117"/>
      <x:c r="S185" s="117"/>
      <x:c r="T185" s="117"/>
      <x:c r="U185" s="117"/>
      <x:c r="V185" s="117"/>
      <x:c r="W185" s="117"/>
      <x:c r="X185" s="117"/>
      <x:c r="Y185" s="117"/>
      <x:c r="Z185" s="117"/>
    </x:row>
    <x:row r="186">
      <x:c r="A186" s="117"/>
      <x:c r="B186" s="117"/>
      <x:c r="C186" s="117"/>
      <x:c r="D186" s="117"/>
      <x:c r="E186" s="117"/>
      <x:c r="F186" s="117"/>
      <x:c r="G186" s="117"/>
      <x:c r="H186" s="117"/>
      <x:c r="I186" s="117"/>
      <x:c r="J186" s="117"/>
      <x:c r="K186" s="117"/>
      <x:c r="L186" s="117"/>
      <x:c r="M186" s="117"/>
      <x:c r="N186" s="117"/>
      <x:c r="O186" s="117"/>
      <x:c r="P186" s="117"/>
      <x:c r="Q186" s="117"/>
      <x:c r="R186" s="117"/>
      <x:c r="S186" s="117"/>
      <x:c r="T186" s="117"/>
      <x:c r="U186" s="117"/>
      <x:c r="V186" s="117"/>
      <x:c r="W186" s="117"/>
      <x:c r="X186" s="117"/>
      <x:c r="Y186" s="117"/>
      <x:c r="Z186" s="117"/>
    </x:row>
    <x:row r="187">
      <x:c r="A187" s="117"/>
      <x:c r="B187" s="117"/>
      <x:c r="C187" s="117"/>
      <x:c r="D187" s="117"/>
      <x:c r="E187" s="117"/>
      <x:c r="F187" s="117"/>
      <x:c r="G187" s="117"/>
      <x:c r="H187" s="117"/>
      <x:c r="I187" s="117"/>
      <x:c r="J187" s="117"/>
      <x:c r="K187" s="117"/>
      <x:c r="L187" s="117"/>
      <x:c r="M187" s="117"/>
      <x:c r="N187" s="117"/>
      <x:c r="O187" s="117"/>
      <x:c r="P187" s="117"/>
      <x:c r="Q187" s="117"/>
      <x:c r="R187" s="117"/>
      <x:c r="S187" s="117"/>
      <x:c r="T187" s="117"/>
      <x:c r="U187" s="117"/>
      <x:c r="V187" s="117"/>
      <x:c r="W187" s="117"/>
      <x:c r="X187" s="117"/>
      <x:c r="Y187" s="117"/>
      <x:c r="Z187" s="117"/>
    </x:row>
    <x:row r="188">
      <x:c r="A188" s="117"/>
      <x:c r="B188" s="117"/>
      <x:c r="C188" s="117"/>
      <x:c r="D188" s="117"/>
      <x:c r="E188" s="117"/>
      <x:c r="F188" s="117"/>
      <x:c r="G188" s="117"/>
      <x:c r="H188" s="117"/>
      <x:c r="I188" s="117"/>
      <x:c r="J188" s="117"/>
      <x:c r="K188" s="117"/>
      <x:c r="L188" s="117"/>
      <x:c r="M188" s="117"/>
      <x:c r="N188" s="117"/>
      <x:c r="O188" s="117"/>
      <x:c r="P188" s="117"/>
      <x:c r="Q188" s="117"/>
      <x:c r="R188" s="117"/>
      <x:c r="S188" s="117"/>
      <x:c r="T188" s="117"/>
      <x:c r="U188" s="117"/>
      <x:c r="V188" s="117"/>
      <x:c r="W188" s="117"/>
      <x:c r="X188" s="117"/>
      <x:c r="Y188" s="117"/>
      <x:c r="Z188" s="117"/>
    </x:row>
    <x:row r="189">
      <x:c r="A189" s="117"/>
      <x:c r="B189" s="117"/>
      <x:c r="C189" s="117"/>
      <x:c r="D189" s="117"/>
      <x:c r="E189" s="117"/>
      <x:c r="F189" s="117"/>
      <x:c r="G189" s="117"/>
      <x:c r="H189" s="117"/>
      <x:c r="I189" s="117"/>
      <x:c r="J189" s="117"/>
      <x:c r="K189" s="117"/>
      <x:c r="L189" s="117"/>
      <x:c r="M189" s="117"/>
      <x:c r="N189" s="117"/>
      <x:c r="O189" s="117"/>
      <x:c r="P189" s="117"/>
      <x:c r="Q189" s="117"/>
      <x:c r="R189" s="117"/>
      <x:c r="S189" s="117"/>
      <x:c r="T189" s="117"/>
      <x:c r="U189" s="117"/>
      <x:c r="V189" s="117"/>
      <x:c r="W189" s="117"/>
      <x:c r="X189" s="117"/>
      <x:c r="Y189" s="117"/>
      <x:c r="Z189" s="117"/>
    </x:row>
    <x:row r="190">
      <x:c r="A190" s="117"/>
      <x:c r="B190" s="117"/>
      <x:c r="C190" s="117"/>
      <x:c r="D190" s="117"/>
      <x:c r="E190" s="117"/>
      <x:c r="F190" s="117"/>
      <x:c r="G190" s="117"/>
      <x:c r="H190" s="117"/>
      <x:c r="I190" s="117"/>
      <x:c r="J190" s="117"/>
      <x:c r="K190" s="117"/>
      <x:c r="L190" s="117"/>
      <x:c r="M190" s="117"/>
      <x:c r="N190" s="117"/>
      <x:c r="O190" s="117"/>
      <x:c r="P190" s="117"/>
      <x:c r="Q190" s="117"/>
      <x:c r="R190" s="117"/>
      <x:c r="S190" s="117"/>
      <x:c r="T190" s="117"/>
      <x:c r="U190" s="117"/>
      <x:c r="V190" s="117"/>
      <x:c r="W190" s="117"/>
      <x:c r="X190" s="117"/>
      <x:c r="Y190" s="117"/>
      <x:c r="Z190" s="117"/>
    </x:row>
    <x:row r="191">
      <x:c r="A191" s="117"/>
      <x:c r="B191" s="117"/>
      <x:c r="C191" s="117"/>
      <x:c r="D191" s="117"/>
      <x:c r="E191" s="117"/>
      <x:c r="F191" s="117"/>
      <x:c r="G191" s="117"/>
      <x:c r="H191" s="117"/>
      <x:c r="I191" s="117"/>
      <x:c r="J191" s="117"/>
      <x:c r="K191" s="117"/>
      <x:c r="L191" s="117"/>
      <x:c r="M191" s="117"/>
      <x:c r="N191" s="117"/>
      <x:c r="O191" s="117"/>
      <x:c r="P191" s="117"/>
      <x:c r="Q191" s="117"/>
      <x:c r="R191" s="117"/>
      <x:c r="S191" s="117"/>
      <x:c r="T191" s="117"/>
      <x:c r="U191" s="117"/>
      <x:c r="V191" s="117"/>
      <x:c r="W191" s="117"/>
      <x:c r="X191" s="117"/>
      <x:c r="Y191" s="117"/>
      <x:c r="Z191" s="117"/>
    </x:row>
    <x:row r="192">
      <x:c r="A192" s="117"/>
      <x:c r="B192" s="117"/>
      <x:c r="C192" s="117"/>
      <x:c r="D192" s="117"/>
      <x:c r="E192" s="117"/>
      <x:c r="F192" s="117"/>
      <x:c r="G192" s="117"/>
      <x:c r="H192" s="117"/>
      <x:c r="I192" s="117"/>
      <x:c r="J192" s="117"/>
      <x:c r="K192" s="117"/>
      <x:c r="L192" s="117"/>
      <x:c r="M192" s="117"/>
      <x:c r="N192" s="117"/>
      <x:c r="O192" s="117"/>
      <x:c r="P192" s="117"/>
      <x:c r="Q192" s="117"/>
      <x:c r="R192" s="117"/>
      <x:c r="S192" s="117"/>
      <x:c r="T192" s="117"/>
      <x:c r="U192" s="117"/>
      <x:c r="V192" s="117"/>
      <x:c r="W192" s="117"/>
      <x:c r="X192" s="117"/>
      <x:c r="Y192" s="117"/>
      <x:c r="Z192" s="117"/>
    </x:row>
    <x:row r="193">
      <x:c r="A193" s="117"/>
      <x:c r="B193" s="117"/>
      <x:c r="C193" s="117"/>
      <x:c r="D193" s="117"/>
      <x:c r="E193" s="117"/>
      <x:c r="F193" s="117"/>
      <x:c r="G193" s="117"/>
      <x:c r="H193" s="117"/>
      <x:c r="I193" s="117"/>
      <x:c r="J193" s="117"/>
      <x:c r="K193" s="117"/>
      <x:c r="L193" s="117"/>
      <x:c r="M193" s="117"/>
      <x:c r="N193" s="117"/>
      <x:c r="O193" s="117"/>
      <x:c r="P193" s="117"/>
      <x:c r="Q193" s="117"/>
      <x:c r="R193" s="117"/>
      <x:c r="S193" s="117"/>
      <x:c r="T193" s="117"/>
      <x:c r="U193" s="117"/>
      <x:c r="V193" s="117"/>
      <x:c r="W193" s="117"/>
      <x:c r="X193" s="117"/>
      <x:c r="Y193" s="117"/>
      <x:c r="Z193" s="117"/>
    </x:row>
    <x:row r="194">
      <x:c r="A194" s="117"/>
      <x:c r="B194" s="117"/>
      <x:c r="C194" s="117"/>
      <x:c r="D194" s="117"/>
      <x:c r="E194" s="117"/>
      <x:c r="F194" s="117"/>
      <x:c r="G194" s="117"/>
      <x:c r="H194" s="117"/>
      <x:c r="I194" s="117"/>
      <x:c r="J194" s="117"/>
      <x:c r="K194" s="117"/>
      <x:c r="L194" s="117"/>
      <x:c r="M194" s="117"/>
      <x:c r="N194" s="117"/>
      <x:c r="O194" s="117"/>
      <x:c r="P194" s="117"/>
      <x:c r="Q194" s="117"/>
      <x:c r="R194" s="117"/>
      <x:c r="S194" s="117"/>
      <x:c r="T194" s="117"/>
      <x:c r="U194" s="117"/>
      <x:c r="V194" s="117"/>
      <x:c r="W194" s="117"/>
      <x:c r="X194" s="117"/>
      <x:c r="Y194" s="117"/>
      <x:c r="Z194" s="117"/>
    </x:row>
    <x:row r="195">
      <x:c r="A195" s="117"/>
      <x:c r="B195" s="117"/>
      <x:c r="C195" s="117"/>
      <x:c r="D195" s="117"/>
      <x:c r="E195" s="117"/>
      <x:c r="F195" s="117"/>
      <x:c r="G195" s="117"/>
      <x:c r="H195" s="117"/>
      <x:c r="I195" s="117"/>
      <x:c r="J195" s="117"/>
      <x:c r="K195" s="117"/>
      <x:c r="L195" s="117"/>
      <x:c r="M195" s="117"/>
      <x:c r="N195" s="117"/>
      <x:c r="O195" s="117"/>
      <x:c r="P195" s="117"/>
      <x:c r="Q195" s="117"/>
      <x:c r="R195" s="117"/>
      <x:c r="S195" s="117"/>
      <x:c r="T195" s="117"/>
      <x:c r="U195" s="117"/>
      <x:c r="V195" s="117"/>
      <x:c r="W195" s="117"/>
      <x:c r="X195" s="117"/>
      <x:c r="Y195" s="117"/>
      <x:c r="Z195" s="117"/>
    </x:row>
    <x:row r="196">
      <x:c r="A196" s="117"/>
      <x:c r="B196" s="117"/>
      <x:c r="C196" s="117"/>
      <x:c r="D196" s="117"/>
      <x:c r="E196" s="117"/>
      <x:c r="F196" s="117"/>
      <x:c r="G196" s="117"/>
      <x:c r="H196" s="117"/>
      <x:c r="I196" s="117"/>
      <x:c r="J196" s="117"/>
      <x:c r="K196" s="117"/>
      <x:c r="L196" s="117"/>
      <x:c r="M196" s="117"/>
      <x:c r="N196" s="117"/>
      <x:c r="O196" s="117"/>
      <x:c r="P196" s="117"/>
      <x:c r="Q196" s="117"/>
      <x:c r="R196" s="117"/>
      <x:c r="S196" s="117"/>
      <x:c r="T196" s="117"/>
      <x:c r="U196" s="117"/>
      <x:c r="V196" s="117"/>
      <x:c r="W196" s="117"/>
      <x:c r="X196" s="117"/>
      <x:c r="Y196" s="117"/>
      <x:c r="Z196" s="117"/>
    </x:row>
    <x:row r="197">
      <x:c r="A197" s="117"/>
      <x:c r="B197" s="117"/>
      <x:c r="C197" s="117"/>
      <x:c r="D197" s="117"/>
      <x:c r="E197" s="117"/>
      <x:c r="F197" s="117"/>
      <x:c r="G197" s="117"/>
      <x:c r="H197" s="117"/>
      <x:c r="I197" s="117"/>
      <x:c r="J197" s="117"/>
      <x:c r="K197" s="117"/>
      <x:c r="L197" s="117"/>
      <x:c r="M197" s="117"/>
      <x:c r="N197" s="117"/>
      <x:c r="O197" s="117"/>
      <x:c r="P197" s="117"/>
      <x:c r="Q197" s="117"/>
      <x:c r="R197" s="117"/>
      <x:c r="S197" s="117"/>
      <x:c r="T197" s="117"/>
      <x:c r="U197" s="117"/>
      <x:c r="V197" s="117"/>
      <x:c r="W197" s="117"/>
      <x:c r="X197" s="117"/>
      <x:c r="Y197" s="117"/>
      <x:c r="Z197" s="117"/>
    </x:row>
    <x:row r="198">
      <x:c r="A198" s="117"/>
      <x:c r="B198" s="117"/>
      <x:c r="C198" s="117"/>
      <x:c r="D198" s="117"/>
      <x:c r="E198" s="117"/>
      <x:c r="F198" s="117"/>
      <x:c r="G198" s="117"/>
      <x:c r="H198" s="117"/>
      <x:c r="I198" s="117"/>
      <x:c r="J198" s="117"/>
      <x:c r="K198" s="117"/>
      <x:c r="L198" s="117"/>
      <x:c r="M198" s="117"/>
      <x:c r="N198" s="117"/>
      <x:c r="O198" s="117"/>
      <x:c r="P198" s="117"/>
      <x:c r="Q198" s="117"/>
      <x:c r="R198" s="117"/>
      <x:c r="S198" s="117"/>
      <x:c r="T198" s="117"/>
      <x:c r="U198" s="117"/>
      <x:c r="V198" s="117"/>
      <x:c r="W198" s="117"/>
      <x:c r="X198" s="117"/>
      <x:c r="Y198" s="117"/>
      <x:c r="Z198" s="117"/>
    </x:row>
    <x:row r="199">
      <x:c r="A199" s="117"/>
      <x:c r="B199" s="117"/>
      <x:c r="C199" s="117"/>
      <x:c r="D199" s="117"/>
      <x:c r="E199" s="117"/>
      <x:c r="F199" s="117"/>
      <x:c r="G199" s="117"/>
      <x:c r="H199" s="117"/>
      <x:c r="I199" s="117"/>
      <x:c r="J199" s="117"/>
      <x:c r="K199" s="117"/>
      <x:c r="L199" s="117"/>
      <x:c r="M199" s="117"/>
      <x:c r="N199" s="117"/>
      <x:c r="O199" s="117"/>
      <x:c r="P199" s="117"/>
      <x:c r="Q199" s="117"/>
      <x:c r="R199" s="117"/>
      <x:c r="S199" s="117"/>
      <x:c r="T199" s="117"/>
      <x:c r="U199" s="117"/>
      <x:c r="V199" s="117"/>
      <x:c r="W199" s="117"/>
      <x:c r="X199" s="117"/>
      <x:c r="Y199" s="117"/>
      <x:c r="Z199" s="117"/>
    </x:row>
    <x:row r="200">
      <x:c r="A200" s="117"/>
      <x:c r="B200" s="117"/>
      <x:c r="C200" s="117"/>
      <x:c r="D200" s="117"/>
      <x:c r="E200" s="117"/>
      <x:c r="F200" s="117"/>
      <x:c r="G200" s="117"/>
      <x:c r="H200" s="117"/>
      <x:c r="I200" s="117"/>
      <x:c r="J200" s="117"/>
      <x:c r="K200" s="117"/>
      <x:c r="L200" s="117"/>
      <x:c r="M200" s="117"/>
      <x:c r="N200" s="117"/>
      <x:c r="O200" s="117"/>
      <x:c r="P200" s="117"/>
      <x:c r="Q200" s="117"/>
      <x:c r="R200" s="117"/>
      <x:c r="S200" s="117"/>
      <x:c r="T200" s="117"/>
      <x:c r="U200" s="117"/>
      <x:c r="V200" s="117"/>
      <x:c r="W200" s="117"/>
      <x:c r="X200" s="117"/>
      <x:c r="Y200" s="117"/>
      <x:c r="Z200" s="117"/>
    </x:row>
  </x:sheetData>
  <x:mergeCells>
    <x:mergeCell ref="A1:G1"/>
    <x:mergeCell ref="A2:G2"/>
  </x:mergeCells>
  <x:pageMargins left="0.7" right="0.7" top="0.75" bottom="0.75" header="0.3" footer="0.3"/>
</x:worksheet>
</file>

<file path=xl/worksheets/sheet4.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7" max="17" width="18" hidden="0" customWidth="1"/>
    <x:col min="18" max="18" width="58" hidden="0" customWidth="1"/>
  </x:cols>
  <x:sheetData>
    <x:row r="1" ht="28" customHeight="1">
      <x:c r="A1" s="116" t="str">
        <x:v>03_採点マトリクス</x:v>
      </x:c>
      <x:c r="B1" s="116"/>
      <x:c r="C1" s="116"/>
      <x:c r="D1" s="116"/>
      <x:c r="E1" s="116"/>
      <x:c r="F1" s="116"/>
      <x:c r="G1" s="116"/>
      <x:c r="H1" s="116"/>
      <x:c r="I1" s="116"/>
      <x:c r="J1" s="116"/>
      <x:c r="K1" s="116"/>
      <x:c r="L1" s="117"/>
      <x:c r="M1" s="117"/>
      <x:c r="N1" s="117"/>
      <x:c r="O1" s="117"/>
      <x:c r="P1" s="117"/>
      <x:c r="Q1" s="231" t="str">
        <x:v>正式算定式 Version0.3</x:v>
      </x:c>
      <x:c r="R1" s="231"/>
      <x:c r="S1" s="231"/>
      <x:c r="T1" s="231"/>
      <x:c r="U1" s="231"/>
      <x:c r="V1" s="231"/>
      <x:c r="W1" s="117"/>
      <x:c r="X1" s="117"/>
      <x:c r="Y1" s="117"/>
      <x:c r="Z1" s="117"/>
    </x:row>
    <x:row r="2" ht="38" customHeight="1">
      <x:c r="A2" s="118" t="str">
        <x:v>Version0.1 初期構造。08の逆算結果に従い次工程で詳細化。</x:v>
      </x:c>
      <x:c r="B2" s="118"/>
      <x:c r="C2" s="118"/>
      <x:c r="D2" s="118"/>
      <x:c r="E2" s="118"/>
      <x:c r="F2" s="118"/>
      <x:c r="G2" s="118"/>
      <x:c r="H2" s="118"/>
      <x:c r="I2" s="118"/>
      <x:c r="J2" s="118"/>
      <x:c r="K2" s="118"/>
      <x:c r="L2" s="117"/>
      <x:c r="M2" s="117"/>
      <x:c r="N2" s="117"/>
      <x:c r="O2" s="117"/>
      <x:c r="P2" s="117"/>
      <x:c r="Q2" s="201" t="str">
        <x:v>項目</x:v>
      </x:c>
      <x:c r="R2" s="203" t="str">
        <x:v>確定内容</x:v>
      </x:c>
      <x:c r="S2" s="117"/>
      <x:c r="T2" s="117"/>
      <x:c r="U2" s="117"/>
      <x:c r="V2" s="117"/>
      <x:c r="W2" s="117"/>
      <x:c r="X2" s="117"/>
      <x:c r="Y2" s="117"/>
      <x:c r="Z2" s="117"/>
    </x:row>
    <x:row r="3">
      <x:c r="A3" s="117"/>
      <x:c r="B3" s="117"/>
      <x:c r="C3" s="117"/>
      <x:c r="D3" s="117"/>
      <x:c r="E3" s="117"/>
      <x:c r="F3" s="117"/>
      <x:c r="G3" s="117"/>
      <x:c r="H3" s="117"/>
      <x:c r="I3" s="117"/>
      <x:c r="J3" s="117"/>
      <x:c r="K3" s="117"/>
      <x:c r="L3" s="117"/>
      <x:c r="M3" s="117"/>
      <x:c r="N3" s="117"/>
      <x:c r="O3" s="117"/>
      <x:c r="P3" s="117"/>
      <x:c r="Q3" s="222" t="str">
        <x:v>EDI</x:v>
      </x:c>
      <x:c r="R3" s="224" t="str">
        <x:v>0.40設備＋0.20エネルギー＋0.20建物・環境＋0.20経営・更新管理</x:v>
      </x:c>
      <x:c r="S3" s="117"/>
      <x:c r="T3" s="117"/>
      <x:c r="U3" s="117"/>
      <x:c r="V3" s="117"/>
      <x:c r="W3" s="117"/>
      <x:c r="X3" s="117"/>
      <x:c r="Y3" s="117"/>
      <x:c r="Z3" s="117"/>
    </x:row>
    <x:row r="4" ht="36" customHeight="1">
      <x:c r="A4" s="139" t="str">
        <x:v>質問ID</x:v>
      </x:c>
      <x:c r="B4" s="140" t="str">
        <x:v>質問テーマ</x:v>
      </x:c>
      <x:c r="C4" s="140" t="str">
        <x:v>対象指標</x:v>
      </x:c>
      <x:c r="D4" s="140" t="str">
        <x:v>サブカテゴリ</x:v>
      </x:c>
      <x:c r="E4" s="140" t="str">
        <x:v>標準選択肢ID</x:v>
      </x:c>
      <x:c r="F4" s="140" t="str">
        <x:v>指標内重み</x:v>
      </x:c>
      <x:c r="G4" s="140" t="str">
        <x:v>状態スコア方向</x:v>
      </x:c>
      <x:c r="H4" s="140" t="str">
        <x:v>不明時処理</x:v>
      </x:c>
      <x:c r="I4" s="140" t="str">
        <x:v>Guardrail連携</x:v>
      </x:c>
      <x:c r="J4" s="140" t="str">
        <x:v>診断信頼度基礎</x:v>
      </x:c>
      <x:c r="K4" s="168" t="str">
        <x:v>情報充足率対象</x:v>
      </x:c>
      <x:c r="L4" s="140" t="str">
        <x:v>判定ロジックID</x:v>
      </x:c>
      <x:c r="M4" s="140" t="str">
        <x:v>評価帯・閾値</x:v>
      </x:c>
      <x:c r="N4" s="140" t="str">
        <x:v>コメントコード群</x:v>
      </x:c>
      <x:c r="O4" s="141" t="str">
        <x:v>備考</x:v>
      </x:c>
      <x:c r="P4" s="117"/>
      <x:c r="Q4" s="225" t="str">
        <x:v>DRI</x:v>
      </x:c>
      <x:c r="R4" s="226" t="str">
        <x:v>0.30情報＋0.25技術・工事＋0.20費用・効果＋0.15体制＋0.10実行準備</x:v>
      </x:c>
      <x:c r="S4" s="117"/>
      <x:c r="T4" s="117"/>
      <x:c r="U4" s="117"/>
      <x:c r="V4" s="117"/>
      <x:c r="W4" s="117"/>
      <x:c r="X4" s="117"/>
      <x:c r="Y4" s="117"/>
      <x:c r="Z4" s="117"/>
    </x:row>
    <x:row r="5">
      <x:c r="A5" s="144" t="str">
        <x:v>Q101</x:v>
      </x:c>
      <x:c r="B5" s="145" t="str">
        <x:v>異常兆候</x:v>
      </x:c>
      <x:c r="C5" s="145" t="str">
        <x:v>EDI/EPI</x:v>
      </x:c>
      <x:c r="D5" s="145" t="str">
        <x:v>設備安全</x:v>
      </x:c>
      <x:c r="E5" s="145" t="str">
        <x:v>ANS-SEVERITY4</x:v>
      </x:c>
      <x:c r="F5" s="145" t="n">
        <x:v>5</x:v>
      </x:c>
      <x:c r="G5" s="145" t="str">
        <x:v>高いほど良好</x:v>
      </x:c>
      <x:c r="H5" s="145" t="str">
        <x:v>不明＝スコア除外＋充足率減＋信頼度減</x:v>
      </x:c>
      <x:c r="I5" s="145" t="str">
        <x:v>GR-SAF-01</x:v>
      </x:c>
      <x:c r="J5" s="145" t="n">
        <x:v>60</x:v>
      </x:c>
      <x:c r="K5" s="145" t="str">
        <x:v>必須</x:v>
      </x:c>
      <x:c r="L5" s="145" t="str">
        <x:v>SC-Q101</x:v>
      </x:c>
      <x:c r="M5" s="145" t="str">
        <x:v>CRITICAL/YESでGuardrail</x:v>
      </x:c>
      <x:c r="N5" s="145" t="str">
        <x:v>GR-SAF-*</x:v>
      </x:c>
      <x:c r="O5" s="146" t="str"/>
      <x:c r="P5" s="117"/>
      <x:c r="Q5" s="225" t="str">
        <x:v>EPI</x:v>
      </x:c>
      <x:c r="R5" s="226" t="str">
        <x:v>0.30緊急性＋0.25事業影響＋0.25故障・供給リスク＋0.20実施機会・効果＋期限補正</x:v>
      </x:c>
      <x:c r="S5" s="117"/>
      <x:c r="T5" s="117"/>
      <x:c r="U5" s="117"/>
      <x:c r="V5" s="117"/>
      <x:c r="W5" s="117"/>
      <x:c r="X5" s="117"/>
      <x:c r="Y5" s="117"/>
      <x:c r="Z5" s="117"/>
    </x:row>
    <x:row r="6">
      <x:c r="A6" s="147" t="str">
        <x:v>Q102</x:v>
      </x:c>
      <x:c r="B6" s="148" t="str">
        <x:v>緊急停止</x:v>
      </x:c>
      <x:c r="C6" s="148" t="str">
        <x:v>EDI/EPI</x:v>
      </x:c>
      <x:c r="D6" s="148" t="str">
        <x:v>故障実績</x:v>
      </x:c>
      <x:c r="E6" s="148" t="str">
        <x:v>ANS-FREQ4</x:v>
      </x:c>
      <x:c r="F6" s="148" t="n">
        <x:v>4</x:v>
      </x:c>
      <x:c r="G6" s="148" t="str">
        <x:v>高いほど良好</x:v>
      </x:c>
      <x:c r="H6" s="148" t="str">
        <x:v>同上</x:v>
      </x:c>
      <x:c r="I6" s="148" t="str">
        <x:v>GR-BCP-01</x:v>
      </x:c>
      <x:c r="J6" s="148" t="n">
        <x:v>70</x:v>
      </x:c>
      <x:c r="K6" s="148" t="str">
        <x:v>必須</x:v>
      </x:c>
      <x:c r="L6" s="148" t="str">
        <x:v>SC-Q102</x:v>
      </x:c>
      <x:c r="M6" s="148" t="str">
        <x:v>HIGHでA、MIDでB</x:v>
      </x:c>
      <x:c r="N6" s="148" t="str">
        <x:v>EDI-FAIL-*,EPI-BCP-*</x:v>
      </x:c>
      <x:c r="O6" s="149" t="str"/>
      <x:c r="P6" s="117"/>
      <x:c r="Q6" s="225" t="str">
        <x:v>不明</x:v>
      </x:c>
      <x:c r="R6" s="226" t="str">
        <x:v>KPI分母から除外。情報充足率・診断信頼度へ反映</x:v>
      </x:c>
      <x:c r="S6" s="117"/>
      <x:c r="T6" s="117"/>
      <x:c r="U6" s="117"/>
      <x:c r="V6" s="117"/>
      <x:c r="W6" s="117"/>
      <x:c r="X6" s="117"/>
      <x:c r="Y6" s="117"/>
      <x:c r="Z6" s="117"/>
    </x:row>
    <x:row r="7">
      <x:c r="A7" s="147" t="str">
        <x:v>Q103</x:v>
      </x:c>
      <x:c r="B7" s="148" t="str">
        <x:v>点検指摘</x:v>
      </x:c>
      <x:c r="C7" s="148" t="str">
        <x:v>EPI</x:v>
      </x:c>
      <x:c r="D7" s="148" t="str">
        <x:v>法令安全</x:v>
      </x:c>
      <x:c r="E7" s="148" t="str">
        <x:v>ANS-FINDING4</x:v>
      </x:c>
      <x:c r="F7" s="148" t="n">
        <x:v>5</x:v>
      </x:c>
      <x:c r="G7" s="148" t="str">
        <x:v>高いほど良好</x:v>
      </x:c>
      <x:c r="H7" s="148" t="str">
        <x:v>不明＝Guardrail保留表示</x:v>
      </x:c>
      <x:c r="I7" s="148" t="str">
        <x:v>GR-LEG-01</x:v>
      </x:c>
      <x:c r="J7" s="148" t="n">
        <x:v>80</x:v>
      </x:c>
      <x:c r="K7" s="148" t="str">
        <x:v>必須</x:v>
      </x:c>
      <x:c r="L7" s="148" t="str">
        <x:v>SC-Q103</x:v>
      </x:c>
      <x:c r="M7" s="148" t="str">
        <x:v>CRITICALで即時</x:v>
      </x:c>
      <x:c r="N7" s="148" t="str">
        <x:v>GR-LEG-*</x:v>
      </x:c>
      <x:c r="O7" s="149" t="str"/>
      <x:c r="P7" s="117"/>
      <x:c r="Q7" s="225" t="str">
        <x:v>L0</x:v>
      </x:c>
      <x:c r="R7" s="226" t="str">
        <x:v>該当判定を停止。整合性警告へ表示</x:v>
      </x:c>
      <x:c r="S7" s="117"/>
      <x:c r="T7" s="117"/>
      <x:c r="U7" s="117"/>
      <x:c r="V7" s="117"/>
      <x:c r="W7" s="117"/>
      <x:c r="X7" s="117"/>
      <x:c r="Y7" s="117"/>
      <x:c r="Z7" s="117"/>
    </x:row>
    <x:row r="8">
      <x:c r="A8" s="147" t="str">
        <x:v>Q104</x:v>
      </x:c>
      <x:c r="B8" s="148" t="str">
        <x:v>法定点検</x:v>
      </x:c>
      <x:c r="C8" s="148" t="str">
        <x:v>DRI/EPI</x:v>
      </x:c>
      <x:c r="D8" s="148" t="str">
        <x:v>法令管理</x:v>
      </x:c>
      <x:c r="E8" s="148" t="str">
        <x:v>ANS-COMPLIANCE4</x:v>
      </x:c>
      <x:c r="F8" s="148" t="n">
        <x:v>5</x:v>
      </x:c>
      <x:c r="G8" s="148" t="str">
        <x:v>高いほど良好</x:v>
      </x:c>
      <x:c r="H8" s="148" t="str">
        <x:v>不明＝充足率減</x:v>
      </x:c>
      <x:c r="I8" s="148" t="str">
        <x:v>GR-LEG-02</x:v>
      </x:c>
      <x:c r="J8" s="148" t="n">
        <x:v>80</x:v>
      </x:c>
      <x:c r="K8" s="148" t="str">
        <x:v>必須</x:v>
      </x:c>
      <x:c r="L8" s="148" t="str">
        <x:v>SC-Q104</x:v>
      </x:c>
      <x:c r="M8" s="148" t="str">
        <x:v>NONCOMPLIANTで即時</x:v>
      </x:c>
      <x:c r="N8" s="148" t="str">
        <x:v>GR-LEG-*</x:v>
      </x:c>
      <x:c r="O8" s="149" t="str"/>
      <x:c r="P8" s="117"/>
      <x:c r="Q8" s="227" t="str">
        <x:v>詳細</x:v>
      </x:c>
      <x:c r="R8" s="229" t="str">
        <x:v>13_算定式・順位ロジック参照</x:v>
      </x:c>
      <x:c r="S8" s="117"/>
      <x:c r="T8" s="117"/>
      <x:c r="U8" s="117"/>
      <x:c r="V8" s="117"/>
      <x:c r="W8" s="117"/>
      <x:c r="X8" s="117"/>
      <x:c r="Y8" s="117"/>
      <x:c r="Z8" s="117"/>
    </x:row>
    <x:row r="9">
      <x:c r="A9" s="147" t="str">
        <x:v>Q105</x:v>
      </x:c>
      <x:c r="B9" s="148" t="str">
        <x:v>保護機能</x:v>
      </x:c>
      <x:c r="C9" s="148" t="str">
        <x:v>EDI/DRI</x:v>
      </x:c>
      <x:c r="D9" s="148" t="str">
        <x:v>設備安全</x:v>
      </x:c>
      <x:c r="E9" s="148" t="str">
        <x:v>ANS-EVIDENCE4</x:v>
      </x:c>
      <x:c r="F9" s="148" t="n">
        <x:v>4</x:v>
      </x:c>
      <x:c r="G9" s="148" t="str">
        <x:v>高いほど良好</x:v>
      </x:c>
      <x:c r="H9" s="148" t="str">
        <x:v>不明＝L1</x:v>
      </x:c>
      <x:c r="I9" s="148" t="str">
        <x:v>GR-SAF-02</x:v>
      </x:c>
      <x:c r="J9" s="148" t="n">
        <x:v>80</x:v>
      </x:c>
      <x:c r="K9" s="148" t="str">
        <x:v>必須</x:v>
      </x:c>
      <x:c r="L9" s="148" t="str">
        <x:v>SC-Q105</x:v>
      </x:c>
      <x:c r="M9" s="148" t="str">
        <x:v>VERBAL以下で要確認</x:v>
      </x:c>
      <x:c r="N9" s="148" t="str">
        <x:v>EDI-SAF-*</x:v>
      </x:c>
      <x:c r="O9" s="149" t="str"/>
      <x:c r="P9" s="117"/>
      <x:c r="Q9" s="117"/>
      <x:c r="R9" s="117"/>
      <x:c r="S9" s="117"/>
      <x:c r="T9" s="117"/>
      <x:c r="U9" s="117"/>
      <x:c r="V9" s="117"/>
      <x:c r="W9" s="117"/>
      <x:c r="X9" s="117"/>
      <x:c r="Y9" s="117"/>
      <x:c r="Z9" s="117"/>
    </x:row>
    <x:row r="10">
      <x:c r="A10" s="147" t="str">
        <x:v>Q106</x:v>
      </x:c>
      <x:c r="B10" s="148" t="str">
        <x:v>保守終了</x:v>
      </x:c>
      <x:c r="C10" s="148" t="str">
        <x:v>EPI</x:v>
      </x:c>
      <x:c r="D10" s="148" t="str">
        <x:v>EOL</x:v>
      </x:c>
      <x:c r="E10" s="148" t="str">
        <x:v>ANS-YESNOUNK</x:v>
      </x:c>
      <x:c r="F10" s="148" t="n">
        <x:v>5</x:v>
      </x:c>
      <x:c r="G10" s="148" t="str">
        <x:v>YESほど優先度高</x:v>
      </x:c>
      <x:c r="H10" s="148" t="str">
        <x:v>UNKNOWN＝L1</x:v>
      </x:c>
      <x:c r="I10" s="148" t="str">
        <x:v>GR-EOL-01</x:v>
      </x:c>
      <x:c r="J10" s="148" t="n">
        <x:v>70</x:v>
      </x:c>
      <x:c r="K10" s="148" t="str">
        <x:v>必須</x:v>
      </x:c>
      <x:c r="L10" s="148" t="str">
        <x:v>SC-Q106</x:v>
      </x:c>
      <x:c r="M10" s="148" t="str">
        <x:v>YESでGuardrail</x:v>
      </x:c>
      <x:c r="N10" s="148" t="str">
        <x:v>GR-EOL-*</x:v>
      </x:c>
      <x:c r="O10" s="149" t="str">
        <x:v>NOはメーカー確認済み時のみL3</x:v>
      </x:c>
      <x:c r="P10" s="117"/>
      <x:c r="Q10" s="117"/>
      <x:c r="R10" s="117"/>
      <x:c r="S10" s="117"/>
      <x:c r="T10" s="117"/>
      <x:c r="U10" s="117"/>
      <x:c r="V10" s="117"/>
      <x:c r="W10" s="117"/>
      <x:c r="X10" s="117"/>
      <x:c r="Y10" s="117"/>
      <x:c r="Z10" s="117"/>
    </x:row>
    <x:row r="11">
      <x:c r="A11" s="147" t="str">
        <x:v>Q107</x:v>
      </x:c>
      <x:c r="B11" s="148" t="str">
        <x:v>予備品</x:v>
      </x:c>
      <x:c r="C11" s="148" t="str">
        <x:v>EDI/DRI/EPI</x:v>
      </x:c>
      <x:c r="D11" s="148" t="str">
        <x:v>BCP</x:v>
      </x:c>
      <x:c r="E11" s="148" t="str">
        <x:v>ANS-COVERAGE4</x:v>
      </x:c>
      <x:c r="F11" s="148" t="n">
        <x:v>4</x:v>
      </x:c>
      <x:c r="G11" s="148" t="str">
        <x:v>高いほど良好</x:v>
      </x:c>
      <x:c r="H11" s="148" t="str">
        <x:v>UNKNOWN＝L1</x:v>
      </x:c>
      <x:c r="I11" s="148" t="str">
        <x:v>GR-BCP-02</x:v>
      </x:c>
      <x:c r="J11" s="148" t="n">
        <x:v>70</x:v>
      </x:c>
      <x:c r="K11" s="148" t="str">
        <x:v>必須</x:v>
      </x:c>
      <x:c r="L11" s="148" t="str">
        <x:v>SC-Q107</x:v>
      </x:c>
      <x:c r="M11" s="148" t="str">
        <x:v>LOWで警告候補</x:v>
      </x:c>
      <x:c r="N11" s="148" t="str">
        <x:v>EPI-SPARE-*</x:v>
      </x:c>
      <x:c r="O11" s="149" t="str"/>
      <x:c r="P11" s="117"/>
      <x:c r="Q11" s="117"/>
      <x:c r="R11" s="117"/>
      <x:c r="S11" s="117"/>
      <x:c r="T11" s="117"/>
      <x:c r="U11" s="117"/>
      <x:c r="V11" s="117"/>
      <x:c r="W11" s="117"/>
      <x:c r="X11" s="117"/>
      <x:c r="Y11" s="117"/>
      <x:c r="Z11" s="117"/>
    </x:row>
    <x:row r="12">
      <x:c r="A12" s="147" t="str">
        <x:v>Q108</x:v>
      </x:c>
      <x:c r="B12" s="148" t="str">
        <x:v>停止影響</x:v>
      </x:c>
      <x:c r="C12" s="148" t="str">
        <x:v>EPI</x:v>
      </x:c>
      <x:c r="D12" s="148" t="str">
        <x:v>事業影響</x:v>
      </x:c>
      <x:c r="E12" s="148" t="str">
        <x:v>ANS-IMPACT4</x:v>
      </x:c>
      <x:c r="F12" s="148" t="n">
        <x:v>5</x:v>
      </x:c>
      <x:c r="G12" s="148" t="str">
        <x:v>重大ほど優先度高</x:v>
      </x:c>
      <x:c r="H12" s="148" t="str">
        <x:v>UNKNOWN＝L1</x:v>
      </x:c>
      <x:c r="I12" s="148" t="str">
        <x:v>GR-BCP-03</x:v>
      </x:c>
      <x:c r="J12" s="148" t="n">
        <x:v>60</x:v>
      </x:c>
      <x:c r="K12" s="148" t="str">
        <x:v>必須</x:v>
      </x:c>
      <x:c r="L12" s="148" t="str">
        <x:v>SC-Q108</x:v>
      </x:c>
      <x:c r="M12" s="148" t="str">
        <x:v>CRITICALでGuardrail</x:v>
      </x:c>
      <x:c r="N12" s="148" t="str">
        <x:v>EPI-IMPACT-*</x:v>
      </x:c>
      <x:c r="O12" s="149" t="str"/>
      <x:c r="P12" s="117"/>
      <x:c r="Q12" s="117"/>
      <x:c r="R12" s="117"/>
      <x:c r="S12" s="117"/>
      <x:c r="T12" s="117"/>
      <x:c r="U12" s="117"/>
      <x:c r="V12" s="117"/>
      <x:c r="W12" s="117"/>
      <x:c r="X12" s="117"/>
      <x:c r="Y12" s="117"/>
      <x:c r="Z12" s="117"/>
    </x:row>
    <x:row r="13">
      <x:c r="A13" s="147" t="str">
        <x:v>Q109</x:v>
      </x:c>
      <x:c r="B13" s="148" t="str">
        <x:v>代替手段</x:v>
      </x:c>
      <x:c r="C13" s="148" t="str">
        <x:v>DRI/EPI</x:v>
      </x:c>
      <x:c r="D13" s="148" t="str">
        <x:v>BCP</x:v>
      </x:c>
      <x:c r="E13" s="148" t="str">
        <x:v>ANS-BACKUP4</x:v>
      </x:c>
      <x:c r="F13" s="148" t="n">
        <x:v>5</x:v>
      </x:c>
      <x:c r="G13" s="148" t="str">
        <x:v>高いほど良好</x:v>
      </x:c>
      <x:c r="H13" s="148" t="str">
        <x:v>UNKNOWN＝L1</x:v>
      </x:c>
      <x:c r="I13" s="148" t="str">
        <x:v>GR-BCP-04</x:v>
      </x:c>
      <x:c r="J13" s="148" t="n">
        <x:v>70</x:v>
      </x:c>
      <x:c r="K13" s="148" t="str">
        <x:v>必須</x:v>
      </x:c>
      <x:c r="L13" s="148" t="str">
        <x:v>SC-Q109</x:v>
      </x:c>
      <x:c r="M13" s="148" t="str">
        <x:v>NONEかつQ108高でGuardrail</x:v>
      </x:c>
      <x:c r="N13" s="148" t="str">
        <x:v>EPI-BCP-*</x:v>
      </x:c>
      <x:c r="O13" s="149" t="str">
        <x:v>組合せ判定</x:v>
      </x:c>
      <x:c r="P13" s="117"/>
      <x:c r="Q13" s="117"/>
      <x:c r="R13" s="117"/>
      <x:c r="S13" s="117"/>
      <x:c r="T13" s="117"/>
      <x:c r="U13" s="117"/>
      <x:c r="V13" s="117"/>
      <x:c r="W13" s="117"/>
      <x:c r="X13" s="117"/>
      <x:c r="Y13" s="117"/>
      <x:c r="Z13" s="117"/>
    </x:row>
    <x:row r="14">
      <x:c r="A14" s="147" t="str">
        <x:v>Q110</x:v>
      </x:c>
      <x:c r="B14" s="148" t="str">
        <x:v>復旧時間</x:v>
      </x:c>
      <x:c r="C14" s="148" t="str">
        <x:v>DRI/EPI</x:v>
      </x:c>
      <x:c r="D14" s="148" t="str">
        <x:v>BCP</x:v>
      </x:c>
      <x:c r="E14" s="148" t="str">
        <x:v>ANS-RESTORE4</x:v>
      </x:c>
      <x:c r="F14" s="148" t="n">
        <x:v>3</x:v>
      </x:c>
      <x:c r="G14" s="148" t="str">
        <x:v>高いほど良好</x:v>
      </x:c>
      <x:c r="H14" s="148" t="str">
        <x:v>UNKNOWN＝L1</x:v>
      </x:c>
      <x:c r="I14" s="148" t="str">
        <x:v>GR-BCP-05</x:v>
      </x:c>
      <x:c r="J14" s="148" t="n">
        <x:v>70</x:v>
      </x:c>
      <x:c r="K14" s="148" t="str">
        <x:v>必須</x:v>
      </x:c>
      <x:c r="L14" s="148" t="str">
        <x:v>SC-Q110</x:v>
      </x:c>
      <x:c r="M14" s="148" t="str">
        <x:v>NONEかつ影響高でA</x:v>
      </x:c>
      <x:c r="N14" s="148" t="str">
        <x:v>DRI-RECOVER-*</x:v>
      </x:c>
      <x:c r="O14" s="149" t="str"/>
      <x:c r="P14" s="117"/>
      <x:c r="Q14" s="117"/>
      <x:c r="R14" s="117"/>
      <x:c r="S14" s="117"/>
      <x:c r="T14" s="117"/>
      <x:c r="U14" s="117"/>
      <x:c r="V14" s="117"/>
      <x:c r="W14" s="117"/>
      <x:c r="X14" s="117"/>
      <x:c r="Y14" s="117"/>
      <x:c r="Z14" s="117"/>
    </x:row>
    <x:row r="15">
      <x:c r="A15" s="147" t="str">
        <x:v>Q111</x:v>
      </x:c>
      <x:c r="B15" s="148" t="str">
        <x:v>期限事項</x:v>
      </x:c>
      <x:c r="C15" s="148" t="str">
        <x:v>EPI</x:v>
      </x:c>
      <x:c r="D15" s="148" t="str">
        <x:v>期限</x:v>
      </x:c>
      <x:c r="E15" s="148" t="str">
        <x:v>ANS-DEADLINE4</x:v>
      </x:c>
      <x:c r="F15" s="148" t="n">
        <x:v>4</x:v>
      </x:c>
      <x:c r="G15" s="148" t="str">
        <x:v>短いほど優先度高</x:v>
      </x:c>
      <x:c r="H15" s="148" t="str">
        <x:v>UNKNOWN＝L1</x:v>
      </x:c>
      <x:c r="I15" s="148" t="str">
        <x:v>GR-DUE-01</x:v>
      </x:c>
      <x:c r="J15" s="148" t="n">
        <x:v>80</x:v>
      </x:c>
      <x:c r="K15" s="148" t="str">
        <x:v>必須</x:v>
      </x:c>
      <x:c r="L15" s="148" t="str">
        <x:v>SC-Q111</x:v>
      </x:c>
      <x:c r="M15" s="148" t="str">
        <x:v>M3でGuardrail</x:v>
      </x:c>
      <x:c r="N15" s="148" t="str">
        <x:v>EPI-DUE-*</x:v>
      </x:c>
      <x:c r="O15" s="149" t="str"/>
      <x:c r="P15" s="117"/>
      <x:c r="Q15" s="117"/>
      <x:c r="R15" s="117"/>
      <x:c r="S15" s="117"/>
      <x:c r="T15" s="117"/>
      <x:c r="U15" s="117"/>
      <x:c r="V15" s="117"/>
      <x:c r="W15" s="117"/>
      <x:c r="X15" s="117"/>
      <x:c r="Y15" s="117"/>
      <x:c r="Z15" s="117"/>
    </x:row>
    <x:row r="16">
      <x:c r="A16" s="147" t="str">
        <x:v>Q112</x:v>
      </x:c>
      <x:c r="B16" s="148" t="str">
        <x:v>安全影響</x:v>
      </x:c>
      <x:c r="C16" s="148" t="str">
        <x:v>EPI</x:v>
      </x:c>
      <x:c r="D16" s="148" t="str">
        <x:v>安全品質</x:v>
      </x:c>
      <x:c r="E16" s="148" t="str">
        <x:v>ANS-IMPACT4</x:v>
      </x:c>
      <x:c r="F16" s="148" t="n">
        <x:v>5</x:v>
      </x:c>
      <x:c r="G16" s="148" t="str">
        <x:v>重大ほど優先度高</x:v>
      </x:c>
      <x:c r="H16" s="148" t="str">
        <x:v>UNKNOWN＝L1</x:v>
      </x:c>
      <x:c r="I16" s="148" t="str">
        <x:v>GR-SAF-03</x:v>
      </x:c>
      <x:c r="J16" s="148" t="n">
        <x:v>60</x:v>
      </x:c>
      <x:c r="K16" s="148" t="str">
        <x:v>必須</x:v>
      </x:c>
      <x:c r="L16" s="148" t="str">
        <x:v>SC-Q112</x:v>
      </x:c>
      <x:c r="M16" s="148" t="str">
        <x:v>CRITICALでGuardrail</x:v>
      </x:c>
      <x:c r="N16" s="148" t="str">
        <x:v>GR-SAF-*</x:v>
      </x:c>
      <x:c r="O16" s="149" t="str"/>
      <x:c r="P16" s="117"/>
      <x:c r="Q16" s="117"/>
      <x:c r="R16" s="117"/>
      <x:c r="S16" s="117"/>
      <x:c r="T16" s="117"/>
      <x:c r="U16" s="117"/>
      <x:c r="V16" s="117"/>
      <x:c r="W16" s="117"/>
      <x:c r="X16" s="117"/>
      <x:c r="Y16" s="117"/>
      <x:c r="Z16" s="117"/>
    </x:row>
    <x:row r="17">
      <x:c r="A17" s="147" t="str">
        <x:v>Q201</x:v>
      </x:c>
      <x:c r="B17" s="148" t="str">
        <x:v>設備年齢</x:v>
      </x:c>
      <x:c r="C17" s="148" t="str">
        <x:v>EDI</x:v>
      </x:c>
      <x:c r="D17" s="148" t="str">
        <x:v>設備</x:v>
      </x:c>
      <x:c r="E17" s="148" t="str">
        <x:v>ANS-YEARKNOWN</x:v>
      </x:c>
      <x:c r="F17" s="148" t="n">
        <x:v>3</x:v>
      </x:c>
      <x:c r="G17" s="148" t="str">
        <x:v>把握できるほど管理良好</x:v>
      </x:c>
      <x:c r="H17" s="148" t="str">
        <x:v>UNKNOWN＝DRI/充足率へ減点</x:v>
      </x:c>
      <x:c r="I17" s="148" t="str">
        <x:v>なし</x:v>
      </x:c>
      <x:c r="J17" s="148" t="n">
        <x:v>70</x:v>
      </x:c>
      <x:c r="K17" s="148" t="str">
        <x:v>必須</x:v>
      </x:c>
      <x:c r="L17" s="148" t="str">
        <x:v>SC-Q201</x:v>
      </x:c>
      <x:c r="M17" s="148" t="str">
        <x:v>年数は別計算</x:v>
      </x:c>
      <x:c r="N17" s="148" t="str">
        <x:v>EDI-AGE-*</x:v>
      </x:c>
      <x:c r="O17" s="149" t="str">
        <x:v>設置年から年齢算定</x:v>
      </x:c>
      <x:c r="P17" s="117"/>
      <x:c r="Q17" s="117"/>
      <x:c r="R17" s="117"/>
      <x:c r="S17" s="117"/>
      <x:c r="T17" s="117"/>
      <x:c r="U17" s="117"/>
      <x:c r="V17" s="117"/>
      <x:c r="W17" s="117"/>
      <x:c r="X17" s="117"/>
      <x:c r="Y17" s="117"/>
      <x:c r="Z17" s="117"/>
    </x:row>
    <x:row r="18">
      <x:c r="A18" s="147" t="str">
        <x:v>Q202</x:v>
      </x:c>
      <x:c r="B18" s="148" t="str">
        <x:v>20年以上比率</x:v>
      </x:c>
      <x:c r="C18" s="148" t="str">
        <x:v>EDI</x:v>
      </x:c>
      <x:c r="D18" s="148" t="str">
        <x:v>設備</x:v>
      </x:c>
      <x:c r="E18" s="148" t="str">
        <x:v>ANS-COVERAGE4</x:v>
      </x:c>
      <x:c r="F18" s="148" t="n">
        <x:v>5</x:v>
      </x:c>
      <x:c r="G18" s="148" t="str">
        <x:v>高比率ほど状態リスク高</x:v>
      </x:c>
      <x:c r="H18" s="148" t="str">
        <x:v>UNKNOWN＝L1</x:v>
      </x:c>
      <x:c r="I18" s="148" t="str">
        <x:v>なし</x:v>
      </x:c>
      <x:c r="J18" s="148" t="n">
        <x:v>60</x:v>
      </x:c>
      <x:c r="K18" s="148" t="str">
        <x:v>必須</x:v>
      </x:c>
      <x:c r="L18" s="148" t="str">
        <x:v>SC-Q202</x:v>
      </x:c>
      <x:c r="M18" s="148" t="str">
        <x:v>FULL=高リスク、LOW=低リスク</x:v>
      </x:c>
      <x:c r="N18" s="148" t="str">
        <x:v>EDI-AGE-*</x:v>
      </x:c>
      <x:c r="O18" s="149" t="str">
        <x:v>選択肢スコアを反転</x:v>
      </x:c>
      <x:c r="P18" s="117"/>
      <x:c r="Q18" s="117"/>
      <x:c r="R18" s="117"/>
      <x:c r="S18" s="117"/>
      <x:c r="T18" s="117"/>
      <x:c r="U18" s="117"/>
      <x:c r="V18" s="117"/>
      <x:c r="W18" s="117"/>
      <x:c r="X18" s="117"/>
      <x:c r="Y18" s="117"/>
      <x:c r="Z18" s="117"/>
    </x:row>
    <x:row r="19">
      <x:c r="A19" s="147" t="str">
        <x:v>Q203</x:v>
      </x:c>
      <x:c r="B19" s="148" t="str">
        <x:v>故障傾向</x:v>
      </x:c>
      <x:c r="C19" s="148" t="str">
        <x:v>EDI</x:v>
      </x:c>
      <x:c r="D19" s="148" t="str">
        <x:v>設備</x:v>
      </x:c>
      <x:c r="E19" s="148" t="str">
        <x:v>ANS-TREND4</x:v>
      </x:c>
      <x:c r="F19" s="148" t="n">
        <x:v>5</x:v>
      </x:c>
      <x:c r="G19" s="148" t="str">
        <x:v>高いほど良好</x:v>
      </x:c>
      <x:c r="H19" s="148" t="str">
        <x:v>UNKNOWN＝L1</x:v>
      </x:c>
      <x:c r="I19" s="148" t="str">
        <x:v>GR-BCP候補</x:v>
      </x:c>
      <x:c r="J19" s="148" t="n">
        <x:v>70</x:v>
      </x:c>
      <x:c r="K19" s="148" t="str">
        <x:v>必須</x:v>
      </x:c>
      <x:c r="L19" s="148" t="str">
        <x:v>SC-Q203</x:v>
      </x:c>
      <x:c r="M19" s="148" t="str">
        <x:v>UP_HIGHで要対応</x:v>
      </x:c>
      <x:c r="N19" s="148" t="str">
        <x:v>EDI-FAIL-*</x:v>
      </x:c>
      <x:c r="O19" s="149" t="str"/>
      <x:c r="P19" s="117"/>
      <x:c r="Q19" s="117"/>
      <x:c r="R19" s="117"/>
      <x:c r="S19" s="117"/>
      <x:c r="T19" s="117"/>
      <x:c r="U19" s="117"/>
      <x:c r="V19" s="117"/>
      <x:c r="W19" s="117"/>
      <x:c r="X19" s="117"/>
      <x:c r="Y19" s="117"/>
      <x:c r="Z19" s="117"/>
    </x:row>
    <x:row r="20">
      <x:c r="A20" s="147" t="str">
        <x:v>Q204</x:v>
      </x:c>
      <x:c r="B20" s="148" t="str">
        <x:v>保全方式</x:v>
      </x:c>
      <x:c r="C20" s="148" t="str">
        <x:v>EDI</x:v>
      </x:c>
      <x:c r="D20" s="148" t="str">
        <x:v>設備</x:v>
      </x:c>
      <x:c r="E20" s="148" t="str">
        <x:v>ANS-MAINT4</x:v>
      </x:c>
      <x:c r="F20" s="148" t="n">
        <x:v>4</x:v>
      </x:c>
      <x:c r="G20" s="148" t="str">
        <x:v>高いほど良好</x:v>
      </x:c>
      <x:c r="H20" s="148" t="str">
        <x:v>UNKNOWN＝L1</x:v>
      </x:c>
      <x:c r="I20" s="148" t="str">
        <x:v>なし</x:v>
      </x:c>
      <x:c r="J20" s="148" t="n">
        <x:v>70</x:v>
      </x:c>
      <x:c r="K20" s="148" t="str">
        <x:v>必須</x:v>
      </x:c>
      <x:c r="L20" s="148" t="str">
        <x:v>SC-Q204</x:v>
      </x:c>
      <x:c r="M20" s="148" t="str">
        <x:v>BREAKDOWN以下で注意</x:v>
      </x:c>
      <x:c r="N20" s="148" t="str">
        <x:v>EDI-MAINT-*</x:v>
      </x:c>
      <x:c r="O20" s="149" t="str"/>
      <x:c r="P20" s="117"/>
      <x:c r="Q20" s="117"/>
      <x:c r="R20" s="117"/>
      <x:c r="S20" s="117"/>
      <x:c r="T20" s="117"/>
      <x:c r="U20" s="117"/>
      <x:c r="V20" s="117"/>
      <x:c r="W20" s="117"/>
      <x:c r="X20" s="117"/>
      <x:c r="Y20" s="117"/>
      <x:c r="Z20" s="117"/>
    </x:row>
    <x:row r="21">
      <x:c r="A21" s="147" t="str">
        <x:v>Q205</x:v>
      </x:c>
      <x:c r="B21" s="148" t="str">
        <x:v>点検結果</x:v>
      </x:c>
      <x:c r="C21" s="148" t="str">
        <x:v>EDI</x:v>
      </x:c>
      <x:c r="D21" s="148" t="str">
        <x:v>設備</x:v>
      </x:c>
      <x:c r="E21" s="148" t="str">
        <x:v>ANS-FINDING4</x:v>
      </x:c>
      <x:c r="F21" s="148" t="n">
        <x:v>5</x:v>
      </x:c>
      <x:c r="G21" s="148" t="str">
        <x:v>高いほど良好</x:v>
      </x:c>
      <x:c r="H21" s="148" t="str">
        <x:v>UNKNOWN＝L1</x:v>
      </x:c>
      <x:c r="I21" s="148" t="str">
        <x:v>GR-SAF候補</x:v>
      </x:c>
      <x:c r="J21" s="148" t="n">
        <x:v>80</x:v>
      </x:c>
      <x:c r="K21" s="148" t="str">
        <x:v>必須</x:v>
      </x:c>
      <x:c r="L21" s="148" t="str">
        <x:v>SC-Q205</x:v>
      </x:c>
      <x:c r="M21" s="148" t="str">
        <x:v>CRITICALでGuardrail候補</x:v>
      </x:c>
      <x:c r="N21" s="148" t="str">
        <x:v>EDI-INSP-*</x:v>
      </x:c>
      <x:c r="O21" s="149" t="str"/>
      <x:c r="P21" s="117"/>
      <x:c r="Q21" s="117"/>
      <x:c r="R21" s="117"/>
      <x:c r="S21" s="117"/>
      <x:c r="T21" s="117"/>
      <x:c r="U21" s="117"/>
      <x:c r="V21" s="117"/>
      <x:c r="W21" s="117"/>
      <x:c r="X21" s="117"/>
      <x:c r="Y21" s="117"/>
      <x:c r="Z21" s="117"/>
    </x:row>
    <x:row r="22">
      <x:c r="A22" s="147" t="str">
        <x:v>Q206</x:v>
      </x:c>
      <x:c r="B22" s="148" t="str">
        <x:v>保守体制</x:v>
      </x:c>
      <x:c r="C22" s="148" t="str">
        <x:v>EDI/DRI</x:v>
      </x:c>
      <x:c r="D22" s="148" t="str">
        <x:v>設備管理</x:v>
      </x:c>
      <x:c r="E22" s="148" t="str">
        <x:v>ANS-COVERAGE4</x:v>
      </x:c>
      <x:c r="F22" s="148" t="n">
        <x:v>4</x:v>
      </x:c>
      <x:c r="G22" s="148" t="str">
        <x:v>高いほど良好</x:v>
      </x:c>
      <x:c r="H22" s="148" t="str">
        <x:v>UNKNOWN＝L1</x:v>
      </x:c>
      <x:c r="I22" s="148" t="str">
        <x:v>GR-EOL候補</x:v>
      </x:c>
      <x:c r="J22" s="148" t="n">
        <x:v>70</x:v>
      </x:c>
      <x:c r="K22" s="148" t="str">
        <x:v>必須</x:v>
      </x:c>
      <x:c r="L22" s="148" t="str">
        <x:v>SC-Q206</x:v>
      </x:c>
      <x:c r="M22" s="148" t="str">
        <x:v>LOWで注意</x:v>
      </x:c>
      <x:c r="N22" s="148" t="str">
        <x:v>EDI-SUPPORT-*</x:v>
      </x:c>
      <x:c r="O22" s="149" t="str"/>
      <x:c r="P22" s="117"/>
      <x:c r="Q22" s="117"/>
      <x:c r="R22" s="117"/>
      <x:c r="S22" s="117"/>
      <x:c r="T22" s="117"/>
      <x:c r="U22" s="117"/>
      <x:c r="V22" s="117"/>
      <x:c r="W22" s="117"/>
      <x:c r="X22" s="117"/>
      <x:c r="Y22" s="117"/>
      <x:c r="Z22" s="117"/>
    </x:row>
    <x:row r="23">
      <x:c r="A23" s="147" t="str">
        <x:v>Q207</x:v>
      </x:c>
      <x:c r="B23" s="148" t="str">
        <x:v>予備容量</x:v>
      </x:c>
      <x:c r="C23" s="148" t="str">
        <x:v>EDI/EPI</x:v>
      </x:c>
      <x:c r="D23" s="148" t="str">
        <x:v>設備</x:v>
      </x:c>
      <x:c r="E23" s="148" t="str">
        <x:v>ANS-COVERAGE4</x:v>
      </x:c>
      <x:c r="F23" s="148" t="n">
        <x:v>3</x:v>
      </x:c>
      <x:c r="G23" s="148" t="str">
        <x:v>高いほど良好</x:v>
      </x:c>
      <x:c r="H23" s="148" t="str">
        <x:v>UNKNOWN＝L1</x:v>
      </x:c>
      <x:c r="I23" s="148" t="str">
        <x:v>GR-BCP候補</x:v>
      </x:c>
      <x:c r="J23" s="148" t="n">
        <x:v>60</x:v>
      </x:c>
      <x:c r="K23" s="148" t="str">
        <x:v>必須</x:v>
      </x:c>
      <x:c r="L23" s="148" t="str">
        <x:v>SC-Q207</x:v>
      </x:c>
      <x:c r="M23" s="148" t="str">
        <x:v>LOWかつ影響高でA</x:v>
      </x:c>
      <x:c r="N23" s="148" t="str">
        <x:v>EDI-CAP-*</x:v>
      </x:c>
      <x:c r="O23" s="149" t="str"/>
      <x:c r="P23" s="117"/>
      <x:c r="Q23" s="117"/>
      <x:c r="R23" s="117"/>
      <x:c r="S23" s="117"/>
      <x:c r="T23" s="117"/>
      <x:c r="U23" s="117"/>
      <x:c r="V23" s="117"/>
      <x:c r="W23" s="117"/>
      <x:c r="X23" s="117"/>
      <x:c r="Y23" s="117"/>
      <x:c r="Z23" s="117"/>
    </x:row>
    <x:row r="24">
      <x:c r="A24" s="147" t="str">
        <x:v>Q208</x:v>
      </x:c>
      <x:c r="B24" s="148" t="str">
        <x:v>更新履歴</x:v>
      </x:c>
      <x:c r="C24" s="148" t="str">
        <x:v>EDI/DRI</x:v>
      </x:c>
      <x:c r="D24" s="148" t="str">
        <x:v>管理</x:v>
      </x:c>
      <x:c r="E24" s="148" t="str">
        <x:v>ANS-EVIDENCE4</x:v>
      </x:c>
      <x:c r="F24" s="148" t="n">
        <x:v>3</x:v>
      </x:c>
      <x:c r="G24" s="148" t="str">
        <x:v>高いほど良好</x:v>
      </x:c>
      <x:c r="H24" s="148" t="str">
        <x:v>UNKNOWN＝L1</x:v>
      </x:c>
      <x:c r="I24" s="148" t="str">
        <x:v>なし</x:v>
      </x:c>
      <x:c r="J24" s="148" t="n">
        <x:v>80</x:v>
      </x:c>
      <x:c r="K24" s="148" t="str">
        <x:v>必須</x:v>
      </x:c>
      <x:c r="L24" s="148" t="str">
        <x:v>SC-Q208</x:v>
      </x:c>
      <x:c r="M24" s="148" t="str">
        <x:v>VERBAL以下で不足</x:v>
      </x:c>
      <x:c r="N24" s="148" t="str">
        <x:v>DRI-HIST-*</x:v>
      </x:c>
      <x:c r="O24" s="149" t="str"/>
      <x:c r="P24" s="117"/>
      <x:c r="Q24" s="117"/>
      <x:c r="R24" s="117"/>
      <x:c r="S24" s="117"/>
      <x:c r="T24" s="117"/>
      <x:c r="U24" s="117"/>
      <x:c r="V24" s="117"/>
      <x:c r="W24" s="117"/>
      <x:c r="X24" s="117"/>
      <x:c r="Y24" s="117"/>
      <x:c r="Z24" s="117"/>
    </x:row>
    <x:row r="25">
      <x:c r="A25" s="147" t="str">
        <x:v>Q221</x:v>
      </x:c>
      <x:c r="B25" s="148" t="str">
        <x:v>電力把握</x:v>
      </x:c>
      <x:c r="C25" s="148" t="str">
        <x:v>EDI/DRI</x:v>
      </x:c>
      <x:c r="D25" s="148" t="str">
        <x:v>エネルギー</x:v>
      </x:c>
      <x:c r="E25" s="148" t="str">
        <x:v>ANS-EVIDENCE4</x:v>
      </x:c>
      <x:c r="F25" s="148" t="n">
        <x:v>4</x:v>
      </x:c>
      <x:c r="G25" s="148" t="str">
        <x:v>高いほど良好</x:v>
      </x:c>
      <x:c r="H25" s="148" t="str">
        <x:v>UNKNOWN＝L1</x:v>
      </x:c>
      <x:c r="I25" s="148" t="str">
        <x:v>なし</x:v>
      </x:c>
      <x:c r="J25" s="148" t="n">
        <x:v>80</x:v>
      </x:c>
      <x:c r="K25" s="148" t="str">
        <x:v>必須</x:v>
      </x:c>
      <x:c r="L25" s="148" t="str">
        <x:v>SC-Q221</x:v>
      </x:c>
      <x:c r="M25" s="148" t="str">
        <x:v>VERBAL以下で不足</x:v>
      </x:c>
      <x:c r="N25" s="148" t="str">
        <x:v>EDI-ENE-*</x:v>
      </x:c>
      <x:c r="O25" s="149" t="str"/>
      <x:c r="P25" s="117"/>
      <x:c r="Q25" s="117"/>
      <x:c r="R25" s="117"/>
      <x:c r="S25" s="117"/>
      <x:c r="T25" s="117"/>
      <x:c r="U25" s="117"/>
      <x:c r="V25" s="117"/>
      <x:c r="W25" s="117"/>
      <x:c r="X25" s="117"/>
      <x:c r="Y25" s="117"/>
      <x:c r="Z25" s="117"/>
    </x:row>
    <x:row r="26">
      <x:c r="A26" s="147" t="str">
        <x:v>Q222</x:v>
      </x:c>
      <x:c r="B26" s="148" t="str">
        <x:v>設備別計測</x:v>
      </x:c>
      <x:c r="C26" s="148" t="str">
        <x:v>EDI/DRI</x:v>
      </x:c>
      <x:c r="D26" s="148" t="str">
        <x:v>エネルギー</x:v>
      </x:c>
      <x:c r="E26" s="148" t="str">
        <x:v>ANS-COVERAGE4</x:v>
      </x:c>
      <x:c r="F26" s="148" t="n">
        <x:v>5</x:v>
      </x:c>
      <x:c r="G26" s="148" t="str">
        <x:v>高いほど良好</x:v>
      </x:c>
      <x:c r="H26" s="148" t="str">
        <x:v>UNKNOWN＝L1</x:v>
      </x:c>
      <x:c r="I26" s="148" t="str">
        <x:v>なし</x:v>
      </x:c>
      <x:c r="J26" s="148" t="n">
        <x:v>80</x:v>
      </x:c>
      <x:c r="K26" s="148" t="str">
        <x:v>必須</x:v>
      </x:c>
      <x:c r="L26" s="148" t="str">
        <x:v>SC-Q222</x:v>
      </x:c>
      <x:c r="M26" s="148" t="str">
        <x:v>LOWで改善余地</x:v>
      </x:c>
      <x:c r="N26" s="148" t="str">
        <x:v>EDI-METER-*</x:v>
      </x:c>
      <x:c r="O26" s="149" t="str"/>
      <x:c r="P26" s="117"/>
      <x:c r="Q26" s="117"/>
      <x:c r="R26" s="117"/>
      <x:c r="S26" s="117"/>
      <x:c r="T26" s="117"/>
      <x:c r="U26" s="117"/>
      <x:c r="V26" s="117"/>
      <x:c r="W26" s="117"/>
      <x:c r="X26" s="117"/>
      <x:c r="Y26" s="117"/>
      <x:c r="Z26" s="117"/>
    </x:row>
    <x:row r="27">
      <x:c r="A27" s="147" t="str">
        <x:v>Q223</x:v>
      </x:c>
      <x:c r="B27" s="148" t="str">
        <x:v>原単位管理</x:v>
      </x:c>
      <x:c r="C27" s="148" t="str">
        <x:v>EDI/DRI</x:v>
      </x:c>
      <x:c r="D27" s="148" t="str">
        <x:v>エネルギー</x:v>
      </x:c>
      <x:c r="E27" s="148" t="str">
        <x:v>ANS-EVIDENCE4</x:v>
      </x:c>
      <x:c r="F27" s="148" t="n">
        <x:v>3</x:v>
      </x:c>
      <x:c r="G27" s="148" t="str">
        <x:v>高いほど良好</x:v>
      </x:c>
      <x:c r="H27" s="148" t="str">
        <x:v>UNKNOWN＝L1</x:v>
      </x:c>
      <x:c r="I27" s="148" t="str">
        <x:v>なし</x:v>
      </x:c>
      <x:c r="J27" s="148" t="n">
        <x:v>80</x:v>
      </x:c>
      <x:c r="K27" s="148" t="str">
        <x:v>必須</x:v>
      </x:c>
      <x:c r="L27" s="148" t="str">
        <x:v>SC-Q223</x:v>
      </x:c>
      <x:c r="M27" s="148" t="str">
        <x:v>VERBAL以下で不足</x:v>
      </x:c>
      <x:c r="N27" s="148" t="str">
        <x:v>EDI-UNIT-*</x:v>
      </x:c>
      <x:c r="O27" s="149" t="str"/>
      <x:c r="P27" s="117"/>
      <x:c r="Q27" s="117"/>
      <x:c r="R27" s="117"/>
      <x:c r="S27" s="117"/>
      <x:c r="T27" s="117"/>
      <x:c r="U27" s="117"/>
      <x:c r="V27" s="117"/>
      <x:c r="W27" s="117"/>
      <x:c r="X27" s="117"/>
      <x:c r="Y27" s="117"/>
      <x:c r="Z27" s="117"/>
    </x:row>
    <x:row r="28">
      <x:c r="A28" s="147" t="str">
        <x:v>Q224</x:v>
      </x:c>
      <x:c r="B28" s="148" t="str">
        <x:v>省エネ改善</x:v>
      </x:c>
      <x:c r="C28" s="148" t="str">
        <x:v>EDI/DRI</x:v>
      </x:c>
      <x:c r="D28" s="148" t="str">
        <x:v>エネルギー</x:v>
      </x:c>
      <x:c r="E28" s="148" t="str">
        <x:v>ANS-IMPL4</x:v>
      </x:c>
      <x:c r="F28" s="148" t="n">
        <x:v>4</x:v>
      </x:c>
      <x:c r="G28" s="148" t="str">
        <x:v>高いほど良好</x:v>
      </x:c>
      <x:c r="H28" s="148" t="str">
        <x:v>UNKNOWN＝L1</x:v>
      </x:c>
      <x:c r="I28" s="148" t="str">
        <x:v>なし</x:v>
      </x:c>
      <x:c r="J28" s="148" t="n">
        <x:v>80</x:v>
      </x:c>
      <x:c r="K28" s="148" t="str">
        <x:v>必須</x:v>
      </x:c>
      <x:c r="L28" s="148" t="str">
        <x:v>SC-Q224</x:v>
      </x:c>
      <x:c r="M28" s="148" t="str">
        <x:v>NONEで改善余地</x:v>
      </x:c>
      <x:c r="N28" s="148" t="str">
        <x:v>EDI-ENE-*</x:v>
      </x:c>
      <x:c r="O28" s="149" t="str"/>
      <x:c r="P28" s="117"/>
      <x:c r="Q28" s="117"/>
      <x:c r="R28" s="117"/>
      <x:c r="S28" s="117"/>
      <x:c r="T28" s="117"/>
      <x:c r="U28" s="117"/>
      <x:c r="V28" s="117"/>
      <x:c r="W28" s="117"/>
      <x:c r="X28" s="117"/>
      <x:c r="Y28" s="117"/>
      <x:c r="Z28" s="117"/>
    </x:row>
    <x:row r="29">
      <x:c r="A29" s="147" t="str">
        <x:v>Q225</x:v>
      </x:c>
      <x:c r="B29" s="148" t="str">
        <x:v>高効率化把握</x:v>
      </x:c>
      <x:c r="C29" s="148" t="str">
        <x:v>EDI</x:v>
      </x:c>
      <x:c r="D29" s="148" t="str">
        <x:v>エネルギー</x:v>
      </x:c>
      <x:c r="E29" s="148" t="str">
        <x:v>ANS-COVERAGE4</x:v>
      </x:c>
      <x:c r="F29" s="148" t="n">
        <x:v>3</x:v>
      </x:c>
      <x:c r="G29" s="148" t="str">
        <x:v>高いほど良好</x:v>
      </x:c>
      <x:c r="H29" s="148" t="str">
        <x:v>UNKNOWN＝L1</x:v>
      </x:c>
      <x:c r="I29" s="148" t="str">
        <x:v>なし</x:v>
      </x:c>
      <x:c r="J29" s="148" t="n">
        <x:v>70</x:v>
      </x:c>
      <x:c r="K29" s="148" t="str">
        <x:v>必須</x:v>
      </x:c>
      <x:c r="L29" s="148" t="str">
        <x:v>SC-Q225</x:v>
      </x:c>
      <x:c r="M29" s="148" t="str">
        <x:v>LOWで候補化</x:v>
      </x:c>
      <x:c r="N29" s="148" t="str">
        <x:v>EDI-EFF-*</x:v>
      </x:c>
      <x:c r="O29" s="149" t="str"/>
      <x:c r="P29" s="117"/>
      <x:c r="Q29" s="117"/>
      <x:c r="R29" s="117"/>
      <x:c r="S29" s="117"/>
      <x:c r="T29" s="117"/>
      <x:c r="U29" s="117"/>
      <x:c r="V29" s="117"/>
      <x:c r="W29" s="117"/>
      <x:c r="X29" s="117"/>
      <x:c r="Y29" s="117"/>
      <x:c r="Z29" s="117"/>
    </x:row>
    <x:row r="30">
      <x:c r="A30" s="147" t="str">
        <x:v>Q226</x:v>
      </x:c>
      <x:c r="B30" s="148" t="str">
        <x:v>デマンド管理</x:v>
      </x:c>
      <x:c r="C30" s="148" t="str">
        <x:v>EDI/DRI</x:v>
      </x:c>
      <x:c r="D30" s="148" t="str">
        <x:v>エネルギー</x:v>
      </x:c>
      <x:c r="E30" s="148" t="str">
        <x:v>ANS-EVIDENCE4</x:v>
      </x:c>
      <x:c r="F30" s="148" t="n">
        <x:v>3</x:v>
      </x:c>
      <x:c r="G30" s="148" t="str">
        <x:v>高いほど良好</x:v>
      </x:c>
      <x:c r="H30" s="148" t="str">
        <x:v>UNKNOWN＝L1</x:v>
      </x:c>
      <x:c r="I30" s="148" t="str">
        <x:v>なし</x:v>
      </x:c>
      <x:c r="J30" s="148" t="n">
        <x:v>80</x:v>
      </x:c>
      <x:c r="K30" s="148" t="str">
        <x:v>必須</x:v>
      </x:c>
      <x:c r="L30" s="148" t="str">
        <x:v>SC-Q226</x:v>
      </x:c>
      <x:c r="M30" s="148" t="str">
        <x:v>VERBAL以下で不足</x:v>
      </x:c>
      <x:c r="N30" s="148" t="str">
        <x:v>EDI-DEMAND-*</x:v>
      </x:c>
      <x:c r="O30" s="149" t="str"/>
      <x:c r="P30" s="117"/>
      <x:c r="Q30" s="117"/>
      <x:c r="R30" s="117"/>
      <x:c r="S30" s="117"/>
      <x:c r="T30" s="117"/>
      <x:c r="U30" s="117"/>
      <x:c r="V30" s="117"/>
      <x:c r="W30" s="117"/>
      <x:c r="X30" s="117"/>
      <x:c r="Y30" s="117"/>
      <x:c r="Z30" s="117"/>
    </x:row>
    <x:row r="31">
      <x:c r="A31" s="147" t="str">
        <x:v>Q241</x:v>
      </x:c>
      <x:c r="B31" s="148" t="str">
        <x:v>雨漏り</x:v>
      </x:c>
      <x:c r="C31" s="148" t="str">
        <x:v>EDI/EPI</x:v>
      </x:c>
      <x:c r="D31" s="148" t="str">
        <x:v>建物</x:v>
      </x:c>
      <x:c r="E31" s="148" t="str">
        <x:v>ANS-SEVERITY4</x:v>
      </x:c>
      <x:c r="F31" s="148" t="n">
        <x:v>4</x:v>
      </x:c>
      <x:c r="G31" s="148" t="str">
        <x:v>高いほど良好</x:v>
      </x:c>
      <x:c r="H31" s="148" t="str">
        <x:v>UNKNOWN＝L1</x:v>
      </x:c>
      <x:c r="I31" s="148" t="str">
        <x:v>GR-SAF候補</x:v>
      </x:c>
      <x:c r="J31" s="148" t="n">
        <x:v>60</x:v>
      </x:c>
      <x:c r="K31" s="148" t="str">
        <x:v>必須</x:v>
      </x:c>
      <x:c r="L31" s="148" t="str">
        <x:v>SC-Q241</x:v>
      </x:c>
      <x:c r="M31" s="148" t="str">
        <x:v>CRITICALでGuardrail</x:v>
      </x:c>
      <x:c r="N31" s="148" t="str">
        <x:v>EDI-BLD-*</x:v>
      </x:c>
      <x:c r="O31" s="149" t="str"/>
      <x:c r="P31" s="117"/>
      <x:c r="Q31" s="117"/>
      <x:c r="R31" s="117"/>
      <x:c r="S31" s="117"/>
      <x:c r="T31" s="117"/>
      <x:c r="U31" s="117"/>
      <x:c r="V31" s="117"/>
      <x:c r="W31" s="117"/>
      <x:c r="X31" s="117"/>
      <x:c r="Y31" s="117"/>
      <x:c r="Z31" s="117"/>
    </x:row>
    <x:row r="32">
      <x:c r="A32" s="147" t="str">
        <x:v>Q242</x:v>
      </x:c>
      <x:c r="B32" s="148" t="str">
        <x:v>結露</x:v>
      </x:c>
      <x:c r="C32" s="148" t="str">
        <x:v>EDI/EPI</x:v>
      </x:c>
      <x:c r="D32" s="148" t="str">
        <x:v>建物</x:v>
      </x:c>
      <x:c r="E32" s="148" t="str">
        <x:v>ANS-SEVERITY4</x:v>
      </x:c>
      <x:c r="F32" s="148" t="n">
        <x:v>4</x:v>
      </x:c>
      <x:c r="G32" s="148" t="str">
        <x:v>高いほど良好</x:v>
      </x:c>
      <x:c r="H32" s="148" t="str">
        <x:v>UNKNOWN＝L1</x:v>
      </x:c>
      <x:c r="I32" s="148" t="str">
        <x:v>GR-SAF/品質候補</x:v>
      </x:c>
      <x:c r="J32" s="148" t="n">
        <x:v>60</x:v>
      </x:c>
      <x:c r="K32" s="148" t="str">
        <x:v>必須</x:v>
      </x:c>
      <x:c r="L32" s="148" t="str">
        <x:v>SC-Q242</x:v>
      </x:c>
      <x:c r="M32" s="148" t="str">
        <x:v>CRITICALでGuardrail</x:v>
      </x:c>
      <x:c r="N32" s="148" t="str">
        <x:v>EDI-BLD-*</x:v>
      </x:c>
      <x:c r="O32" s="149" t="str"/>
      <x:c r="P32" s="117"/>
      <x:c r="Q32" s="117"/>
      <x:c r="R32" s="117"/>
      <x:c r="S32" s="117"/>
      <x:c r="T32" s="117"/>
      <x:c r="U32" s="117"/>
      <x:c r="V32" s="117"/>
      <x:c r="W32" s="117"/>
      <x:c r="X32" s="117"/>
      <x:c r="Y32" s="117"/>
      <x:c r="Z32" s="117"/>
    </x:row>
    <x:row r="33">
      <x:c r="A33" s="147" t="str">
        <x:v>Q243</x:v>
      </x:c>
      <x:c r="B33" s="148" t="str">
        <x:v>暑熱環境</x:v>
      </x:c>
      <x:c r="C33" s="148" t="str">
        <x:v>EDI/EPI</x:v>
      </x:c>
      <x:c r="D33" s="148" t="str">
        <x:v>建物</x:v>
      </x:c>
      <x:c r="E33" s="148" t="str">
        <x:v>ANS-SEVERITY4</x:v>
      </x:c>
      <x:c r="F33" s="148" t="n">
        <x:v>3</x:v>
      </x:c>
      <x:c r="G33" s="148" t="str">
        <x:v>高いほど良好</x:v>
      </x:c>
      <x:c r="H33" s="148" t="str">
        <x:v>UNKNOWN＝L1</x:v>
      </x:c>
      <x:c r="I33" s="148" t="str">
        <x:v>GR-SAF候補</x:v>
      </x:c>
      <x:c r="J33" s="148" t="n">
        <x:v>60</x:v>
      </x:c>
      <x:c r="K33" s="148" t="str">
        <x:v>必須</x:v>
      </x:c>
      <x:c r="L33" s="148" t="str">
        <x:v>SC-Q243</x:v>
      </x:c>
      <x:c r="M33" s="148" t="str">
        <x:v>CRITICALでGuardrail候補</x:v>
      </x:c>
      <x:c r="N33" s="148" t="str">
        <x:v>EDI-BLD-*</x:v>
      </x:c>
      <x:c r="O33" s="149" t="str"/>
      <x:c r="P33" s="117"/>
      <x:c r="Q33" s="117"/>
      <x:c r="R33" s="117"/>
      <x:c r="S33" s="117"/>
      <x:c r="T33" s="117"/>
      <x:c r="U33" s="117"/>
      <x:c r="V33" s="117"/>
      <x:c r="W33" s="117"/>
      <x:c r="X33" s="117"/>
      <x:c r="Y33" s="117"/>
      <x:c r="Z33" s="117"/>
    </x:row>
    <x:row r="34">
      <x:c r="A34" s="147" t="str">
        <x:v>Q244</x:v>
      </x:c>
      <x:c r="B34" s="148" t="str">
        <x:v>腐食・劣化</x:v>
      </x:c>
      <x:c r="C34" s="148" t="str">
        <x:v>EDI</x:v>
      </x:c>
      <x:c r="D34" s="148" t="str">
        <x:v>建物</x:v>
      </x:c>
      <x:c r="E34" s="148" t="str">
        <x:v>ANS-SEVERITY4</x:v>
      </x:c>
      <x:c r="F34" s="148" t="n">
        <x:v>4</x:v>
      </x:c>
      <x:c r="G34" s="148" t="str">
        <x:v>高いほど良好</x:v>
      </x:c>
      <x:c r="H34" s="148" t="str">
        <x:v>UNKNOWN＝L1</x:v>
      </x:c>
      <x:c r="I34" s="148" t="str">
        <x:v>GR-SAF候補</x:v>
      </x:c>
      <x:c r="J34" s="148" t="n">
        <x:v>70</x:v>
      </x:c>
      <x:c r="K34" s="148" t="str">
        <x:v>必須</x:v>
      </x:c>
      <x:c r="L34" s="148" t="str">
        <x:v>SC-Q244</x:v>
      </x:c>
      <x:c r="M34" s="148" t="str">
        <x:v>CRITICALでGuardrail候補</x:v>
      </x:c>
      <x:c r="N34" s="148" t="str">
        <x:v>EDI-BLD-*</x:v>
      </x:c>
      <x:c r="O34" s="149" t="str"/>
      <x:c r="P34" s="117"/>
      <x:c r="Q34" s="117"/>
      <x:c r="R34" s="117"/>
      <x:c r="S34" s="117"/>
      <x:c r="T34" s="117"/>
      <x:c r="U34" s="117"/>
      <x:c r="V34" s="117"/>
      <x:c r="W34" s="117"/>
      <x:c r="X34" s="117"/>
      <x:c r="Y34" s="117"/>
      <x:c r="Z34" s="117"/>
    </x:row>
    <x:row r="35">
      <x:c r="A35" s="147" t="str">
        <x:v>Q245</x:v>
      </x:c>
      <x:c r="B35" s="148" t="str">
        <x:v>修繕計画</x:v>
      </x:c>
      <x:c r="C35" s="148" t="str">
        <x:v>EDI/DRI</x:v>
      </x:c>
      <x:c r="D35" s="148" t="str">
        <x:v>建物管理</x:v>
      </x:c>
      <x:c r="E35" s="148" t="str">
        <x:v>ANS-EVIDENCE4</x:v>
      </x:c>
      <x:c r="F35" s="148" t="n">
        <x:v>3</x:v>
      </x:c>
      <x:c r="G35" s="148" t="str">
        <x:v>高いほど良好</x:v>
      </x:c>
      <x:c r="H35" s="148" t="str">
        <x:v>UNKNOWN＝L1</x:v>
      </x:c>
      <x:c r="I35" s="148" t="str">
        <x:v>なし</x:v>
      </x:c>
      <x:c r="J35" s="148" t="n">
        <x:v>80</x:v>
      </x:c>
      <x:c r="K35" s="148" t="str">
        <x:v>必須</x:v>
      </x:c>
      <x:c r="L35" s="148" t="str">
        <x:v>SC-Q245</x:v>
      </x:c>
      <x:c r="M35" s="148" t="str">
        <x:v>VERBAL以下で不足</x:v>
      </x:c>
      <x:c r="N35" s="148" t="str">
        <x:v>DRI-BLD-*</x:v>
      </x:c>
      <x:c r="O35" s="149" t="str"/>
      <x:c r="P35" s="117"/>
      <x:c r="Q35" s="117"/>
      <x:c r="R35" s="117"/>
      <x:c r="S35" s="117"/>
      <x:c r="T35" s="117"/>
      <x:c r="U35" s="117"/>
      <x:c r="V35" s="117"/>
      <x:c r="W35" s="117"/>
      <x:c r="X35" s="117"/>
      <x:c r="Y35" s="117"/>
      <x:c r="Z35" s="117"/>
    </x:row>
    <x:row r="36">
      <x:c r="A36" s="147" t="str">
        <x:v>Q261</x:v>
      </x:c>
      <x:c r="B36" s="148" t="str">
        <x:v>設備台帳</x:v>
      </x:c>
      <x:c r="C36" s="148" t="str">
        <x:v>EDI/DRI</x:v>
      </x:c>
      <x:c r="D36" s="148" t="str">
        <x:v>管理</x:v>
      </x:c>
      <x:c r="E36" s="148" t="str">
        <x:v>ANS-EVIDENCE4</x:v>
      </x:c>
      <x:c r="F36" s="148" t="n">
        <x:v>5</x:v>
      </x:c>
      <x:c r="G36" s="148" t="str">
        <x:v>高いほど良好</x:v>
      </x:c>
      <x:c r="H36" s="148" t="str">
        <x:v>UNKNOWN＝L1</x:v>
      </x:c>
      <x:c r="I36" s="148" t="str">
        <x:v>なし</x:v>
      </x:c>
      <x:c r="J36" s="148" t="n">
        <x:v>80</x:v>
      </x:c>
      <x:c r="K36" s="148" t="str">
        <x:v>必須</x:v>
      </x:c>
      <x:c r="L36" s="148" t="str">
        <x:v>SC-Q261</x:v>
      </x:c>
      <x:c r="M36" s="148" t="str">
        <x:v>VERBAL以下で不足</x:v>
      </x:c>
      <x:c r="N36" s="148" t="str">
        <x:v>DRI-ASSET-*</x:v>
      </x:c>
      <x:c r="O36" s="149" t="str"/>
      <x:c r="P36" s="117"/>
      <x:c r="Q36" s="117"/>
      <x:c r="R36" s="117"/>
      <x:c r="S36" s="117"/>
      <x:c r="T36" s="117"/>
      <x:c r="U36" s="117"/>
      <x:c r="V36" s="117"/>
      <x:c r="W36" s="117"/>
      <x:c r="X36" s="117"/>
      <x:c r="Y36" s="117"/>
      <x:c r="Z36" s="117"/>
    </x:row>
    <x:row r="37">
      <x:c r="A37" s="147" t="str">
        <x:v>Q262</x:v>
      </x:c>
      <x:c r="B37" s="148" t="str">
        <x:v>更新計画</x:v>
      </x:c>
      <x:c r="C37" s="148" t="str">
        <x:v>EDI/DRI</x:v>
      </x:c>
      <x:c r="D37" s="148" t="str">
        <x:v>管理</x:v>
      </x:c>
      <x:c r="E37" s="148" t="str">
        <x:v>ANS-EVIDENCE4</x:v>
      </x:c>
      <x:c r="F37" s="148" t="n">
        <x:v>5</x:v>
      </x:c>
      <x:c r="G37" s="148" t="str">
        <x:v>高いほど良好</x:v>
      </x:c>
      <x:c r="H37" s="148" t="str">
        <x:v>UNKNOWN＝L1</x:v>
      </x:c>
      <x:c r="I37" s="148" t="str">
        <x:v>なし</x:v>
      </x:c>
      <x:c r="J37" s="148" t="n">
        <x:v>80</x:v>
      </x:c>
      <x:c r="K37" s="148" t="str">
        <x:v>必須</x:v>
      </x:c>
      <x:c r="L37" s="148" t="str">
        <x:v>SC-Q262</x:v>
      </x:c>
      <x:c r="M37" s="148" t="str">
        <x:v>VERBAL以下で不足</x:v>
      </x:c>
      <x:c r="N37" s="148" t="str">
        <x:v>DRI-PLAN-*</x:v>
      </x:c>
      <x:c r="O37" s="149" t="str"/>
      <x:c r="P37" s="117"/>
      <x:c r="Q37" s="117"/>
      <x:c r="R37" s="117"/>
      <x:c r="S37" s="117"/>
      <x:c r="T37" s="117"/>
      <x:c r="U37" s="117"/>
      <x:c r="V37" s="117"/>
      <x:c r="W37" s="117"/>
      <x:c r="X37" s="117"/>
      <x:c r="Y37" s="117"/>
      <x:c r="Z37" s="117"/>
    </x:row>
    <x:row r="38">
      <x:c r="A38" s="147" t="str">
        <x:v>Q263</x:v>
      </x:c>
      <x:c r="B38" s="148" t="str">
        <x:v>重要度分類</x:v>
      </x:c>
      <x:c r="C38" s="148" t="str">
        <x:v>EDI/DRI</x:v>
      </x:c>
      <x:c r="D38" s="148" t="str">
        <x:v>管理</x:v>
      </x:c>
      <x:c r="E38" s="148" t="str">
        <x:v>ANS-EVIDENCE4</x:v>
      </x:c>
      <x:c r="F38" s="148" t="n">
        <x:v>4</x:v>
      </x:c>
      <x:c r="G38" s="148" t="str">
        <x:v>高いほど良好</x:v>
      </x:c>
      <x:c r="H38" s="148" t="str">
        <x:v>UNKNOWN＝L1</x:v>
      </x:c>
      <x:c r="I38" s="148" t="str">
        <x:v>GR-BCP候補</x:v>
      </x:c>
      <x:c r="J38" s="148" t="n">
        <x:v>80</x:v>
      </x:c>
      <x:c r="K38" s="148" t="str">
        <x:v>必須</x:v>
      </x:c>
      <x:c r="L38" s="148" t="str">
        <x:v>SC-Q263</x:v>
      </x:c>
      <x:c r="M38" s="148" t="str">
        <x:v>VERBAL以下で不足</x:v>
      </x:c>
      <x:c r="N38" s="148" t="str">
        <x:v>DRI-CRIT-*</x:v>
      </x:c>
      <x:c r="O38" s="149" t="str"/>
      <x:c r="P38" s="117"/>
      <x:c r="Q38" s="117"/>
      <x:c r="R38" s="117"/>
      <x:c r="S38" s="117"/>
      <x:c r="T38" s="117"/>
      <x:c r="U38" s="117"/>
      <x:c r="V38" s="117"/>
      <x:c r="W38" s="117"/>
      <x:c r="X38" s="117"/>
      <x:c r="Y38" s="117"/>
      <x:c r="Z38" s="117"/>
    </x:row>
    <x:row r="39">
      <x:c r="A39" s="147" t="str">
        <x:v>Q264</x:v>
      </x:c>
      <x:c r="B39" s="148" t="str">
        <x:v>責任体制</x:v>
      </x:c>
      <x:c r="C39" s="148" t="str">
        <x:v>EDI/DRI</x:v>
      </x:c>
      <x:c r="D39" s="148" t="str">
        <x:v>管理</x:v>
      </x:c>
      <x:c r="E39" s="148" t="str">
        <x:v>ANS-COVERAGE4</x:v>
      </x:c>
      <x:c r="F39" s="148" t="n">
        <x:v>3</x:v>
      </x:c>
      <x:c r="G39" s="148" t="str">
        <x:v>高いほど良好</x:v>
      </x:c>
      <x:c r="H39" s="148" t="str">
        <x:v>UNKNOWN＝L1</x:v>
      </x:c>
      <x:c r="I39" s="148" t="str">
        <x:v>なし</x:v>
      </x:c>
      <x:c r="J39" s="148" t="n">
        <x:v>70</x:v>
      </x:c>
      <x:c r="K39" s="148" t="str">
        <x:v>必須</x:v>
      </x:c>
      <x:c r="L39" s="148" t="str">
        <x:v>SC-Q264</x:v>
      </x:c>
      <x:c r="M39" s="148" t="str">
        <x:v>LOWで注意</x:v>
      </x:c>
      <x:c r="N39" s="148" t="str">
        <x:v>DRI-GOV-*</x:v>
      </x:c>
      <x:c r="O39" s="149" t="str"/>
      <x:c r="P39" s="117"/>
      <x:c r="Q39" s="117"/>
      <x:c r="R39" s="117"/>
      <x:c r="S39" s="117"/>
      <x:c r="T39" s="117"/>
      <x:c r="U39" s="117"/>
      <x:c r="V39" s="117"/>
      <x:c r="W39" s="117"/>
      <x:c r="X39" s="117"/>
      <x:c r="Y39" s="117"/>
      <x:c r="Z39" s="117"/>
    </x:row>
    <x:row r="40">
      <x:c r="A40" s="147" t="str">
        <x:v>Q301</x:v>
      </x:c>
      <x:c r="B40" s="148" t="str">
        <x:v>図面整備</x:v>
      </x:c>
      <x:c r="C40" s="148" t="str">
        <x:v>DRI</x:v>
      </x:c>
      <x:c r="D40" s="148" t="str">
        <x:v>情報</x:v>
      </x:c>
      <x:c r="E40" s="148" t="str">
        <x:v>ANS-EVIDENCE4</x:v>
      </x:c>
      <x:c r="F40" s="148" t="n">
        <x:v>5</x:v>
      </x:c>
      <x:c r="G40" s="148" t="str">
        <x:v>高いほど良好</x:v>
      </x:c>
      <x:c r="H40" s="148" t="str">
        <x:v>UNKNOWN＝L1</x:v>
      </x:c>
      <x:c r="I40" s="148" t="str">
        <x:v>なし</x:v>
      </x:c>
      <x:c r="J40" s="148" t="n">
        <x:v>90</x:v>
      </x:c>
      <x:c r="K40" s="148" t="str">
        <x:v>必須</x:v>
      </x:c>
      <x:c r="L40" s="148" t="str">
        <x:v>SC-Q301</x:v>
      </x:c>
      <x:c r="M40" s="148" t="str">
        <x:v>VERBAL以下で不足</x:v>
      </x:c>
      <x:c r="N40" s="148" t="str">
        <x:v>DRI-DOC-*</x:v>
      </x:c>
      <x:c r="O40" s="149" t="str"/>
      <x:c r="P40" s="117"/>
      <x:c r="Q40" s="117"/>
      <x:c r="R40" s="117"/>
      <x:c r="S40" s="117"/>
      <x:c r="T40" s="117"/>
      <x:c r="U40" s="117"/>
      <x:c r="V40" s="117"/>
      <x:c r="W40" s="117"/>
      <x:c r="X40" s="117"/>
      <x:c r="Y40" s="117"/>
      <x:c r="Z40" s="117"/>
    </x:row>
    <x:row r="41">
      <x:c r="A41" s="147" t="str">
        <x:v>Q302</x:v>
      </x:c>
      <x:c r="B41" s="148" t="str">
        <x:v>履歴追跡</x:v>
      </x:c>
      <x:c r="C41" s="148" t="str">
        <x:v>DRI</x:v>
      </x:c>
      <x:c r="D41" s="148" t="str">
        <x:v>情報</x:v>
      </x:c>
      <x:c r="E41" s="148" t="str">
        <x:v>ANS-EVIDENCE4</x:v>
      </x:c>
      <x:c r="F41" s="148" t="n">
        <x:v>5</x:v>
      </x:c>
      <x:c r="G41" s="148" t="str">
        <x:v>高いほど良好</x:v>
      </x:c>
      <x:c r="H41" s="148" t="str">
        <x:v>UNKNOWN＝L1</x:v>
      </x:c>
      <x:c r="I41" s="148" t="str">
        <x:v>なし</x:v>
      </x:c>
      <x:c r="J41" s="148" t="n">
        <x:v>90</x:v>
      </x:c>
      <x:c r="K41" s="148" t="str">
        <x:v>必須</x:v>
      </x:c>
      <x:c r="L41" s="148" t="str">
        <x:v>SC-Q302</x:v>
      </x:c>
      <x:c r="M41" s="148" t="str">
        <x:v>VERBAL以下で不足</x:v>
      </x:c>
      <x:c r="N41" s="148" t="str">
        <x:v>DRI-HIST-*</x:v>
      </x:c>
      <x:c r="O41" s="149" t="str"/>
      <x:c r="P41" s="117"/>
      <x:c r="Q41" s="117"/>
      <x:c r="R41" s="117"/>
      <x:c r="S41" s="117"/>
      <x:c r="T41" s="117"/>
      <x:c r="U41" s="117"/>
      <x:c r="V41" s="117"/>
      <x:c r="W41" s="117"/>
      <x:c r="X41" s="117"/>
      <x:c r="Y41" s="117"/>
      <x:c r="Z41" s="117"/>
    </x:row>
    <x:row r="42">
      <x:c r="A42" s="147" t="str">
        <x:v>Q303</x:v>
      </x:c>
      <x:c r="B42" s="148" t="str">
        <x:v>型式特定</x:v>
      </x:c>
      <x:c r="C42" s="148" t="str">
        <x:v>DRI</x:v>
      </x:c>
      <x:c r="D42" s="148" t="str">
        <x:v>情報</x:v>
      </x:c>
      <x:c r="E42" s="148" t="str">
        <x:v>ANS-COVERAGE4</x:v>
      </x:c>
      <x:c r="F42" s="148" t="n">
        <x:v>4</x:v>
      </x:c>
      <x:c r="G42" s="148" t="str">
        <x:v>高いほど良好</x:v>
      </x:c>
      <x:c r="H42" s="148" t="str">
        <x:v>UNKNOWN＝L1</x:v>
      </x:c>
      <x:c r="I42" s="148" t="str">
        <x:v>GR-EOL候補</x:v>
      </x:c>
      <x:c r="J42" s="148" t="n">
        <x:v>80</x:v>
      </x:c>
      <x:c r="K42" s="148" t="str">
        <x:v>必須</x:v>
      </x:c>
      <x:c r="L42" s="148" t="str">
        <x:v>SC-Q303</x:v>
      </x:c>
      <x:c r="M42" s="148" t="str">
        <x:v>LOWでEOL確認不可</x:v>
      </x:c>
      <x:c r="N42" s="148" t="str">
        <x:v>DRI-TYPE-*</x:v>
      </x:c>
      <x:c r="O42" s="149" t="str"/>
      <x:c r="P42" s="117"/>
      <x:c r="Q42" s="117"/>
      <x:c r="R42" s="117"/>
      <x:c r="S42" s="117"/>
      <x:c r="T42" s="117"/>
      <x:c r="U42" s="117"/>
      <x:c r="V42" s="117"/>
      <x:c r="W42" s="117"/>
      <x:c r="X42" s="117"/>
      <x:c r="Y42" s="117"/>
      <x:c r="Z42" s="117"/>
    </x:row>
    <x:row r="43">
      <x:c r="A43" s="147" t="str">
        <x:v>Q304</x:v>
      </x:c>
      <x:c r="B43" s="148" t="str">
        <x:v>工事範囲</x:v>
      </x:c>
      <x:c r="C43" s="148" t="str">
        <x:v>DRI</x:v>
      </x:c>
      <x:c r="D43" s="148" t="str">
        <x:v>判断</x:v>
      </x:c>
      <x:c r="E43" s="148" t="str">
        <x:v>ANS-DECISION4</x:v>
      </x:c>
      <x:c r="F43" s="148" t="n">
        <x:v>4</x:v>
      </x:c>
      <x:c r="G43" s="148" t="str">
        <x:v>高いほど良好</x:v>
      </x:c>
      <x:c r="H43" s="148" t="str">
        <x:v>UNKNOWN＝L1</x:v>
      </x:c>
      <x:c r="I43" s="148" t="str">
        <x:v>なし</x:v>
      </x:c>
      <x:c r="J43" s="148" t="n">
        <x:v>80</x:v>
      </x:c>
      <x:c r="K43" s="148" t="str">
        <x:v>必須</x:v>
      </x:c>
      <x:c r="L43" s="148" t="str">
        <x:v>SC-Q304</x:v>
      </x:c>
      <x:c r="M43" s="148" t="str">
        <x:v>NONEで未決定</x:v>
      </x:c>
      <x:c r="N43" s="148" t="str">
        <x:v>DRI-SCOPE-*</x:v>
      </x:c>
      <x:c r="O43" s="149" t="str"/>
      <x:c r="P43" s="117"/>
      <x:c r="Q43" s="117"/>
      <x:c r="R43" s="117"/>
      <x:c r="S43" s="117"/>
      <x:c r="T43" s="117"/>
      <x:c r="U43" s="117"/>
      <x:c r="V43" s="117"/>
      <x:c r="W43" s="117"/>
      <x:c r="X43" s="117"/>
      <x:c r="Y43" s="117"/>
      <x:c r="Z43" s="117"/>
    </x:row>
    <x:row r="44">
      <x:c r="A44" s="147" t="str">
        <x:v>Q305</x:v>
      </x:c>
      <x:c r="B44" s="148" t="str">
        <x:v>停止条件</x:v>
      </x:c>
      <x:c r="C44" s="148" t="str">
        <x:v>DRI</x:v>
      </x:c>
      <x:c r="D44" s="148" t="str">
        <x:v>工事条件</x:v>
      </x:c>
      <x:c r="E44" s="148" t="str">
        <x:v>ANS-DECISION4</x:v>
      </x:c>
      <x:c r="F44" s="148" t="n">
        <x:v>5</x:v>
      </x:c>
      <x:c r="G44" s="148" t="str">
        <x:v>高いほど良好</x:v>
      </x:c>
      <x:c r="H44" s="148" t="str">
        <x:v>UNKNOWN＝L1</x:v>
      </x:c>
      <x:c r="I44" s="148" t="str">
        <x:v>GR-DUE/BCP候補</x:v>
      </x:c>
      <x:c r="J44" s="148" t="n">
        <x:v>80</x:v>
      </x:c>
      <x:c r="K44" s="148" t="str">
        <x:v>必須</x:v>
      </x:c>
      <x:c r="L44" s="148" t="str">
        <x:v>SC-Q305</x:v>
      </x:c>
      <x:c r="M44" s="148" t="str">
        <x:v>NONEで計画困難</x:v>
      </x:c>
      <x:c r="N44" s="148" t="str">
        <x:v>DRI-OUTAGE-*</x:v>
      </x:c>
      <x:c r="O44" s="149" t="str"/>
      <x:c r="P44" s="117"/>
      <x:c r="Q44" s="117"/>
      <x:c r="R44" s="117"/>
      <x:c r="S44" s="117"/>
      <x:c r="T44" s="117"/>
      <x:c r="U44" s="117"/>
      <x:c r="V44" s="117"/>
      <x:c r="W44" s="117"/>
      <x:c r="X44" s="117"/>
      <x:c r="Y44" s="117"/>
      <x:c r="Z44" s="117"/>
    </x:row>
    <x:row r="45">
      <x:c r="A45" s="147" t="str">
        <x:v>Q306</x:v>
      </x:c>
      <x:c r="B45" s="148" t="str">
        <x:v>予算枠</x:v>
      </x:c>
      <x:c r="C45" s="148" t="str">
        <x:v>DRI</x:v>
      </x:c>
      <x:c r="D45" s="148" t="str">
        <x:v>費用</x:v>
      </x:c>
      <x:c r="E45" s="148" t="str">
        <x:v>ANS-BUDGET4</x:v>
      </x:c>
      <x:c r="F45" s="148" t="n">
        <x:v>4</x:v>
      </x:c>
      <x:c r="G45" s="148" t="str">
        <x:v>高いほど良好</x:v>
      </x:c>
      <x:c r="H45" s="148" t="str">
        <x:v>UNKNOWN＝L1</x:v>
      </x:c>
      <x:c r="I45" s="148" t="str">
        <x:v>なし</x:v>
      </x:c>
      <x:c r="J45" s="148" t="n">
        <x:v>80</x:v>
      </x:c>
      <x:c r="K45" s="148" t="str">
        <x:v>必須</x:v>
      </x:c>
      <x:c r="L45" s="148" t="str">
        <x:v>SC-Q306</x:v>
      </x:c>
      <x:c r="M45" s="148" t="str">
        <x:v>NONEで未準備</x:v>
      </x:c>
      <x:c r="N45" s="148" t="str">
        <x:v>DRI-BUDGET-*</x:v>
      </x:c>
      <x:c r="O45" s="149" t="str"/>
      <x:c r="P45" s="117"/>
      <x:c r="Q45" s="117"/>
      <x:c r="R45" s="117"/>
      <x:c r="S45" s="117"/>
      <x:c r="T45" s="117"/>
      <x:c r="U45" s="117"/>
      <x:c r="V45" s="117"/>
      <x:c r="W45" s="117"/>
      <x:c r="X45" s="117"/>
      <x:c r="Y45" s="117"/>
      <x:c r="Z45" s="117"/>
    </x:row>
    <x:row r="46">
      <x:c r="A46" s="147" t="str">
        <x:v>Q307</x:v>
      </x:c>
      <x:c r="B46" s="148" t="str">
        <x:v>費用比較</x:v>
      </x:c>
      <x:c r="C46" s="148" t="str">
        <x:v>DRI</x:v>
      </x:c>
      <x:c r="D46" s="148" t="str">
        <x:v>選択肢</x:v>
      </x:c>
      <x:c r="E46" s="148" t="str">
        <x:v>ANS-DECISION4</x:v>
      </x:c>
      <x:c r="F46" s="148" t="n">
        <x:v>4</x:v>
      </x:c>
      <x:c r="G46" s="148" t="str">
        <x:v>高いほど良好</x:v>
      </x:c>
      <x:c r="H46" s="148" t="str">
        <x:v>UNKNOWN＝L1</x:v>
      </x:c>
      <x:c r="I46" s="148" t="str">
        <x:v>なし</x:v>
      </x:c>
      <x:c r="J46" s="148" t="n">
        <x:v>80</x:v>
      </x:c>
      <x:c r="K46" s="148" t="str">
        <x:v>必須</x:v>
      </x:c>
      <x:c r="L46" s="148" t="str">
        <x:v>SC-Q307</x:v>
      </x:c>
      <x:c r="M46" s="148" t="str">
        <x:v>NONEで比較不能</x:v>
      </x:c>
      <x:c r="N46" s="148" t="str">
        <x:v>DRI-ALT-*</x:v>
      </x:c>
      <x:c r="O46" s="149" t="str"/>
      <x:c r="P46" s="117"/>
      <x:c r="Q46" s="117"/>
      <x:c r="R46" s="117"/>
      <x:c r="S46" s="117"/>
      <x:c r="T46" s="117"/>
      <x:c r="U46" s="117"/>
      <x:c r="V46" s="117"/>
      <x:c r="W46" s="117"/>
      <x:c r="X46" s="117"/>
      <x:c r="Y46" s="117"/>
      <x:c r="Z46" s="117"/>
    </x:row>
    <x:row r="47">
      <x:c r="A47" s="147" t="str">
        <x:v>Q308</x:v>
      </x:c>
      <x:c r="B47" s="148" t="str">
        <x:v>効果算定</x:v>
      </x:c>
      <x:c r="C47" s="148" t="str">
        <x:v>DRI</x:v>
      </x:c>
      <x:c r="D47" s="148" t="str">
        <x:v>効果</x:v>
      </x:c>
      <x:c r="E47" s="148" t="str">
        <x:v>ANS-EVIDENCE4</x:v>
      </x:c>
      <x:c r="F47" s="148" t="n">
        <x:v>4</x:v>
      </x:c>
      <x:c r="G47" s="148" t="str">
        <x:v>高いほど良好</x:v>
      </x:c>
      <x:c r="H47" s="148" t="str">
        <x:v>UNKNOWN＝L1</x:v>
      </x:c>
      <x:c r="I47" s="148" t="str">
        <x:v>なし</x:v>
      </x:c>
      <x:c r="J47" s="148" t="n">
        <x:v>80</x:v>
      </x:c>
      <x:c r="K47" s="148" t="str">
        <x:v>必須</x:v>
      </x:c>
      <x:c r="L47" s="148" t="str">
        <x:v>SC-Q308</x:v>
      </x:c>
      <x:c r="M47" s="148" t="str">
        <x:v>VERBAL以下で不足</x:v>
      </x:c>
      <x:c r="N47" s="148" t="str">
        <x:v>DRI-BENEFIT-*</x:v>
      </x:c>
      <x:c r="O47" s="149" t="str"/>
      <x:c r="P47" s="117"/>
      <x:c r="Q47" s="117"/>
      <x:c r="R47" s="117"/>
      <x:c r="S47" s="117"/>
      <x:c r="T47" s="117"/>
      <x:c r="U47" s="117"/>
      <x:c r="V47" s="117"/>
      <x:c r="W47" s="117"/>
      <x:c r="X47" s="117"/>
      <x:c r="Y47" s="117"/>
      <x:c r="Z47" s="117"/>
    </x:row>
    <x:row r="48">
      <x:c r="A48" s="147" t="str">
        <x:v>Q309</x:v>
      </x:c>
      <x:c r="B48" s="148" t="str">
        <x:v>意思決定者</x:v>
      </x:c>
      <x:c r="C48" s="148" t="str">
        <x:v>DRI</x:v>
      </x:c>
      <x:c r="D48" s="148" t="str">
        <x:v>体制</x:v>
      </x:c>
      <x:c r="E48" s="148" t="str">
        <x:v>ANS-COVERAGE4</x:v>
      </x:c>
      <x:c r="F48" s="148" t="n">
        <x:v>3</x:v>
      </x:c>
      <x:c r="G48" s="148" t="str">
        <x:v>高いほど良好</x:v>
      </x:c>
      <x:c r="H48" s="148" t="str">
        <x:v>UNKNOWN＝L1</x:v>
      </x:c>
      <x:c r="I48" s="148" t="str">
        <x:v>なし</x:v>
      </x:c>
      <x:c r="J48" s="148" t="n">
        <x:v>70</x:v>
      </x:c>
      <x:c r="K48" s="148" t="str">
        <x:v>必須</x:v>
      </x:c>
      <x:c r="L48" s="148" t="str">
        <x:v>SC-Q309</x:v>
      </x:c>
      <x:c r="M48" s="148" t="str">
        <x:v>LOWで停滞リスク</x:v>
      </x:c>
      <x:c r="N48" s="148" t="str">
        <x:v>DRI-GOV-*</x:v>
      </x:c>
      <x:c r="O48" s="149" t="str"/>
      <x:c r="P48" s="117"/>
      <x:c r="Q48" s="117"/>
      <x:c r="R48" s="117"/>
      <x:c r="S48" s="117"/>
      <x:c r="T48" s="117"/>
      <x:c r="U48" s="117"/>
      <x:c r="V48" s="117"/>
      <x:c r="W48" s="117"/>
      <x:c r="X48" s="117"/>
      <x:c r="Y48" s="117"/>
      <x:c r="Z48" s="117"/>
    </x:row>
    <x:row r="49">
      <x:c r="A49" s="147" t="str">
        <x:v>Q310</x:v>
      </x:c>
      <x:c r="B49" s="148" t="str">
        <x:v>関係部門合意</x:v>
      </x:c>
      <x:c r="C49" s="148" t="str">
        <x:v>DRI</x:v>
      </x:c>
      <x:c r="D49" s="148" t="str">
        <x:v>体制</x:v>
      </x:c>
      <x:c r="E49" s="148" t="str">
        <x:v>ANS-DECISION4</x:v>
      </x:c>
      <x:c r="F49" s="148" t="n">
        <x:v>3</x:v>
      </x:c>
      <x:c r="G49" s="148" t="str">
        <x:v>高いほど良好</x:v>
      </x:c>
      <x:c r="H49" s="148" t="str">
        <x:v>UNKNOWN＝L1</x:v>
      </x:c>
      <x:c r="I49" s="148" t="str">
        <x:v>GR-CUST候補</x:v>
      </x:c>
      <x:c r="J49" s="148" t="n">
        <x:v>70</x:v>
      </x:c>
      <x:c r="K49" s="148" t="str">
        <x:v>必須</x:v>
      </x:c>
      <x:c r="L49" s="148" t="str">
        <x:v>SC-Q310</x:v>
      </x:c>
      <x:c r="M49" s="148" t="str">
        <x:v>NONEで調整要</x:v>
      </x:c>
      <x:c r="N49" s="148" t="str">
        <x:v>DRI-ALIGN-*</x:v>
      </x:c>
      <x:c r="O49" s="149" t="str"/>
      <x:c r="P49" s="117"/>
      <x:c r="Q49" s="117"/>
      <x:c r="R49" s="117"/>
      <x:c r="S49" s="117"/>
      <x:c r="T49" s="117"/>
      <x:c r="U49" s="117"/>
      <x:c r="V49" s="117"/>
      <x:c r="W49" s="117"/>
      <x:c r="X49" s="117"/>
      <x:c r="Y49" s="117"/>
      <x:c r="Z49" s="117"/>
    </x:row>
    <x:row r="50">
      <x:c r="A50" s="147" t="str">
        <x:v>Q311</x:v>
      </x:c>
      <x:c r="B50" s="148" t="str">
        <x:v>メーカー確認</x:v>
      </x:c>
      <x:c r="C50" s="148" t="str">
        <x:v>DRI</x:v>
      </x:c>
      <x:c r="D50" s="148" t="str">
        <x:v>技術確認</x:v>
      </x:c>
      <x:c r="E50" s="148" t="str">
        <x:v>ANS-EVIDENCE4</x:v>
      </x:c>
      <x:c r="F50" s="148" t="n">
        <x:v>5</x:v>
      </x:c>
      <x:c r="G50" s="148" t="str">
        <x:v>高いほど良好</x:v>
      </x:c>
      <x:c r="H50" s="148" t="str">
        <x:v>UNKNOWN＝L1</x:v>
      </x:c>
      <x:c r="I50" s="148" t="str">
        <x:v>GR-EOL候補</x:v>
      </x:c>
      <x:c r="J50" s="148" t="n">
        <x:v>90</x:v>
      </x:c>
      <x:c r="K50" s="148" t="str">
        <x:v>必須</x:v>
      </x:c>
      <x:c r="L50" s="148" t="str">
        <x:v>SC-Q311</x:v>
      </x:c>
      <x:c r="M50" s="148" t="str">
        <x:v>VERBAL以下で確認不足</x:v>
      </x:c>
      <x:c r="N50" s="148" t="str">
        <x:v>DRI-MAKER-*</x:v>
      </x:c>
      <x:c r="O50" s="149" t="str"/>
      <x:c r="P50" s="117"/>
      <x:c r="Q50" s="117"/>
      <x:c r="R50" s="117"/>
      <x:c r="S50" s="117"/>
      <x:c r="T50" s="117"/>
      <x:c r="U50" s="117"/>
      <x:c r="V50" s="117"/>
      <x:c r="W50" s="117"/>
      <x:c r="X50" s="117"/>
      <x:c r="Y50" s="117"/>
      <x:c r="Z50" s="117"/>
    </x:row>
    <x:row r="51">
      <x:c r="A51" s="147" t="str">
        <x:v>Q312</x:v>
      </x:c>
      <x:c r="B51" s="148" t="str">
        <x:v>見積取得</x:v>
      </x:c>
      <x:c r="C51" s="148" t="str">
        <x:v>DRI</x:v>
      </x:c>
      <x:c r="D51" s="148" t="str">
        <x:v>費用</x:v>
      </x:c>
      <x:c r="E51" s="148" t="str">
        <x:v>ANS-EVIDENCE4</x:v>
      </x:c>
      <x:c r="F51" s="148" t="n">
        <x:v>4</x:v>
      </x:c>
      <x:c r="G51" s="148" t="str">
        <x:v>高いほど良好</x:v>
      </x:c>
      <x:c r="H51" s="148" t="str">
        <x:v>UNKNOWN＝L1</x:v>
      </x:c>
      <x:c r="I51" s="148" t="str">
        <x:v>なし</x:v>
      </x:c>
      <x:c r="J51" s="148" t="n">
        <x:v>90</x:v>
      </x:c>
      <x:c r="K51" s="148" t="str">
        <x:v>必須</x:v>
      </x:c>
      <x:c r="L51" s="148" t="str">
        <x:v>SC-Q312</x:v>
      </x:c>
      <x:c r="M51" s="148" t="str">
        <x:v>VERBAL以下で費用未確定</x:v>
      </x:c>
      <x:c r="N51" s="148" t="str">
        <x:v>DRI-QUOTE-*</x:v>
      </x:c>
      <x:c r="O51" s="149" t="str"/>
      <x:c r="P51" s="117"/>
      <x:c r="Q51" s="117"/>
      <x:c r="R51" s="117"/>
      <x:c r="S51" s="117"/>
      <x:c r="T51" s="117"/>
      <x:c r="U51" s="117"/>
      <x:c r="V51" s="117"/>
      <x:c r="W51" s="117"/>
      <x:c r="X51" s="117"/>
      <x:c r="Y51" s="117"/>
      <x:c r="Z51" s="117"/>
    </x:row>
    <x:row r="52">
      <x:c r="A52" s="147" t="str">
        <x:v>Q401</x:v>
      </x:c>
      <x:c r="B52" s="148" t="str">
        <x:v>対応期限</x:v>
      </x:c>
      <x:c r="C52" s="148" t="str">
        <x:v>EPI</x:v>
      </x:c>
      <x:c r="D52" s="148" t="str">
        <x:v>緊急度</x:v>
      </x:c>
      <x:c r="E52" s="148" t="str">
        <x:v>ANS-URGENCY4</x:v>
      </x:c>
      <x:c r="F52" s="148" t="n">
        <x:v>5</x:v>
      </x:c>
      <x:c r="G52" s="148" t="str">
        <x:v>高いほど早期対応</x:v>
      </x:c>
      <x:c r="H52" s="148" t="str">
        <x:v>UNKNOWN＝L1</x:v>
      </x:c>
      <x:c r="I52" s="148" t="str">
        <x:v>GR-DUE候補</x:v>
      </x:c>
      <x:c r="J52" s="148" t="n">
        <x:v>80</x:v>
      </x:c>
      <x:c r="K52" s="148" t="str">
        <x:v>必須</x:v>
      </x:c>
      <x:c r="L52" s="148" t="str">
        <x:v>SC-Q401</x:v>
      </x:c>
      <x:c r="M52" s="148" t="str">
        <x:v>NOW=最優先</x:v>
      </x:c>
      <x:c r="N52" s="148" t="str">
        <x:v>EPI-URG-*</x:v>
      </x:c>
      <x:c r="O52" s="149" t="str"/>
      <x:c r="P52" s="117"/>
      <x:c r="Q52" s="117"/>
      <x:c r="R52" s="117"/>
      <x:c r="S52" s="117"/>
      <x:c r="T52" s="117"/>
      <x:c r="U52" s="117"/>
      <x:c r="V52" s="117"/>
      <x:c r="W52" s="117"/>
      <x:c r="X52" s="117"/>
      <x:c r="Y52" s="117"/>
      <x:c r="Z52" s="117"/>
    </x:row>
    <x:row r="53">
      <x:c r="A53" s="147" t="str">
        <x:v>Q402</x:v>
      </x:c>
      <x:c r="B53" s="148" t="str">
        <x:v>停止影響把握</x:v>
      </x:c>
      <x:c r="C53" s="148" t="str">
        <x:v>EPI/DRI</x:v>
      </x:c>
      <x:c r="D53" s="148" t="str">
        <x:v>事業影響</x:v>
      </x:c>
      <x:c r="E53" s="148" t="str">
        <x:v>ANS-IMPACTVALUE4</x:v>
      </x:c>
      <x:c r="F53" s="148" t="n">
        <x:v>4</x:v>
      </x:c>
      <x:c r="G53" s="148" t="str">
        <x:v>高いほど把握良好</x:v>
      </x:c>
      <x:c r="H53" s="148" t="str">
        <x:v>UNKNOWN＝L1</x:v>
      </x:c>
      <x:c r="I53" s="148" t="str">
        <x:v>GR-BCP候補</x:v>
      </x:c>
      <x:c r="J53" s="148" t="n">
        <x:v>80</x:v>
      </x:c>
      <x:c r="K53" s="148" t="str">
        <x:v>必須</x:v>
      </x:c>
      <x:c r="L53" s="148" t="str">
        <x:v>SC-Q402</x:v>
      </x:c>
      <x:c r="M53" s="148" t="str">
        <x:v>NONE以下で影響未定</x:v>
      </x:c>
      <x:c r="N53" s="148" t="str">
        <x:v>EPI-IMPACT-*</x:v>
      </x:c>
      <x:c r="O53" s="149" t="str"/>
      <x:c r="P53" s="117"/>
      <x:c r="Q53" s="117"/>
      <x:c r="R53" s="117"/>
      <x:c r="S53" s="117"/>
      <x:c r="T53" s="117"/>
      <x:c r="U53" s="117"/>
      <x:c r="V53" s="117"/>
      <x:c r="W53" s="117"/>
      <x:c r="X53" s="117"/>
      <x:c r="Y53" s="117"/>
      <x:c r="Z53" s="117"/>
    </x:row>
    <x:row r="54">
      <x:c r="A54" s="147" t="str">
        <x:v>Q403</x:v>
      </x:c>
      <x:c r="B54" s="148" t="str">
        <x:v>故障リスク</x:v>
      </x:c>
      <x:c r="C54" s="148" t="str">
        <x:v>EPI</x:v>
      </x:c>
      <x:c r="D54" s="148" t="str">
        <x:v>故障可能性</x:v>
      </x:c>
      <x:c r="E54" s="148" t="str">
        <x:v>ANS-RISK4</x:v>
      </x:c>
      <x:c r="F54" s="148" t="n">
        <x:v>5</x:v>
      </x:c>
      <x:c r="G54" s="148" t="str">
        <x:v>高いほど早期対応</x:v>
      </x:c>
      <x:c r="H54" s="148" t="str">
        <x:v>UNKNOWN＝L1</x:v>
      </x:c>
      <x:c r="I54" s="148" t="str">
        <x:v>GR-SAF/BCP候補</x:v>
      </x:c>
      <x:c r="J54" s="148" t="n">
        <x:v>80</x:v>
      </x:c>
      <x:c r="K54" s="148" t="str">
        <x:v>必須</x:v>
      </x:c>
      <x:c r="L54" s="148" t="str">
        <x:v>SC-Q403</x:v>
      </x:c>
      <x:c r="M54" s="148" t="str">
        <x:v>HIGH=早期</x:v>
      </x:c>
      <x:c r="N54" s="148" t="str">
        <x:v>EPI-RISK-*</x:v>
      </x:c>
      <x:c r="O54" s="149" t="str"/>
      <x:c r="P54" s="117"/>
      <x:c r="Q54" s="117"/>
      <x:c r="R54" s="117"/>
      <x:c r="S54" s="117"/>
      <x:c r="T54" s="117"/>
      <x:c r="U54" s="117"/>
      <x:c r="V54" s="117"/>
      <x:c r="W54" s="117"/>
      <x:c r="X54" s="117"/>
      <x:c r="Y54" s="117"/>
      <x:c r="Z54" s="117"/>
    </x:row>
    <x:row r="55">
      <x:c r="A55" s="147" t="str">
        <x:v>Q404</x:v>
      </x:c>
      <x:c r="B55" s="148" t="str">
        <x:v>供給リスク</x:v>
      </x:c>
      <x:c r="C55" s="148" t="str">
        <x:v>EPI</x:v>
      </x:c>
      <x:c r="D55" s="148" t="str">
        <x:v>供給</x:v>
      </x:c>
      <x:c r="E55" s="148" t="str">
        <x:v>ANS-SEVERITY4</x:v>
      </x:c>
      <x:c r="F55" s="148" t="n">
        <x:v>5</x:v>
      </x:c>
      <x:c r="G55" s="148" t="str">
        <x:v>重大ほど早期対応</x:v>
      </x:c>
      <x:c r="H55" s="148" t="str">
        <x:v>UNKNOWN＝L1</x:v>
      </x:c>
      <x:c r="I55" s="148" t="str">
        <x:v>GR-EOL候補</x:v>
      </x:c>
      <x:c r="J55" s="148" t="n">
        <x:v>80</x:v>
      </x:c>
      <x:c r="K55" s="148" t="str">
        <x:v>必須</x:v>
      </x:c>
      <x:c r="L55" s="148" t="str">
        <x:v>SC-Q404</x:v>
      </x:c>
      <x:c r="M55" s="148" t="str">
        <x:v>CRITICAL=Guardrail</x:v>
      </x:c>
      <x:c r="N55" s="148" t="str">
        <x:v>EPI-SUPPLY-*</x:v>
      </x:c>
      <x:c r="O55" s="149" t="str"/>
      <x:c r="P55" s="117"/>
      <x:c r="Q55" s="117"/>
      <x:c r="R55" s="117"/>
      <x:c r="S55" s="117"/>
      <x:c r="T55" s="117"/>
      <x:c r="U55" s="117"/>
      <x:c r="V55" s="117"/>
      <x:c r="W55" s="117"/>
      <x:c r="X55" s="117"/>
      <x:c r="Y55" s="117"/>
      <x:c r="Z55" s="117"/>
    </x:row>
    <x:row r="56">
      <x:c r="A56" s="147" t="str">
        <x:v>Q405</x:v>
      </x:c>
      <x:c r="B56" s="148" t="str">
        <x:v>実施機会</x:v>
      </x:c>
      <x:c r="C56" s="148" t="str">
        <x:v>EPI</x:v>
      </x:c>
      <x:c r="D56" s="148" t="str">
        <x:v>実行時期</x:v>
      </x:c>
      <x:c r="E56" s="148" t="str">
        <x:v>ANS-OPPORTUNITY4</x:v>
      </x:c>
      <x:c r="F56" s="148" t="n">
        <x:v>3</x:v>
      </x:c>
      <x:c r="G56" s="148" t="str">
        <x:v>高いほど早期実施好機</x:v>
      </x:c>
      <x:c r="H56" s="148" t="str">
        <x:v>UNKNOWN＝L1</x:v>
      </x:c>
      <x:c r="I56" s="148" t="str">
        <x:v>GR-DUE候補</x:v>
      </x:c>
      <x:c r="J56" s="148" t="n">
        <x:v>70</x:v>
      </x:c>
      <x:c r="K56" s="148" t="str">
        <x:v>必須</x:v>
      </x:c>
      <x:c r="L56" s="148" t="str">
        <x:v>SC-Q405</x:v>
      </x:c>
      <x:c r="M56" s="148" t="str">
        <x:v>SOONで前倒し</x:v>
      </x:c>
      <x:c r="N56" s="148" t="str">
        <x:v>EPI-WINDOW-*</x:v>
      </x:c>
      <x:c r="O56" s="149" t="str"/>
      <x:c r="P56" s="117"/>
      <x:c r="Q56" s="117"/>
      <x:c r="R56" s="117"/>
      <x:c r="S56" s="117"/>
      <x:c r="T56" s="117"/>
      <x:c r="U56" s="117"/>
      <x:c r="V56" s="117"/>
      <x:c r="W56" s="117"/>
      <x:c r="X56" s="117"/>
      <x:c r="Y56" s="117"/>
      <x:c r="Z56" s="117"/>
    </x:row>
    <x:row r="57">
      <x:c r="A57" s="147" t="str">
        <x:v>Q406</x:v>
      </x:c>
      <x:c r="B57" s="148" t="str">
        <x:v>省エネ効果</x:v>
      </x:c>
      <x:c r="C57" s="148" t="str">
        <x:v>EPI</x:v>
      </x:c>
      <x:c r="D57" s="148" t="str">
        <x:v>効果</x:v>
      </x:c>
      <x:c r="E57" s="148" t="str">
        <x:v>ANS-BENEFIT4</x:v>
      </x:c>
      <x:c r="F57" s="148" t="n">
        <x:v>3</x:v>
      </x:c>
      <x:c r="G57" s="148" t="str">
        <x:v>高いほど優先度高</x:v>
      </x:c>
      <x:c r="H57" s="148" t="str">
        <x:v>UNKNOWN＝L1</x:v>
      </x:c>
      <x:c r="I57" s="148" t="str">
        <x:v>なし</x:v>
      </x:c>
      <x:c r="J57" s="148" t="n">
        <x:v>80</x:v>
      </x:c>
      <x:c r="K57" s="148" t="str">
        <x:v>必須</x:v>
      </x:c>
      <x:c r="L57" s="148" t="str">
        <x:v>SC-Q406</x:v>
      </x:c>
      <x:c r="M57" s="148" t="str">
        <x:v>HIGHで投資候補</x:v>
      </x:c>
      <x:c r="N57" s="148" t="str">
        <x:v>EPI-ENE-*</x:v>
      </x:c>
      <x:c r="O57" s="149" t="str"/>
      <x:c r="P57" s="117"/>
      <x:c r="Q57" s="117"/>
      <x:c r="R57" s="117"/>
      <x:c r="S57" s="117"/>
      <x:c r="T57" s="117"/>
      <x:c r="U57" s="117"/>
      <x:c r="V57" s="117"/>
      <x:c r="W57" s="117"/>
      <x:c r="X57" s="117"/>
      <x:c r="Y57" s="117"/>
      <x:c r="Z57" s="117"/>
    </x:row>
    <x:row r="58">
      <x:c r="A58" s="147" t="str">
        <x:v>Q407</x:v>
      </x:c>
      <x:c r="B58" s="148" t="str">
        <x:v>予算年度</x:v>
      </x:c>
      <x:c r="C58" s="148" t="str">
        <x:v>EPI</x:v>
      </x:c>
      <x:c r="D58" s="148" t="str">
        <x:v>期限</x:v>
      </x:c>
      <x:c r="E58" s="148" t="str">
        <x:v>ANS-DEADLINE4</x:v>
      </x:c>
      <x:c r="F58" s="148" t="n">
        <x:v>4</x:v>
      </x:c>
      <x:c r="G58" s="148" t="str">
        <x:v>短いほど優先度高</x:v>
      </x:c>
      <x:c r="H58" s="148" t="str">
        <x:v>UNKNOWN＝L1</x:v>
      </x:c>
      <x:c r="I58" s="148" t="str">
        <x:v>GR-DUE候補</x:v>
      </x:c>
      <x:c r="J58" s="148" t="n">
        <x:v>80</x:v>
      </x:c>
      <x:c r="K58" s="148" t="str">
        <x:v>必須</x:v>
      </x:c>
      <x:c r="L58" s="148" t="str">
        <x:v>SC-Q407</x:v>
      </x:c>
      <x:c r="M58" s="148" t="str">
        <x:v>M3でGuardrail候補</x:v>
      </x:c>
      <x:c r="N58" s="148" t="str">
        <x:v>EPI-BUDGET-*</x:v>
      </x:c>
      <x:c r="O58" s="149" t="str"/>
      <x:c r="P58" s="117"/>
      <x:c r="Q58" s="117"/>
      <x:c r="R58" s="117"/>
      <x:c r="S58" s="117"/>
      <x:c r="T58" s="117"/>
      <x:c r="U58" s="117"/>
      <x:c r="V58" s="117"/>
      <x:c r="W58" s="117"/>
      <x:c r="X58" s="117"/>
      <x:c r="Y58" s="117"/>
      <x:c r="Z58" s="117"/>
    </x:row>
    <x:row r="59">
      <x:c r="A59" s="147" t="str">
        <x:v>Q408</x:v>
      </x:c>
      <x:c r="B59" s="148" t="str">
        <x:v>監査要求</x:v>
      </x:c>
      <x:c r="C59" s="148" t="str">
        <x:v>EPI</x:v>
      </x:c>
      <x:c r="D59" s="148" t="str">
        <x:v>外部要求</x:v>
      </x:c>
      <x:c r="E59" s="148" t="str">
        <x:v>ANS-FINDING4</x:v>
      </x:c>
      <x:c r="F59" s="148" t="n">
        <x:v>5</x:v>
      </x:c>
      <x:c r="G59" s="148" t="str">
        <x:v>重大ほど優先度高</x:v>
      </x:c>
      <x:c r="H59" s="148" t="str">
        <x:v>UNKNOWN＝L1</x:v>
      </x:c>
      <x:c r="I59" s="148" t="str">
        <x:v>GR-LEG/CUST候補</x:v>
      </x:c>
      <x:c r="J59" s="148" t="n">
        <x:v>90</x:v>
      </x:c>
      <x:c r="K59" s="148" t="str">
        <x:v>必須</x:v>
      </x:c>
      <x:c r="L59" s="148" t="str">
        <x:v>SC-Q408</x:v>
      </x:c>
      <x:c r="M59" s="148" t="str">
        <x:v>CRITICAL=Guardrail</x:v>
      </x:c>
      <x:c r="N59" s="148" t="str">
        <x:v>EPI-AUDIT-*</x:v>
      </x:c>
      <x:c r="O59" s="149" t="str"/>
      <x:c r="P59" s="117"/>
      <x:c r="Q59" s="117"/>
      <x:c r="R59" s="117"/>
      <x:c r="S59" s="117"/>
      <x:c r="T59" s="117"/>
      <x:c r="U59" s="117"/>
      <x:c r="V59" s="117"/>
      <x:c r="W59" s="117"/>
      <x:c r="X59" s="117"/>
      <x:c r="Y59" s="117"/>
      <x:c r="Z59" s="117"/>
    </x:row>
    <x:row r="60">
      <x:c r="A60" s="158" t="str">
        <x:v>Q409</x:v>
      </x:c>
      <x:c r="B60" s="159" t="str">
        <x:v>事業計画連動</x:v>
      </x:c>
      <x:c r="C60" s="159" t="str">
        <x:v>EPI/DRI</x:v>
      </x:c>
      <x:c r="D60" s="159" t="str">
        <x:v>機会</x:v>
      </x:c>
      <x:c r="E60" s="159" t="str">
        <x:v>ANS-OPPORTUNITY4</x:v>
      </x:c>
      <x:c r="F60" s="159" t="n">
        <x:v>3</x:v>
      </x:c>
      <x:c r="G60" s="159" t="str">
        <x:v>高いほど実施優先</x:v>
      </x:c>
      <x:c r="H60" s="159" t="str">
        <x:v>UNKNOWN＝L1</x:v>
      </x:c>
      <x:c r="I60" s="159" t="str">
        <x:v>GR-DUE候補</x:v>
      </x:c>
      <x:c r="J60" s="159" t="n">
        <x:v>70</x:v>
      </x:c>
      <x:c r="K60" s="159" t="str">
        <x:v>必須</x:v>
      </x:c>
      <x:c r="L60" s="159" t="str">
        <x:v>SC-Q409</x:v>
      </x:c>
      <x:c r="M60" s="159" t="str">
        <x:v>SOONで同時実施</x:v>
      </x:c>
      <x:c r="N60" s="159" t="str">
        <x:v>EPI-BIZ-*</x:v>
      </x:c>
      <x:c r="O60" s="160" t="str"/>
      <x:c r="P60" s="117"/>
      <x:c r="Q60" s="117"/>
      <x:c r="R60" s="117"/>
      <x:c r="S60" s="117"/>
      <x:c r="T60" s="117"/>
      <x:c r="U60" s="117"/>
      <x:c r="V60" s="117"/>
      <x:c r="W60" s="117"/>
      <x:c r="X60" s="117"/>
      <x:c r="Y60" s="117"/>
      <x:c r="Z60" s="117"/>
    </x:row>
    <x:row r="61">
      <x:c r="A61" s="117"/>
      <x:c r="B61" s="117"/>
      <x:c r="C61" s="117"/>
      <x:c r="D61" s="117"/>
      <x:c r="E61" s="117"/>
      <x:c r="F61" s="117"/>
      <x:c r="G61" s="117"/>
      <x:c r="H61" s="117"/>
      <x:c r="I61" s="117"/>
      <x:c r="J61" s="117"/>
      <x:c r="K61" s="117"/>
      <x:c r="L61" s="117"/>
      <x:c r="M61" s="117"/>
      <x:c r="N61" s="117"/>
      <x:c r="O61" s="117"/>
      <x:c r="P61" s="117"/>
      <x:c r="Q61" s="117"/>
      <x:c r="R61" s="117"/>
      <x:c r="S61" s="117"/>
      <x:c r="T61" s="117"/>
      <x:c r="U61" s="117"/>
      <x:c r="V61" s="117"/>
      <x:c r="W61" s="117"/>
      <x:c r="X61" s="117"/>
      <x:c r="Y61" s="117"/>
      <x:c r="Z61" s="117"/>
    </x:row>
    <x:row r="62">
      <x:c r="A62" s="117"/>
      <x:c r="B62" s="117"/>
      <x:c r="C62" s="117"/>
      <x:c r="D62" s="117"/>
      <x:c r="E62" s="117"/>
      <x:c r="F62" s="117"/>
      <x:c r="G62" s="117"/>
      <x:c r="H62" s="117"/>
      <x:c r="I62" s="117"/>
      <x:c r="J62" s="117"/>
      <x:c r="K62" s="117"/>
      <x:c r="L62" s="117"/>
      <x:c r="M62" s="117"/>
      <x:c r="N62" s="117"/>
      <x:c r="O62" s="117"/>
      <x:c r="P62" s="117"/>
      <x:c r="Q62" s="117"/>
      <x:c r="R62" s="117"/>
      <x:c r="S62" s="117"/>
      <x:c r="T62" s="117"/>
      <x:c r="U62" s="117"/>
      <x:c r="V62" s="117"/>
      <x:c r="W62" s="117"/>
      <x:c r="X62" s="117"/>
      <x:c r="Y62" s="117"/>
      <x:c r="Z62" s="117"/>
    </x:row>
    <x:row r="63">
      <x:c r="A63" s="117"/>
      <x:c r="B63" s="117"/>
      <x:c r="C63" s="117"/>
      <x:c r="D63" s="117"/>
      <x:c r="E63" s="117"/>
      <x:c r="F63" s="117"/>
      <x:c r="G63" s="117"/>
      <x:c r="H63" s="117"/>
      <x:c r="I63" s="117"/>
      <x:c r="J63" s="117"/>
      <x:c r="K63" s="117"/>
      <x:c r="L63" s="117"/>
      <x:c r="M63" s="117"/>
      <x:c r="N63" s="117"/>
      <x:c r="O63" s="117"/>
      <x:c r="P63" s="117"/>
      <x:c r="Q63" s="117"/>
      <x:c r="R63" s="117"/>
      <x:c r="S63" s="117"/>
      <x:c r="T63" s="117"/>
      <x:c r="U63" s="117"/>
      <x:c r="V63" s="117"/>
      <x:c r="W63" s="117"/>
      <x:c r="X63" s="117"/>
      <x:c r="Y63" s="117"/>
      <x:c r="Z63" s="117"/>
    </x:row>
    <x:row r="64">
      <x:c r="A64" s="117"/>
      <x:c r="B64" s="117"/>
      <x:c r="C64" s="117"/>
      <x:c r="D64" s="117"/>
      <x:c r="E64" s="117"/>
      <x:c r="F64" s="117"/>
      <x:c r="G64" s="117"/>
      <x:c r="H64" s="117"/>
      <x:c r="I64" s="117"/>
      <x:c r="J64" s="117"/>
      <x:c r="K64" s="117"/>
      <x:c r="L64" s="117"/>
      <x:c r="M64" s="117"/>
      <x:c r="N64" s="117"/>
      <x:c r="O64" s="117"/>
      <x:c r="P64" s="117"/>
      <x:c r="Q64" s="117"/>
      <x:c r="R64" s="117"/>
      <x:c r="S64" s="117"/>
      <x:c r="T64" s="117"/>
      <x:c r="U64" s="117"/>
      <x:c r="V64" s="117"/>
      <x:c r="W64" s="117"/>
      <x:c r="X64" s="117"/>
      <x:c r="Y64" s="117"/>
      <x:c r="Z64" s="117"/>
    </x:row>
    <x:row r="65">
      <x:c r="A65" s="117"/>
      <x:c r="B65" s="117"/>
      <x:c r="C65" s="117"/>
      <x:c r="D65" s="117"/>
      <x:c r="E65" s="117"/>
      <x:c r="F65" s="117"/>
      <x:c r="G65" s="117"/>
      <x:c r="H65" s="117"/>
      <x:c r="I65" s="117"/>
      <x:c r="J65" s="117"/>
      <x:c r="K65" s="117"/>
      <x:c r="L65" s="117"/>
      <x:c r="M65" s="117"/>
      <x:c r="N65" s="117"/>
      <x:c r="O65" s="117"/>
      <x:c r="P65" s="117"/>
      <x:c r="Q65" s="117"/>
      <x:c r="R65" s="117"/>
      <x:c r="S65" s="117"/>
      <x:c r="T65" s="117"/>
      <x:c r="U65" s="117"/>
      <x:c r="V65" s="117"/>
      <x:c r="W65" s="117"/>
      <x:c r="X65" s="117"/>
      <x:c r="Y65" s="117"/>
      <x:c r="Z65" s="117"/>
    </x:row>
    <x:row r="66">
      <x:c r="A66" s="117"/>
      <x:c r="B66" s="117"/>
      <x:c r="C66" s="117"/>
      <x:c r="D66" s="117"/>
      <x:c r="E66" s="117"/>
      <x:c r="F66" s="117"/>
      <x:c r="G66" s="117"/>
      <x:c r="H66" s="117"/>
      <x:c r="I66" s="117"/>
      <x:c r="J66" s="117"/>
      <x:c r="K66" s="117"/>
      <x:c r="L66" s="117"/>
      <x:c r="M66" s="117"/>
      <x:c r="N66" s="117"/>
      <x:c r="O66" s="117"/>
      <x:c r="P66" s="117"/>
      <x:c r="Q66" s="117"/>
      <x:c r="R66" s="117"/>
      <x:c r="S66" s="117"/>
      <x:c r="T66" s="117"/>
      <x:c r="U66" s="117"/>
      <x:c r="V66" s="117"/>
      <x:c r="W66" s="117"/>
      <x:c r="X66" s="117"/>
      <x:c r="Y66" s="117"/>
      <x:c r="Z66" s="117"/>
    </x:row>
    <x:row r="67">
      <x:c r="A67" s="117"/>
      <x:c r="B67" s="117"/>
      <x:c r="C67" s="117"/>
      <x:c r="D67" s="117"/>
      <x:c r="E67" s="117"/>
      <x:c r="F67" s="117"/>
      <x:c r="G67" s="117"/>
      <x:c r="H67" s="117"/>
      <x:c r="I67" s="117"/>
      <x:c r="J67" s="117"/>
      <x:c r="K67" s="117"/>
      <x:c r="L67" s="117"/>
      <x:c r="M67" s="117"/>
      <x:c r="N67" s="117"/>
      <x:c r="O67" s="117"/>
      <x:c r="P67" s="117"/>
      <x:c r="Q67" s="117"/>
      <x:c r="R67" s="117"/>
      <x:c r="S67" s="117"/>
      <x:c r="T67" s="117"/>
      <x:c r="U67" s="117"/>
      <x:c r="V67" s="117"/>
      <x:c r="W67" s="117"/>
      <x:c r="X67" s="117"/>
      <x:c r="Y67" s="117"/>
      <x:c r="Z67" s="117"/>
    </x:row>
    <x:row r="68">
      <x:c r="A68" s="117"/>
      <x:c r="B68" s="117"/>
      <x:c r="C68" s="117"/>
      <x:c r="D68" s="117"/>
      <x:c r="E68" s="117"/>
      <x:c r="F68" s="117"/>
      <x:c r="G68" s="117"/>
      <x:c r="H68" s="117"/>
      <x:c r="I68" s="117"/>
      <x:c r="J68" s="117"/>
      <x:c r="K68" s="117"/>
      <x:c r="L68" s="117"/>
      <x:c r="M68" s="117"/>
      <x:c r="N68" s="117"/>
      <x:c r="O68" s="117"/>
      <x:c r="P68" s="117"/>
      <x:c r="Q68" s="117"/>
      <x:c r="R68" s="117"/>
      <x:c r="S68" s="117"/>
      <x:c r="T68" s="117"/>
      <x:c r="U68" s="117"/>
      <x:c r="V68" s="117"/>
      <x:c r="W68" s="117"/>
      <x:c r="X68" s="117"/>
      <x:c r="Y68" s="117"/>
      <x:c r="Z68" s="117"/>
    </x:row>
    <x:row r="69">
      <x:c r="A69" s="117"/>
      <x:c r="B69" s="117"/>
      <x:c r="C69" s="117"/>
      <x:c r="D69" s="117"/>
      <x:c r="E69" s="117"/>
      <x:c r="F69" s="117"/>
      <x:c r="G69" s="117"/>
      <x:c r="H69" s="117"/>
      <x:c r="I69" s="117"/>
      <x:c r="J69" s="117"/>
      <x:c r="K69" s="117"/>
      <x:c r="L69" s="117"/>
      <x:c r="M69" s="117"/>
      <x:c r="N69" s="117"/>
      <x:c r="O69" s="117"/>
      <x:c r="P69" s="117"/>
      <x:c r="Q69" s="117"/>
      <x:c r="R69" s="117"/>
      <x:c r="S69" s="117"/>
      <x:c r="T69" s="117"/>
      <x:c r="U69" s="117"/>
      <x:c r="V69" s="117"/>
      <x:c r="W69" s="117"/>
      <x:c r="X69" s="117"/>
      <x:c r="Y69" s="117"/>
      <x:c r="Z69" s="117"/>
    </x:row>
    <x:row r="70">
      <x:c r="A70" s="117"/>
      <x:c r="B70" s="117"/>
      <x:c r="C70" s="117"/>
      <x:c r="D70" s="117"/>
      <x:c r="E70" s="117"/>
      <x:c r="F70" s="117"/>
      <x:c r="G70" s="117"/>
      <x:c r="H70" s="117"/>
      <x:c r="I70" s="117"/>
      <x:c r="J70" s="117"/>
      <x:c r="K70" s="117"/>
      <x:c r="L70" s="117"/>
      <x:c r="M70" s="117"/>
      <x:c r="N70" s="117"/>
      <x:c r="O70" s="117"/>
      <x:c r="P70" s="117"/>
      <x:c r="Q70" s="117"/>
      <x:c r="R70" s="117"/>
      <x:c r="S70" s="117"/>
      <x:c r="T70" s="117"/>
      <x:c r="U70" s="117"/>
      <x:c r="V70" s="117"/>
      <x:c r="W70" s="117"/>
      <x:c r="X70" s="117"/>
      <x:c r="Y70" s="117"/>
      <x:c r="Z70" s="117"/>
    </x:row>
    <x:row r="71">
      <x:c r="A71" s="117"/>
      <x:c r="B71" s="117"/>
      <x:c r="C71" s="117"/>
      <x:c r="D71" s="117"/>
      <x:c r="E71" s="117"/>
      <x:c r="F71" s="117"/>
      <x:c r="G71" s="117"/>
      <x:c r="H71" s="117"/>
      <x:c r="I71" s="117"/>
      <x:c r="J71" s="117"/>
      <x:c r="K71" s="117"/>
      <x:c r="L71" s="117"/>
      <x:c r="M71" s="117"/>
      <x:c r="N71" s="117"/>
      <x:c r="O71" s="117"/>
      <x:c r="P71" s="117"/>
      <x:c r="Q71" s="117"/>
      <x:c r="R71" s="117"/>
      <x:c r="S71" s="117"/>
      <x:c r="T71" s="117"/>
      <x:c r="U71" s="117"/>
      <x:c r="V71" s="117"/>
      <x:c r="W71" s="117"/>
      <x:c r="X71" s="117"/>
      <x:c r="Y71" s="117"/>
      <x:c r="Z71" s="117"/>
    </x:row>
    <x:row r="72">
      <x:c r="A72" s="117"/>
      <x:c r="B72" s="117"/>
      <x:c r="C72" s="117"/>
      <x:c r="D72" s="117"/>
      <x:c r="E72" s="117"/>
      <x:c r="F72" s="117"/>
      <x:c r="G72" s="117"/>
      <x:c r="H72" s="117"/>
      <x:c r="I72" s="117"/>
      <x:c r="J72" s="117"/>
      <x:c r="K72" s="117"/>
      <x:c r="L72" s="117"/>
      <x:c r="M72" s="117"/>
      <x:c r="N72" s="117"/>
      <x:c r="O72" s="117"/>
      <x:c r="P72" s="117"/>
      <x:c r="Q72" s="117"/>
      <x:c r="R72" s="117"/>
      <x:c r="S72" s="117"/>
      <x:c r="T72" s="117"/>
      <x:c r="U72" s="117"/>
      <x:c r="V72" s="117"/>
      <x:c r="W72" s="117"/>
      <x:c r="X72" s="117"/>
      <x:c r="Y72" s="117"/>
      <x:c r="Z72" s="117"/>
    </x:row>
    <x:row r="73">
      <x:c r="A73" s="117"/>
      <x:c r="B73" s="117"/>
      <x:c r="C73" s="117"/>
      <x:c r="D73" s="117"/>
      <x:c r="E73" s="117"/>
      <x:c r="F73" s="117"/>
      <x:c r="G73" s="117"/>
      <x:c r="H73" s="117"/>
      <x:c r="I73" s="117"/>
      <x:c r="J73" s="117"/>
      <x:c r="K73" s="117"/>
      <x:c r="L73" s="117"/>
      <x:c r="M73" s="117"/>
      <x:c r="N73" s="117"/>
      <x:c r="O73" s="117"/>
      <x:c r="P73" s="117"/>
      <x:c r="Q73" s="117"/>
      <x:c r="R73" s="117"/>
      <x:c r="S73" s="117"/>
      <x:c r="T73" s="117"/>
      <x:c r="U73" s="117"/>
      <x:c r="V73" s="117"/>
      <x:c r="W73" s="117"/>
      <x:c r="X73" s="117"/>
      <x:c r="Y73" s="117"/>
      <x:c r="Z73" s="117"/>
    </x:row>
    <x:row r="74">
      <x:c r="A74" s="117"/>
      <x:c r="B74" s="117"/>
      <x:c r="C74" s="117"/>
      <x:c r="D74" s="117"/>
      <x:c r="E74" s="117"/>
      <x:c r="F74" s="117"/>
      <x:c r="G74" s="117"/>
      <x:c r="H74" s="117"/>
      <x:c r="I74" s="117"/>
      <x:c r="J74" s="117"/>
      <x:c r="K74" s="117"/>
      <x:c r="L74" s="117"/>
      <x:c r="M74" s="117"/>
      <x:c r="N74" s="117"/>
      <x:c r="O74" s="117"/>
      <x:c r="P74" s="117"/>
      <x:c r="Q74" s="117"/>
      <x:c r="R74" s="117"/>
      <x:c r="S74" s="117"/>
      <x:c r="T74" s="117"/>
      <x:c r="U74" s="117"/>
      <x:c r="V74" s="117"/>
      <x:c r="W74" s="117"/>
      <x:c r="X74" s="117"/>
      <x:c r="Y74" s="117"/>
      <x:c r="Z74" s="117"/>
    </x:row>
    <x:row r="75">
      <x:c r="A75" s="117"/>
      <x:c r="B75" s="117"/>
      <x:c r="C75" s="117"/>
      <x:c r="D75" s="117"/>
      <x:c r="E75" s="117"/>
      <x:c r="F75" s="117"/>
      <x:c r="G75" s="117"/>
      <x:c r="H75" s="117"/>
      <x:c r="I75" s="117"/>
      <x:c r="J75" s="117"/>
      <x:c r="K75" s="117"/>
      <x:c r="L75" s="117"/>
      <x:c r="M75" s="117"/>
      <x:c r="N75" s="117"/>
      <x:c r="O75" s="117"/>
      <x:c r="P75" s="117"/>
      <x:c r="Q75" s="117"/>
      <x:c r="R75" s="117"/>
      <x:c r="S75" s="117"/>
      <x:c r="T75" s="117"/>
      <x:c r="U75" s="117"/>
      <x:c r="V75" s="117"/>
      <x:c r="W75" s="117"/>
      <x:c r="X75" s="117"/>
      <x:c r="Y75" s="117"/>
      <x:c r="Z75" s="117"/>
    </x:row>
    <x:row r="76">
      <x:c r="A76" s="117"/>
      <x:c r="B76" s="117"/>
      <x:c r="C76" s="117"/>
      <x:c r="D76" s="117"/>
      <x:c r="E76" s="117"/>
      <x:c r="F76" s="117"/>
      <x:c r="G76" s="117"/>
      <x:c r="H76" s="117"/>
      <x:c r="I76" s="117"/>
      <x:c r="J76" s="117"/>
      <x:c r="K76" s="117"/>
      <x:c r="L76" s="117"/>
      <x:c r="M76" s="117"/>
      <x:c r="N76" s="117"/>
      <x:c r="O76" s="117"/>
      <x:c r="P76" s="117"/>
      <x:c r="Q76" s="117"/>
      <x:c r="R76" s="117"/>
      <x:c r="S76" s="117"/>
      <x:c r="T76" s="117"/>
      <x:c r="U76" s="117"/>
      <x:c r="V76" s="117"/>
      <x:c r="W76" s="117"/>
      <x:c r="X76" s="117"/>
      <x:c r="Y76" s="117"/>
      <x:c r="Z76" s="117"/>
    </x:row>
    <x:row r="77">
      <x:c r="A77" s="117"/>
      <x:c r="B77" s="117"/>
      <x:c r="C77" s="117"/>
      <x:c r="D77" s="117"/>
      <x:c r="E77" s="117"/>
      <x:c r="F77" s="117"/>
      <x:c r="G77" s="117"/>
      <x:c r="H77" s="117"/>
      <x:c r="I77" s="117"/>
      <x:c r="J77" s="117"/>
      <x:c r="K77" s="117"/>
      <x:c r="L77" s="117"/>
      <x:c r="M77" s="117"/>
      <x:c r="N77" s="117"/>
      <x:c r="O77" s="117"/>
      <x:c r="P77" s="117"/>
      <x:c r="Q77" s="117"/>
      <x:c r="R77" s="117"/>
      <x:c r="S77" s="117"/>
      <x:c r="T77" s="117"/>
      <x:c r="U77" s="117"/>
      <x:c r="V77" s="117"/>
      <x:c r="W77" s="117"/>
      <x:c r="X77" s="117"/>
      <x:c r="Y77" s="117"/>
      <x:c r="Z77" s="117"/>
    </x:row>
    <x:row r="78">
      <x:c r="A78" s="117"/>
      <x:c r="B78" s="117"/>
      <x:c r="C78" s="117"/>
      <x:c r="D78" s="117"/>
      <x:c r="E78" s="117"/>
      <x:c r="F78" s="117"/>
      <x:c r="G78" s="117"/>
      <x:c r="H78" s="117"/>
      <x:c r="I78" s="117"/>
      <x:c r="J78" s="117"/>
      <x:c r="K78" s="117"/>
      <x:c r="L78" s="117"/>
      <x:c r="M78" s="117"/>
      <x:c r="N78" s="117"/>
      <x:c r="O78" s="117"/>
      <x:c r="P78" s="117"/>
      <x:c r="Q78" s="117"/>
      <x:c r="R78" s="117"/>
      <x:c r="S78" s="117"/>
      <x:c r="T78" s="117"/>
      <x:c r="U78" s="117"/>
      <x:c r="V78" s="117"/>
      <x:c r="W78" s="117"/>
      <x:c r="X78" s="117"/>
      <x:c r="Y78" s="117"/>
      <x:c r="Z78" s="117"/>
    </x:row>
    <x:row r="79">
      <x:c r="A79" s="117"/>
      <x:c r="B79" s="117"/>
      <x:c r="C79" s="117"/>
      <x:c r="D79" s="117"/>
      <x:c r="E79" s="117"/>
      <x:c r="F79" s="117"/>
      <x:c r="G79" s="117"/>
      <x:c r="H79" s="117"/>
      <x:c r="I79" s="117"/>
      <x:c r="J79" s="117"/>
      <x:c r="K79" s="117"/>
      <x:c r="L79" s="117"/>
      <x:c r="M79" s="117"/>
      <x:c r="N79" s="117"/>
      <x:c r="O79" s="117"/>
      <x:c r="P79" s="117"/>
      <x:c r="Q79" s="117"/>
      <x:c r="R79" s="117"/>
      <x:c r="S79" s="117"/>
      <x:c r="T79" s="117"/>
      <x:c r="U79" s="117"/>
      <x:c r="V79" s="117"/>
      <x:c r="W79" s="117"/>
      <x:c r="X79" s="117"/>
      <x:c r="Y79" s="117"/>
      <x:c r="Z79" s="117"/>
    </x:row>
    <x:row r="80">
      <x:c r="A80" s="117"/>
      <x:c r="B80" s="117"/>
      <x:c r="C80" s="117"/>
      <x:c r="D80" s="117"/>
      <x:c r="E80" s="117"/>
      <x:c r="F80" s="117"/>
      <x:c r="G80" s="117"/>
      <x:c r="H80" s="117"/>
      <x:c r="I80" s="117"/>
      <x:c r="J80" s="117"/>
      <x:c r="K80" s="117"/>
      <x:c r="L80" s="117"/>
      <x:c r="M80" s="117"/>
      <x:c r="N80" s="117"/>
      <x:c r="O80" s="117"/>
      <x:c r="P80" s="117"/>
      <x:c r="Q80" s="117"/>
      <x:c r="R80" s="117"/>
      <x:c r="S80" s="117"/>
      <x:c r="T80" s="117"/>
      <x:c r="U80" s="117"/>
      <x:c r="V80" s="117"/>
      <x:c r="W80" s="117"/>
      <x:c r="X80" s="117"/>
      <x:c r="Y80" s="117"/>
      <x:c r="Z80" s="117"/>
    </x:row>
    <x:row r="81">
      <x:c r="A81" s="117"/>
      <x:c r="B81" s="117"/>
      <x:c r="C81" s="117"/>
      <x:c r="D81" s="117"/>
      <x:c r="E81" s="117"/>
      <x:c r="F81" s="117"/>
      <x:c r="G81" s="117"/>
      <x:c r="H81" s="117"/>
      <x:c r="I81" s="117"/>
      <x:c r="J81" s="117"/>
      <x:c r="K81" s="117"/>
      <x:c r="L81" s="117"/>
      <x:c r="M81" s="117"/>
      <x:c r="N81" s="117"/>
      <x:c r="O81" s="117"/>
      <x:c r="P81" s="117"/>
      <x:c r="Q81" s="117"/>
      <x:c r="R81" s="117"/>
      <x:c r="S81" s="117"/>
      <x:c r="T81" s="117"/>
      <x:c r="U81" s="117"/>
      <x:c r="V81" s="117"/>
      <x:c r="W81" s="117"/>
      <x:c r="X81" s="117"/>
      <x:c r="Y81" s="117"/>
      <x:c r="Z81" s="117"/>
    </x:row>
    <x:row r="82">
      <x:c r="A82" s="117"/>
      <x:c r="B82" s="117"/>
      <x:c r="C82" s="117"/>
      <x:c r="D82" s="117"/>
      <x:c r="E82" s="117"/>
      <x:c r="F82" s="117"/>
      <x:c r="G82" s="117"/>
      <x:c r="H82" s="117"/>
      <x:c r="I82" s="117"/>
      <x:c r="J82" s="117"/>
      <x:c r="K82" s="117"/>
      <x:c r="L82" s="117"/>
      <x:c r="M82" s="117"/>
      <x:c r="N82" s="117"/>
      <x:c r="O82" s="117"/>
      <x:c r="P82" s="117"/>
      <x:c r="Q82" s="117"/>
      <x:c r="R82" s="117"/>
      <x:c r="S82" s="117"/>
      <x:c r="T82" s="117"/>
      <x:c r="U82" s="117"/>
      <x:c r="V82" s="117"/>
      <x:c r="W82" s="117"/>
      <x:c r="X82" s="117"/>
      <x:c r="Y82" s="117"/>
      <x:c r="Z82" s="117"/>
    </x:row>
    <x:row r="83">
      <x:c r="A83" s="117"/>
      <x:c r="B83" s="117"/>
      <x:c r="C83" s="117"/>
      <x:c r="D83" s="117"/>
      <x:c r="E83" s="117"/>
      <x:c r="F83" s="117"/>
      <x:c r="G83" s="117"/>
      <x:c r="H83" s="117"/>
      <x:c r="I83" s="117"/>
      <x:c r="J83" s="117"/>
      <x:c r="K83" s="117"/>
      <x:c r="L83" s="117"/>
      <x:c r="M83" s="117"/>
      <x:c r="N83" s="117"/>
      <x:c r="O83" s="117"/>
      <x:c r="P83" s="117"/>
      <x:c r="Q83" s="117"/>
      <x:c r="R83" s="117"/>
      <x:c r="S83" s="117"/>
      <x:c r="T83" s="117"/>
      <x:c r="U83" s="117"/>
      <x:c r="V83" s="117"/>
      <x:c r="W83" s="117"/>
      <x:c r="X83" s="117"/>
      <x:c r="Y83" s="117"/>
      <x:c r="Z83" s="117"/>
    </x:row>
    <x:row r="84">
      <x:c r="A84" s="117"/>
      <x:c r="B84" s="117"/>
      <x:c r="C84" s="117"/>
      <x:c r="D84" s="117"/>
      <x:c r="E84" s="117"/>
      <x:c r="F84" s="117"/>
      <x:c r="G84" s="117"/>
      <x:c r="H84" s="117"/>
      <x:c r="I84" s="117"/>
      <x:c r="J84" s="117"/>
      <x:c r="K84" s="117"/>
      <x:c r="L84" s="117"/>
      <x:c r="M84" s="117"/>
      <x:c r="N84" s="117"/>
      <x:c r="O84" s="117"/>
      <x:c r="P84" s="117"/>
      <x:c r="Q84" s="117"/>
      <x:c r="R84" s="117"/>
      <x:c r="S84" s="117"/>
      <x:c r="T84" s="117"/>
      <x:c r="U84" s="117"/>
      <x:c r="V84" s="117"/>
      <x:c r="W84" s="117"/>
      <x:c r="X84" s="117"/>
      <x:c r="Y84" s="117"/>
      <x:c r="Z84" s="117"/>
    </x:row>
    <x:row r="85">
      <x:c r="A85" s="117"/>
      <x:c r="B85" s="117"/>
      <x:c r="C85" s="117"/>
      <x:c r="D85" s="117"/>
      <x:c r="E85" s="117"/>
      <x:c r="F85" s="117"/>
      <x:c r="G85" s="117"/>
      <x:c r="H85" s="117"/>
      <x:c r="I85" s="117"/>
      <x:c r="J85" s="117"/>
      <x:c r="K85" s="117"/>
      <x:c r="L85" s="117"/>
      <x:c r="M85" s="117"/>
      <x:c r="N85" s="117"/>
      <x:c r="O85" s="117"/>
      <x:c r="P85" s="117"/>
      <x:c r="Q85" s="117"/>
      <x:c r="R85" s="117"/>
      <x:c r="S85" s="117"/>
      <x:c r="T85" s="117"/>
      <x:c r="U85" s="117"/>
      <x:c r="V85" s="117"/>
      <x:c r="W85" s="117"/>
      <x:c r="X85" s="117"/>
      <x:c r="Y85" s="117"/>
      <x:c r="Z85" s="117"/>
    </x:row>
    <x:row r="86">
      <x:c r="A86" s="117"/>
      <x:c r="B86" s="117"/>
      <x:c r="C86" s="117"/>
      <x:c r="D86" s="117"/>
      <x:c r="E86" s="117"/>
      <x:c r="F86" s="117"/>
      <x:c r="G86" s="117"/>
      <x:c r="H86" s="117"/>
      <x:c r="I86" s="117"/>
      <x:c r="J86" s="117"/>
      <x:c r="K86" s="117"/>
      <x:c r="L86" s="117"/>
      <x:c r="M86" s="117"/>
      <x:c r="N86" s="117"/>
      <x:c r="O86" s="117"/>
      <x:c r="P86" s="117"/>
      <x:c r="Q86" s="117"/>
      <x:c r="R86" s="117"/>
      <x:c r="S86" s="117"/>
      <x:c r="T86" s="117"/>
      <x:c r="U86" s="117"/>
      <x:c r="V86" s="117"/>
      <x:c r="W86" s="117"/>
      <x:c r="X86" s="117"/>
      <x:c r="Y86" s="117"/>
      <x:c r="Z86" s="117"/>
    </x:row>
    <x:row r="87">
      <x:c r="A87" s="117"/>
      <x:c r="B87" s="117"/>
      <x:c r="C87" s="117"/>
      <x:c r="D87" s="117"/>
      <x:c r="E87" s="117"/>
      <x:c r="F87" s="117"/>
      <x:c r="G87" s="117"/>
      <x:c r="H87" s="117"/>
      <x:c r="I87" s="117"/>
      <x:c r="J87" s="117"/>
      <x:c r="K87" s="117"/>
      <x:c r="L87" s="117"/>
      <x:c r="M87" s="117"/>
      <x:c r="N87" s="117"/>
      <x:c r="O87" s="117"/>
      <x:c r="P87" s="117"/>
      <x:c r="Q87" s="117"/>
      <x:c r="R87" s="117"/>
      <x:c r="S87" s="117"/>
      <x:c r="T87" s="117"/>
      <x:c r="U87" s="117"/>
      <x:c r="V87" s="117"/>
      <x:c r="W87" s="117"/>
      <x:c r="X87" s="117"/>
      <x:c r="Y87" s="117"/>
      <x:c r="Z87" s="117"/>
    </x:row>
    <x:row r="88">
      <x:c r="A88" s="117"/>
      <x:c r="B88" s="117"/>
      <x:c r="C88" s="117"/>
      <x:c r="D88" s="117"/>
      <x:c r="E88" s="117"/>
      <x:c r="F88" s="117"/>
      <x:c r="G88" s="117"/>
      <x:c r="H88" s="117"/>
      <x:c r="I88" s="117"/>
      <x:c r="J88" s="117"/>
      <x:c r="K88" s="117"/>
      <x:c r="L88" s="117"/>
      <x:c r="M88" s="117"/>
      <x:c r="N88" s="117"/>
      <x:c r="O88" s="117"/>
      <x:c r="P88" s="117"/>
      <x:c r="Q88" s="117"/>
      <x:c r="R88" s="117"/>
      <x:c r="S88" s="117"/>
      <x:c r="T88" s="117"/>
      <x:c r="U88" s="117"/>
      <x:c r="V88" s="117"/>
      <x:c r="W88" s="117"/>
      <x:c r="X88" s="117"/>
      <x:c r="Y88" s="117"/>
      <x:c r="Z88" s="117"/>
    </x:row>
    <x:row r="89">
      <x:c r="A89" s="117"/>
      <x:c r="B89" s="117"/>
      <x:c r="C89" s="117"/>
      <x:c r="D89" s="117"/>
      <x:c r="E89" s="117"/>
      <x:c r="F89" s="117"/>
      <x:c r="G89" s="117"/>
      <x:c r="H89" s="117"/>
      <x:c r="I89" s="117"/>
      <x:c r="J89" s="117"/>
      <x:c r="K89" s="117"/>
      <x:c r="L89" s="117"/>
      <x:c r="M89" s="117"/>
      <x:c r="N89" s="117"/>
      <x:c r="O89" s="117"/>
      <x:c r="P89" s="117"/>
      <x:c r="Q89" s="117"/>
      <x:c r="R89" s="117"/>
      <x:c r="S89" s="117"/>
      <x:c r="T89" s="117"/>
      <x:c r="U89" s="117"/>
      <x:c r="V89" s="117"/>
      <x:c r="W89" s="117"/>
      <x:c r="X89" s="117"/>
      <x:c r="Y89" s="117"/>
      <x:c r="Z89" s="117"/>
    </x:row>
    <x:row r="90">
      <x:c r="A90" s="117"/>
      <x:c r="B90" s="117"/>
      <x:c r="C90" s="117"/>
      <x:c r="D90" s="117"/>
      <x:c r="E90" s="117"/>
      <x:c r="F90" s="117"/>
      <x:c r="G90" s="117"/>
      <x:c r="H90" s="117"/>
      <x:c r="I90" s="117"/>
      <x:c r="J90" s="117"/>
      <x:c r="K90" s="117"/>
      <x:c r="L90" s="117"/>
      <x:c r="M90" s="117"/>
      <x:c r="N90" s="117"/>
      <x:c r="O90" s="117"/>
      <x:c r="P90" s="117"/>
      <x:c r="Q90" s="117"/>
      <x:c r="R90" s="117"/>
      <x:c r="S90" s="117"/>
      <x:c r="T90" s="117"/>
      <x:c r="U90" s="117"/>
      <x:c r="V90" s="117"/>
      <x:c r="W90" s="117"/>
      <x:c r="X90" s="117"/>
      <x:c r="Y90" s="117"/>
      <x:c r="Z90" s="117"/>
    </x:row>
    <x:row r="91">
      <x:c r="A91" s="117"/>
      <x:c r="B91" s="117"/>
      <x:c r="C91" s="117"/>
      <x:c r="D91" s="117"/>
      <x:c r="E91" s="117"/>
      <x:c r="F91" s="117"/>
      <x:c r="G91" s="117"/>
      <x:c r="H91" s="117"/>
      <x:c r="I91" s="117"/>
      <x:c r="J91" s="117"/>
      <x:c r="K91" s="117"/>
      <x:c r="L91" s="117"/>
      <x:c r="M91" s="117"/>
      <x:c r="N91" s="117"/>
      <x:c r="O91" s="117"/>
      <x:c r="P91" s="117"/>
      <x:c r="Q91" s="117"/>
      <x:c r="R91" s="117"/>
      <x:c r="S91" s="117"/>
      <x:c r="T91" s="117"/>
      <x:c r="U91" s="117"/>
      <x:c r="V91" s="117"/>
      <x:c r="W91" s="117"/>
      <x:c r="X91" s="117"/>
      <x:c r="Y91" s="117"/>
      <x:c r="Z91" s="117"/>
    </x:row>
    <x:row r="92">
      <x:c r="A92" s="117"/>
      <x:c r="B92" s="117"/>
      <x:c r="C92" s="117"/>
      <x:c r="D92" s="117"/>
      <x:c r="E92" s="117"/>
      <x:c r="F92" s="117"/>
      <x:c r="G92" s="117"/>
      <x:c r="H92" s="117"/>
      <x:c r="I92" s="117"/>
      <x:c r="J92" s="117"/>
      <x:c r="K92" s="117"/>
      <x:c r="L92" s="117"/>
      <x:c r="M92" s="117"/>
      <x:c r="N92" s="117"/>
      <x:c r="O92" s="117"/>
      <x:c r="P92" s="117"/>
      <x:c r="Q92" s="117"/>
      <x:c r="R92" s="117"/>
      <x:c r="S92" s="117"/>
      <x:c r="T92" s="117"/>
      <x:c r="U92" s="117"/>
      <x:c r="V92" s="117"/>
      <x:c r="W92" s="117"/>
      <x:c r="X92" s="117"/>
      <x:c r="Y92" s="117"/>
      <x:c r="Z92" s="117"/>
    </x:row>
    <x:row r="93">
      <x:c r="A93" s="117"/>
      <x:c r="B93" s="117"/>
      <x:c r="C93" s="117"/>
      <x:c r="D93" s="117"/>
      <x:c r="E93" s="117"/>
      <x:c r="F93" s="117"/>
      <x:c r="G93" s="117"/>
      <x:c r="H93" s="117"/>
      <x:c r="I93" s="117"/>
      <x:c r="J93" s="117"/>
      <x:c r="K93" s="117"/>
      <x:c r="L93" s="117"/>
      <x:c r="M93" s="117"/>
      <x:c r="N93" s="117"/>
      <x:c r="O93" s="117"/>
      <x:c r="P93" s="117"/>
      <x:c r="Q93" s="117"/>
      <x:c r="R93" s="117"/>
      <x:c r="S93" s="117"/>
      <x:c r="T93" s="117"/>
      <x:c r="U93" s="117"/>
      <x:c r="V93" s="117"/>
      <x:c r="W93" s="117"/>
      <x:c r="X93" s="117"/>
      <x:c r="Y93" s="117"/>
      <x:c r="Z93" s="117"/>
    </x:row>
    <x:row r="94">
      <x:c r="A94" s="117"/>
      <x:c r="B94" s="117"/>
      <x:c r="C94" s="117"/>
      <x:c r="D94" s="117"/>
      <x:c r="E94" s="117"/>
      <x:c r="F94" s="117"/>
      <x:c r="G94" s="117"/>
      <x:c r="H94" s="117"/>
      <x:c r="I94" s="117"/>
      <x:c r="J94" s="117"/>
      <x:c r="K94" s="117"/>
      <x:c r="L94" s="117"/>
      <x:c r="M94" s="117"/>
      <x:c r="N94" s="117"/>
      <x:c r="O94" s="117"/>
      <x:c r="P94" s="117"/>
      <x:c r="Q94" s="117"/>
      <x:c r="R94" s="117"/>
      <x:c r="S94" s="117"/>
      <x:c r="T94" s="117"/>
      <x:c r="U94" s="117"/>
      <x:c r="V94" s="117"/>
      <x:c r="W94" s="117"/>
      <x:c r="X94" s="117"/>
      <x:c r="Y94" s="117"/>
      <x:c r="Z94" s="117"/>
    </x:row>
    <x:row r="95">
      <x:c r="A95" s="117"/>
      <x:c r="B95" s="117"/>
      <x:c r="C95" s="117"/>
      <x:c r="D95" s="117"/>
      <x:c r="E95" s="117"/>
      <x:c r="F95" s="117"/>
      <x:c r="G95" s="117"/>
      <x:c r="H95" s="117"/>
      <x:c r="I95" s="117"/>
      <x:c r="J95" s="117"/>
      <x:c r="K95" s="117"/>
      <x:c r="L95" s="117"/>
      <x:c r="M95" s="117"/>
      <x:c r="N95" s="117"/>
      <x:c r="O95" s="117"/>
      <x:c r="P95" s="117"/>
      <x:c r="Q95" s="117"/>
      <x:c r="R95" s="117"/>
      <x:c r="S95" s="117"/>
      <x:c r="T95" s="117"/>
      <x:c r="U95" s="117"/>
      <x:c r="V95" s="117"/>
      <x:c r="W95" s="117"/>
      <x:c r="X95" s="117"/>
      <x:c r="Y95" s="117"/>
      <x:c r="Z95" s="117"/>
    </x:row>
    <x:row r="96">
      <x:c r="A96" s="117"/>
      <x:c r="B96" s="117"/>
      <x:c r="C96" s="117"/>
      <x:c r="D96" s="117"/>
      <x:c r="E96" s="117"/>
      <x:c r="F96" s="117"/>
      <x:c r="G96" s="117"/>
      <x:c r="H96" s="117"/>
      <x:c r="I96" s="117"/>
      <x:c r="J96" s="117"/>
      <x:c r="K96" s="117"/>
      <x:c r="L96" s="117"/>
      <x:c r="M96" s="117"/>
      <x:c r="N96" s="117"/>
      <x:c r="O96" s="117"/>
      <x:c r="P96" s="117"/>
      <x:c r="Q96" s="117"/>
      <x:c r="R96" s="117"/>
      <x:c r="S96" s="117"/>
      <x:c r="T96" s="117"/>
      <x:c r="U96" s="117"/>
      <x:c r="V96" s="117"/>
      <x:c r="W96" s="117"/>
      <x:c r="X96" s="117"/>
      <x:c r="Y96" s="117"/>
      <x:c r="Z96" s="117"/>
    </x:row>
    <x:row r="97">
      <x:c r="A97" s="117"/>
      <x:c r="B97" s="117"/>
      <x:c r="C97" s="117"/>
      <x:c r="D97" s="117"/>
      <x:c r="E97" s="117"/>
      <x:c r="F97" s="117"/>
      <x:c r="G97" s="117"/>
      <x:c r="H97" s="117"/>
      <x:c r="I97" s="117"/>
      <x:c r="J97" s="117"/>
      <x:c r="K97" s="117"/>
      <x:c r="L97" s="117"/>
      <x:c r="M97" s="117"/>
      <x:c r="N97" s="117"/>
      <x:c r="O97" s="117"/>
      <x:c r="P97" s="117"/>
      <x:c r="Q97" s="117"/>
      <x:c r="R97" s="117"/>
      <x:c r="S97" s="117"/>
      <x:c r="T97" s="117"/>
      <x:c r="U97" s="117"/>
      <x:c r="V97" s="117"/>
      <x:c r="W97" s="117"/>
      <x:c r="X97" s="117"/>
      <x:c r="Y97" s="117"/>
      <x:c r="Z97" s="117"/>
    </x:row>
    <x:row r="98">
      <x:c r="A98" s="117"/>
      <x:c r="B98" s="117"/>
      <x:c r="C98" s="117"/>
      <x:c r="D98" s="117"/>
      <x:c r="E98" s="117"/>
      <x:c r="F98" s="117"/>
      <x:c r="G98" s="117"/>
      <x:c r="H98" s="117"/>
      <x:c r="I98" s="117"/>
      <x:c r="J98" s="117"/>
      <x:c r="K98" s="117"/>
      <x:c r="L98" s="117"/>
      <x:c r="M98" s="117"/>
      <x:c r="N98" s="117"/>
      <x:c r="O98" s="117"/>
      <x:c r="P98" s="117"/>
      <x:c r="Q98" s="117"/>
      <x:c r="R98" s="117"/>
      <x:c r="S98" s="117"/>
      <x:c r="T98" s="117"/>
      <x:c r="U98" s="117"/>
      <x:c r="V98" s="117"/>
      <x:c r="W98" s="117"/>
      <x:c r="X98" s="117"/>
      <x:c r="Y98" s="117"/>
      <x:c r="Z98" s="117"/>
    </x:row>
    <x:row r="99">
      <x:c r="A99" s="117"/>
      <x:c r="B99" s="117"/>
      <x:c r="C99" s="117"/>
      <x:c r="D99" s="117"/>
      <x:c r="E99" s="117"/>
      <x:c r="F99" s="117"/>
      <x:c r="G99" s="117"/>
      <x:c r="H99" s="117"/>
      <x:c r="I99" s="117"/>
      <x:c r="J99" s="117"/>
      <x:c r="K99" s="117"/>
      <x:c r="L99" s="117"/>
      <x:c r="M99" s="117"/>
      <x:c r="N99" s="117"/>
      <x:c r="O99" s="117"/>
      <x:c r="P99" s="117"/>
      <x:c r="Q99" s="117"/>
      <x:c r="R99" s="117"/>
      <x:c r="S99" s="117"/>
      <x:c r="T99" s="117"/>
      <x:c r="U99" s="117"/>
      <x:c r="V99" s="117"/>
      <x:c r="W99" s="117"/>
      <x:c r="X99" s="117"/>
      <x:c r="Y99" s="117"/>
      <x:c r="Z99" s="117"/>
    </x:row>
    <x:row r="100">
      <x:c r="A100" s="117"/>
      <x:c r="B100" s="117"/>
      <x:c r="C100" s="117"/>
      <x:c r="D100" s="117"/>
      <x:c r="E100" s="117"/>
      <x:c r="F100" s="117"/>
      <x:c r="G100" s="117"/>
      <x:c r="H100" s="117"/>
      <x:c r="I100" s="117"/>
      <x:c r="J100" s="117"/>
      <x:c r="K100" s="117"/>
      <x:c r="L100" s="117"/>
      <x:c r="M100" s="117"/>
      <x:c r="N100" s="117"/>
      <x:c r="O100" s="117"/>
      <x:c r="P100" s="117"/>
      <x:c r="Q100" s="117"/>
      <x:c r="R100" s="117"/>
      <x:c r="S100" s="117"/>
      <x:c r="T100" s="117"/>
      <x:c r="U100" s="117"/>
      <x:c r="V100" s="117"/>
      <x:c r="W100" s="117"/>
      <x:c r="X100" s="117"/>
      <x:c r="Y100" s="117"/>
      <x:c r="Z100" s="117"/>
    </x:row>
    <x:row r="101">
      <x:c r="A101" s="117"/>
      <x:c r="B101" s="117"/>
      <x:c r="C101" s="117"/>
      <x:c r="D101" s="117"/>
      <x:c r="E101" s="117"/>
      <x:c r="F101" s="117"/>
      <x:c r="G101" s="117"/>
      <x:c r="H101" s="117"/>
      <x:c r="I101" s="117"/>
      <x:c r="J101" s="117"/>
      <x:c r="K101" s="117"/>
      <x:c r="L101" s="117"/>
      <x:c r="M101" s="117"/>
      <x:c r="N101" s="117"/>
      <x:c r="O101" s="117"/>
      <x:c r="P101" s="117"/>
      <x:c r="Q101" s="117"/>
      <x:c r="R101" s="117"/>
      <x:c r="S101" s="117"/>
      <x:c r="T101" s="117"/>
      <x:c r="U101" s="117"/>
      <x:c r="V101" s="117"/>
      <x:c r="W101" s="117"/>
      <x:c r="X101" s="117"/>
      <x:c r="Y101" s="117"/>
      <x:c r="Z101" s="117"/>
    </x:row>
    <x:row r="102">
      <x:c r="A102" s="117"/>
      <x:c r="B102" s="117"/>
      <x:c r="C102" s="117"/>
      <x:c r="D102" s="117"/>
      <x:c r="E102" s="117"/>
      <x:c r="F102" s="117"/>
      <x:c r="G102" s="117"/>
      <x:c r="H102" s="117"/>
      <x:c r="I102" s="117"/>
      <x:c r="J102" s="117"/>
      <x:c r="K102" s="117"/>
      <x:c r="L102" s="117"/>
      <x:c r="M102" s="117"/>
      <x:c r="N102" s="117"/>
      <x:c r="O102" s="117"/>
      <x:c r="P102" s="117"/>
      <x:c r="Q102" s="117"/>
      <x:c r="R102" s="117"/>
      <x:c r="S102" s="117"/>
      <x:c r="T102" s="117"/>
      <x:c r="U102" s="117"/>
      <x:c r="V102" s="117"/>
      <x:c r="W102" s="117"/>
      <x:c r="X102" s="117"/>
      <x:c r="Y102" s="117"/>
      <x:c r="Z102" s="117"/>
    </x:row>
    <x:row r="103">
      <x:c r="A103" s="117"/>
      <x:c r="B103" s="117"/>
      <x:c r="C103" s="117"/>
      <x:c r="D103" s="117"/>
      <x:c r="E103" s="117"/>
      <x:c r="F103" s="117"/>
      <x:c r="G103" s="117"/>
      <x:c r="H103" s="117"/>
      <x:c r="I103" s="117"/>
      <x:c r="J103" s="117"/>
      <x:c r="K103" s="117"/>
      <x:c r="L103" s="117"/>
      <x:c r="M103" s="117"/>
      <x:c r="N103" s="117"/>
      <x:c r="O103" s="117"/>
      <x:c r="P103" s="117"/>
      <x:c r="Q103" s="117"/>
      <x:c r="R103" s="117"/>
      <x:c r="S103" s="117"/>
      <x:c r="T103" s="117"/>
      <x:c r="U103" s="117"/>
      <x:c r="V103" s="117"/>
      <x:c r="W103" s="117"/>
      <x:c r="X103" s="117"/>
      <x:c r="Y103" s="117"/>
      <x:c r="Z103" s="117"/>
    </x:row>
    <x:row r="104">
      <x:c r="A104" s="117"/>
      <x:c r="B104" s="117"/>
      <x:c r="C104" s="117"/>
      <x:c r="D104" s="117"/>
      <x:c r="E104" s="117"/>
      <x:c r="F104" s="117"/>
      <x:c r="G104" s="117"/>
      <x:c r="H104" s="117"/>
      <x:c r="I104" s="117"/>
      <x:c r="J104" s="117"/>
      <x:c r="K104" s="117"/>
      <x:c r="L104" s="117"/>
      <x:c r="M104" s="117"/>
      <x:c r="N104" s="117"/>
      <x:c r="O104" s="117"/>
      <x:c r="P104" s="117"/>
      <x:c r="Q104" s="117"/>
      <x:c r="R104" s="117"/>
      <x:c r="S104" s="117"/>
      <x:c r="T104" s="117"/>
      <x:c r="U104" s="117"/>
      <x:c r="V104" s="117"/>
      <x:c r="W104" s="117"/>
      <x:c r="X104" s="117"/>
      <x:c r="Y104" s="117"/>
      <x:c r="Z104" s="117"/>
    </x:row>
    <x:row r="105">
      <x:c r="A105" s="117"/>
      <x:c r="B105" s="117"/>
      <x:c r="C105" s="117"/>
      <x:c r="D105" s="117"/>
      <x:c r="E105" s="117"/>
      <x:c r="F105" s="117"/>
      <x:c r="G105" s="117"/>
      <x:c r="H105" s="117"/>
      <x:c r="I105" s="117"/>
      <x:c r="J105" s="117"/>
      <x:c r="K105" s="117"/>
      <x:c r="L105" s="117"/>
      <x:c r="M105" s="117"/>
      <x:c r="N105" s="117"/>
      <x:c r="O105" s="117"/>
      <x:c r="P105" s="117"/>
      <x:c r="Q105" s="117"/>
      <x:c r="R105" s="117"/>
      <x:c r="S105" s="117"/>
      <x:c r="T105" s="117"/>
      <x:c r="U105" s="117"/>
      <x:c r="V105" s="117"/>
      <x:c r="W105" s="117"/>
      <x:c r="X105" s="117"/>
      <x:c r="Y105" s="117"/>
      <x:c r="Z105" s="117"/>
    </x:row>
    <x:row r="106">
      <x:c r="A106" s="117"/>
      <x:c r="B106" s="117"/>
      <x:c r="C106" s="117"/>
      <x:c r="D106" s="117"/>
      <x:c r="E106" s="117"/>
      <x:c r="F106" s="117"/>
      <x:c r="G106" s="117"/>
      <x:c r="H106" s="117"/>
      <x:c r="I106" s="117"/>
      <x:c r="J106" s="117"/>
      <x:c r="K106" s="117"/>
      <x:c r="L106" s="117"/>
      <x:c r="M106" s="117"/>
      <x:c r="N106" s="117"/>
      <x:c r="O106" s="117"/>
      <x:c r="P106" s="117"/>
      <x:c r="Q106" s="117"/>
      <x:c r="R106" s="117"/>
      <x:c r="S106" s="117"/>
      <x:c r="T106" s="117"/>
      <x:c r="U106" s="117"/>
      <x:c r="V106" s="117"/>
      <x:c r="W106" s="117"/>
      <x:c r="X106" s="117"/>
      <x:c r="Y106" s="117"/>
      <x:c r="Z106" s="117"/>
    </x:row>
    <x:row r="107">
      <x:c r="A107" s="117"/>
      <x:c r="B107" s="117"/>
      <x:c r="C107" s="117"/>
      <x:c r="D107" s="117"/>
      <x:c r="E107" s="117"/>
      <x:c r="F107" s="117"/>
      <x:c r="G107" s="117"/>
      <x:c r="H107" s="117"/>
      <x:c r="I107" s="117"/>
      <x:c r="J107" s="117"/>
      <x:c r="K107" s="117"/>
      <x:c r="L107" s="117"/>
      <x:c r="M107" s="117"/>
      <x:c r="N107" s="117"/>
      <x:c r="O107" s="117"/>
      <x:c r="P107" s="117"/>
      <x:c r="Q107" s="117"/>
      <x:c r="R107" s="117"/>
      <x:c r="S107" s="117"/>
      <x:c r="T107" s="117"/>
      <x:c r="U107" s="117"/>
      <x:c r="V107" s="117"/>
      <x:c r="W107" s="117"/>
      <x:c r="X107" s="117"/>
      <x:c r="Y107" s="117"/>
      <x:c r="Z107" s="117"/>
    </x:row>
    <x:row r="108">
      <x:c r="A108" s="117"/>
      <x:c r="B108" s="117"/>
      <x:c r="C108" s="117"/>
      <x:c r="D108" s="117"/>
      <x:c r="E108" s="117"/>
      <x:c r="F108" s="117"/>
      <x:c r="G108" s="117"/>
      <x:c r="H108" s="117"/>
      <x:c r="I108" s="117"/>
      <x:c r="J108" s="117"/>
      <x:c r="K108" s="117"/>
      <x:c r="L108" s="117"/>
      <x:c r="M108" s="117"/>
      <x:c r="N108" s="117"/>
      <x:c r="O108" s="117"/>
      <x:c r="P108" s="117"/>
      <x:c r="Q108" s="117"/>
      <x:c r="R108" s="117"/>
      <x:c r="S108" s="117"/>
      <x:c r="T108" s="117"/>
      <x:c r="U108" s="117"/>
      <x:c r="V108" s="117"/>
      <x:c r="W108" s="117"/>
      <x:c r="X108" s="117"/>
      <x:c r="Y108" s="117"/>
      <x:c r="Z108" s="117"/>
    </x:row>
    <x:row r="109">
      <x:c r="A109" s="117"/>
      <x:c r="B109" s="117"/>
      <x:c r="C109" s="117"/>
      <x:c r="D109" s="117"/>
      <x:c r="E109" s="117"/>
      <x:c r="F109" s="117"/>
      <x:c r="G109" s="117"/>
      <x:c r="H109" s="117"/>
      <x:c r="I109" s="117"/>
      <x:c r="J109" s="117"/>
      <x:c r="K109" s="117"/>
      <x:c r="L109" s="117"/>
      <x:c r="M109" s="117"/>
      <x:c r="N109" s="117"/>
      <x:c r="O109" s="117"/>
      <x:c r="P109" s="117"/>
      <x:c r="Q109" s="117"/>
      <x:c r="R109" s="117"/>
      <x:c r="S109" s="117"/>
      <x:c r="T109" s="117"/>
      <x:c r="U109" s="117"/>
      <x:c r="V109" s="117"/>
      <x:c r="W109" s="117"/>
      <x:c r="X109" s="117"/>
      <x:c r="Y109" s="117"/>
      <x:c r="Z109" s="117"/>
    </x:row>
    <x:row r="110">
      <x:c r="A110" s="117"/>
      <x:c r="B110" s="117"/>
      <x:c r="C110" s="117"/>
      <x:c r="D110" s="117"/>
      <x:c r="E110" s="117"/>
      <x:c r="F110" s="117"/>
      <x:c r="G110" s="117"/>
      <x:c r="H110" s="117"/>
      <x:c r="I110" s="117"/>
      <x:c r="J110" s="117"/>
      <x:c r="K110" s="117"/>
      <x:c r="L110" s="117"/>
      <x:c r="M110" s="117"/>
      <x:c r="N110" s="117"/>
      <x:c r="O110" s="117"/>
      <x:c r="P110" s="117"/>
      <x:c r="Q110" s="117"/>
      <x:c r="R110" s="117"/>
      <x:c r="S110" s="117"/>
      <x:c r="T110" s="117"/>
      <x:c r="U110" s="117"/>
      <x:c r="V110" s="117"/>
      <x:c r="W110" s="117"/>
      <x:c r="X110" s="117"/>
      <x:c r="Y110" s="117"/>
      <x:c r="Z110" s="117"/>
    </x:row>
    <x:row r="111">
      <x:c r="A111" s="117"/>
      <x:c r="B111" s="117"/>
      <x:c r="C111" s="117"/>
      <x:c r="D111" s="117"/>
      <x:c r="E111" s="117"/>
      <x:c r="F111" s="117"/>
      <x:c r="G111" s="117"/>
      <x:c r="H111" s="117"/>
      <x:c r="I111" s="117"/>
      <x:c r="J111" s="117"/>
      <x:c r="K111" s="117"/>
      <x:c r="L111" s="117"/>
      <x:c r="M111" s="117"/>
      <x:c r="N111" s="117"/>
      <x:c r="O111" s="117"/>
      <x:c r="P111" s="117"/>
      <x:c r="Q111" s="117"/>
      <x:c r="R111" s="117"/>
      <x:c r="S111" s="117"/>
      <x:c r="T111" s="117"/>
      <x:c r="U111" s="117"/>
      <x:c r="V111" s="117"/>
      <x:c r="W111" s="117"/>
      <x:c r="X111" s="117"/>
      <x:c r="Y111" s="117"/>
      <x:c r="Z111" s="117"/>
    </x:row>
    <x:row r="112">
      <x:c r="A112" s="117"/>
      <x:c r="B112" s="117"/>
      <x:c r="C112" s="117"/>
      <x:c r="D112" s="117"/>
      <x:c r="E112" s="117"/>
      <x:c r="F112" s="117"/>
      <x:c r="G112" s="117"/>
      <x:c r="H112" s="117"/>
      <x:c r="I112" s="117"/>
      <x:c r="J112" s="117"/>
      <x:c r="K112" s="117"/>
      <x:c r="L112" s="117"/>
      <x:c r="M112" s="117"/>
      <x:c r="N112" s="117"/>
      <x:c r="O112" s="117"/>
      <x:c r="P112" s="117"/>
      <x:c r="Q112" s="117"/>
      <x:c r="R112" s="117"/>
      <x:c r="S112" s="117"/>
      <x:c r="T112" s="117"/>
      <x:c r="U112" s="117"/>
      <x:c r="V112" s="117"/>
      <x:c r="W112" s="117"/>
      <x:c r="X112" s="117"/>
      <x:c r="Y112" s="117"/>
      <x:c r="Z112" s="117"/>
    </x:row>
    <x:row r="113">
      <x:c r="A113" s="117"/>
      <x:c r="B113" s="117"/>
      <x:c r="C113" s="117"/>
      <x:c r="D113" s="117"/>
      <x:c r="E113" s="117"/>
      <x:c r="F113" s="117"/>
      <x:c r="G113" s="117"/>
      <x:c r="H113" s="117"/>
      <x:c r="I113" s="117"/>
      <x:c r="J113" s="117"/>
      <x:c r="K113" s="117"/>
      <x:c r="L113" s="117"/>
      <x:c r="M113" s="117"/>
      <x:c r="N113" s="117"/>
      <x:c r="O113" s="117"/>
      <x:c r="P113" s="117"/>
      <x:c r="Q113" s="117"/>
      <x:c r="R113" s="117"/>
      <x:c r="S113" s="117"/>
      <x:c r="T113" s="117"/>
      <x:c r="U113" s="117"/>
      <x:c r="V113" s="117"/>
      <x:c r="W113" s="117"/>
      <x:c r="X113" s="117"/>
      <x:c r="Y113" s="117"/>
      <x:c r="Z113" s="117"/>
    </x:row>
    <x:row r="114">
      <x:c r="A114" s="117"/>
      <x:c r="B114" s="117"/>
      <x:c r="C114" s="117"/>
      <x:c r="D114" s="117"/>
      <x:c r="E114" s="117"/>
      <x:c r="F114" s="117"/>
      <x:c r="G114" s="117"/>
      <x:c r="H114" s="117"/>
      <x:c r="I114" s="117"/>
      <x:c r="J114" s="117"/>
      <x:c r="K114" s="117"/>
      <x:c r="L114" s="117"/>
      <x:c r="M114" s="117"/>
      <x:c r="N114" s="117"/>
      <x:c r="O114" s="117"/>
      <x:c r="P114" s="117"/>
      <x:c r="Q114" s="117"/>
      <x:c r="R114" s="117"/>
      <x:c r="S114" s="117"/>
      <x:c r="T114" s="117"/>
      <x:c r="U114" s="117"/>
      <x:c r="V114" s="117"/>
      <x:c r="W114" s="117"/>
      <x:c r="X114" s="117"/>
      <x:c r="Y114" s="117"/>
      <x:c r="Z114" s="117"/>
    </x:row>
    <x:row r="115">
      <x:c r="A115" s="117"/>
      <x:c r="B115" s="117"/>
      <x:c r="C115" s="117"/>
      <x:c r="D115" s="117"/>
      <x:c r="E115" s="117"/>
      <x:c r="F115" s="117"/>
      <x:c r="G115" s="117"/>
      <x:c r="H115" s="117"/>
      <x:c r="I115" s="117"/>
      <x:c r="J115" s="117"/>
      <x:c r="K115" s="117"/>
      <x:c r="L115" s="117"/>
      <x:c r="M115" s="117"/>
      <x:c r="N115" s="117"/>
      <x:c r="O115" s="117"/>
      <x:c r="P115" s="117"/>
      <x:c r="Q115" s="117"/>
      <x:c r="R115" s="117"/>
      <x:c r="S115" s="117"/>
      <x:c r="T115" s="117"/>
      <x:c r="U115" s="117"/>
      <x:c r="V115" s="117"/>
      <x:c r="W115" s="117"/>
      <x:c r="X115" s="117"/>
      <x:c r="Y115" s="117"/>
      <x:c r="Z115" s="117"/>
    </x:row>
    <x:row r="116">
      <x:c r="A116" s="117"/>
      <x:c r="B116" s="117"/>
      <x:c r="C116" s="117"/>
      <x:c r="D116" s="117"/>
      <x:c r="E116" s="117"/>
      <x:c r="F116" s="117"/>
      <x:c r="G116" s="117"/>
      <x:c r="H116" s="117"/>
      <x:c r="I116" s="117"/>
      <x:c r="J116" s="117"/>
      <x:c r="K116" s="117"/>
      <x:c r="L116" s="117"/>
      <x:c r="M116" s="117"/>
      <x:c r="N116" s="117"/>
      <x:c r="O116" s="117"/>
      <x:c r="P116" s="117"/>
      <x:c r="Q116" s="117"/>
      <x:c r="R116" s="117"/>
      <x:c r="S116" s="117"/>
      <x:c r="T116" s="117"/>
      <x:c r="U116" s="117"/>
      <x:c r="V116" s="117"/>
      <x:c r="W116" s="117"/>
      <x:c r="X116" s="117"/>
      <x:c r="Y116" s="117"/>
      <x:c r="Z116" s="117"/>
    </x:row>
    <x:row r="117">
      <x:c r="A117" s="117"/>
      <x:c r="B117" s="117"/>
      <x:c r="C117" s="117"/>
      <x:c r="D117" s="117"/>
      <x:c r="E117" s="117"/>
      <x:c r="F117" s="117"/>
      <x:c r="G117" s="117"/>
      <x:c r="H117" s="117"/>
      <x:c r="I117" s="117"/>
      <x:c r="J117" s="117"/>
      <x:c r="K117" s="117"/>
      <x:c r="L117" s="117"/>
      <x:c r="M117" s="117"/>
      <x:c r="N117" s="117"/>
      <x:c r="O117" s="117"/>
      <x:c r="P117" s="117"/>
      <x:c r="Q117" s="117"/>
      <x:c r="R117" s="117"/>
      <x:c r="S117" s="117"/>
      <x:c r="T117" s="117"/>
      <x:c r="U117" s="117"/>
      <x:c r="V117" s="117"/>
      <x:c r="W117" s="117"/>
      <x:c r="X117" s="117"/>
      <x:c r="Y117" s="117"/>
      <x:c r="Z117" s="117"/>
    </x:row>
    <x:row r="118">
      <x:c r="A118" s="117"/>
      <x:c r="B118" s="117"/>
      <x:c r="C118" s="117"/>
      <x:c r="D118" s="117"/>
      <x:c r="E118" s="117"/>
      <x:c r="F118" s="117"/>
      <x:c r="G118" s="117"/>
      <x:c r="H118" s="117"/>
      <x:c r="I118" s="117"/>
      <x:c r="J118" s="117"/>
      <x:c r="K118" s="117"/>
      <x:c r="L118" s="117"/>
      <x:c r="M118" s="117"/>
      <x:c r="N118" s="117"/>
      <x:c r="O118" s="117"/>
      <x:c r="P118" s="117"/>
      <x:c r="Q118" s="117"/>
      <x:c r="R118" s="117"/>
      <x:c r="S118" s="117"/>
      <x:c r="T118" s="117"/>
      <x:c r="U118" s="117"/>
      <x:c r="V118" s="117"/>
      <x:c r="W118" s="117"/>
      <x:c r="X118" s="117"/>
      <x:c r="Y118" s="117"/>
      <x:c r="Z118" s="117"/>
    </x:row>
    <x:row r="119">
      <x:c r="A119" s="117"/>
      <x:c r="B119" s="117"/>
      <x:c r="C119" s="117"/>
      <x:c r="D119" s="117"/>
      <x:c r="E119" s="117"/>
      <x:c r="F119" s="117"/>
      <x:c r="G119" s="117"/>
      <x:c r="H119" s="117"/>
      <x:c r="I119" s="117"/>
      <x:c r="J119" s="117"/>
      <x:c r="K119" s="117"/>
      <x:c r="L119" s="117"/>
      <x:c r="M119" s="117"/>
      <x:c r="N119" s="117"/>
      <x:c r="O119" s="117"/>
      <x:c r="P119" s="117"/>
      <x:c r="Q119" s="117"/>
      <x:c r="R119" s="117"/>
      <x:c r="S119" s="117"/>
      <x:c r="T119" s="117"/>
      <x:c r="U119" s="117"/>
      <x:c r="V119" s="117"/>
      <x:c r="W119" s="117"/>
      <x:c r="X119" s="117"/>
      <x:c r="Y119" s="117"/>
      <x:c r="Z119" s="117"/>
    </x:row>
    <x:row r="120">
      <x:c r="A120" s="117"/>
      <x:c r="B120" s="117"/>
      <x:c r="C120" s="117"/>
      <x:c r="D120" s="117"/>
      <x:c r="E120" s="117"/>
      <x:c r="F120" s="117"/>
      <x:c r="G120" s="117"/>
      <x:c r="H120" s="117"/>
      <x:c r="I120" s="117"/>
      <x:c r="J120" s="117"/>
      <x:c r="K120" s="117"/>
      <x:c r="L120" s="117"/>
      <x:c r="M120" s="117"/>
      <x:c r="N120" s="117"/>
      <x:c r="O120" s="117"/>
      <x:c r="P120" s="117"/>
      <x:c r="Q120" s="117"/>
      <x:c r="R120" s="117"/>
      <x:c r="S120" s="117"/>
      <x:c r="T120" s="117"/>
      <x:c r="U120" s="117"/>
      <x:c r="V120" s="117"/>
      <x:c r="W120" s="117"/>
      <x:c r="X120" s="117"/>
      <x:c r="Y120" s="117"/>
      <x:c r="Z120" s="117"/>
    </x:row>
    <x:row r="121">
      <x:c r="A121" s="117"/>
      <x:c r="B121" s="117"/>
      <x:c r="C121" s="117"/>
      <x:c r="D121" s="117"/>
      <x:c r="E121" s="117"/>
      <x:c r="F121" s="117"/>
      <x:c r="G121" s="117"/>
      <x:c r="H121" s="117"/>
      <x:c r="I121" s="117"/>
      <x:c r="J121" s="117"/>
      <x:c r="K121" s="117"/>
      <x:c r="L121" s="117"/>
      <x:c r="M121" s="117"/>
      <x:c r="N121" s="117"/>
      <x:c r="O121" s="117"/>
      <x:c r="P121" s="117"/>
      <x:c r="Q121" s="117"/>
      <x:c r="R121" s="117"/>
      <x:c r="S121" s="117"/>
      <x:c r="T121" s="117"/>
      <x:c r="U121" s="117"/>
      <x:c r="V121" s="117"/>
      <x:c r="W121" s="117"/>
      <x:c r="X121" s="117"/>
      <x:c r="Y121" s="117"/>
      <x:c r="Z121" s="117"/>
    </x:row>
    <x:row r="122">
      <x:c r="A122" s="117"/>
      <x:c r="B122" s="117"/>
      <x:c r="C122" s="117"/>
      <x:c r="D122" s="117"/>
      <x:c r="E122" s="117"/>
      <x:c r="F122" s="117"/>
      <x:c r="G122" s="117"/>
      <x:c r="H122" s="117"/>
      <x:c r="I122" s="117"/>
      <x:c r="J122" s="117"/>
      <x:c r="K122" s="117"/>
      <x:c r="L122" s="117"/>
      <x:c r="M122" s="117"/>
      <x:c r="N122" s="117"/>
      <x:c r="O122" s="117"/>
      <x:c r="P122" s="117"/>
      <x:c r="Q122" s="117"/>
      <x:c r="R122" s="117"/>
      <x:c r="S122" s="117"/>
      <x:c r="T122" s="117"/>
      <x:c r="U122" s="117"/>
      <x:c r="V122" s="117"/>
      <x:c r="W122" s="117"/>
      <x:c r="X122" s="117"/>
      <x:c r="Y122" s="117"/>
      <x:c r="Z122" s="117"/>
    </x:row>
    <x:row r="123">
      <x:c r="A123" s="117"/>
      <x:c r="B123" s="117"/>
      <x:c r="C123" s="117"/>
      <x:c r="D123" s="117"/>
      <x:c r="E123" s="117"/>
      <x:c r="F123" s="117"/>
      <x:c r="G123" s="117"/>
      <x:c r="H123" s="117"/>
      <x:c r="I123" s="117"/>
      <x:c r="J123" s="117"/>
      <x:c r="K123" s="117"/>
      <x:c r="L123" s="117"/>
      <x:c r="M123" s="117"/>
      <x:c r="N123" s="117"/>
      <x:c r="O123" s="117"/>
      <x:c r="P123" s="117"/>
      <x:c r="Q123" s="117"/>
      <x:c r="R123" s="117"/>
      <x:c r="S123" s="117"/>
      <x:c r="T123" s="117"/>
      <x:c r="U123" s="117"/>
      <x:c r="V123" s="117"/>
      <x:c r="W123" s="117"/>
      <x:c r="X123" s="117"/>
      <x:c r="Y123" s="117"/>
      <x:c r="Z123" s="117"/>
    </x:row>
    <x:row r="124">
      <x:c r="A124" s="117"/>
      <x:c r="B124" s="117"/>
      <x:c r="C124" s="117"/>
      <x:c r="D124" s="117"/>
      <x:c r="E124" s="117"/>
      <x:c r="F124" s="117"/>
      <x:c r="G124" s="117"/>
      <x:c r="H124" s="117"/>
      <x:c r="I124" s="117"/>
      <x:c r="J124" s="117"/>
      <x:c r="K124" s="117"/>
      <x:c r="L124" s="117"/>
      <x:c r="M124" s="117"/>
      <x:c r="N124" s="117"/>
      <x:c r="O124" s="117"/>
      <x:c r="P124" s="117"/>
      <x:c r="Q124" s="117"/>
      <x:c r="R124" s="117"/>
      <x:c r="S124" s="117"/>
      <x:c r="T124" s="117"/>
      <x:c r="U124" s="117"/>
      <x:c r="V124" s="117"/>
      <x:c r="W124" s="117"/>
      <x:c r="X124" s="117"/>
      <x:c r="Y124" s="117"/>
      <x:c r="Z124" s="117"/>
    </x:row>
    <x:row r="125">
      <x:c r="A125" s="117"/>
      <x:c r="B125" s="117"/>
      <x:c r="C125" s="117"/>
      <x:c r="D125" s="117"/>
      <x:c r="E125" s="117"/>
      <x:c r="F125" s="117"/>
      <x:c r="G125" s="117"/>
      <x:c r="H125" s="117"/>
      <x:c r="I125" s="117"/>
      <x:c r="J125" s="117"/>
      <x:c r="K125" s="117"/>
      <x:c r="L125" s="117"/>
      <x:c r="M125" s="117"/>
      <x:c r="N125" s="117"/>
      <x:c r="O125" s="117"/>
      <x:c r="P125" s="117"/>
      <x:c r="Q125" s="117"/>
      <x:c r="R125" s="117"/>
      <x:c r="S125" s="117"/>
      <x:c r="T125" s="117"/>
      <x:c r="U125" s="117"/>
      <x:c r="V125" s="117"/>
      <x:c r="W125" s="117"/>
      <x:c r="X125" s="117"/>
      <x:c r="Y125" s="117"/>
      <x:c r="Z125" s="117"/>
    </x:row>
    <x:row r="126">
      <x:c r="A126" s="117"/>
      <x:c r="B126" s="117"/>
      <x:c r="C126" s="117"/>
      <x:c r="D126" s="117"/>
      <x:c r="E126" s="117"/>
      <x:c r="F126" s="117"/>
      <x:c r="G126" s="117"/>
      <x:c r="H126" s="117"/>
      <x:c r="I126" s="117"/>
      <x:c r="J126" s="117"/>
      <x:c r="K126" s="117"/>
      <x:c r="L126" s="117"/>
      <x:c r="M126" s="117"/>
      <x:c r="N126" s="117"/>
      <x:c r="O126" s="117"/>
      <x:c r="P126" s="117"/>
      <x:c r="Q126" s="117"/>
      <x:c r="R126" s="117"/>
      <x:c r="S126" s="117"/>
      <x:c r="T126" s="117"/>
      <x:c r="U126" s="117"/>
      <x:c r="V126" s="117"/>
      <x:c r="W126" s="117"/>
      <x:c r="X126" s="117"/>
      <x:c r="Y126" s="117"/>
      <x:c r="Z126" s="117"/>
    </x:row>
    <x:row r="127">
      <x:c r="A127" s="117"/>
      <x:c r="B127" s="117"/>
      <x:c r="C127" s="117"/>
      <x:c r="D127" s="117"/>
      <x:c r="E127" s="117"/>
      <x:c r="F127" s="117"/>
      <x:c r="G127" s="117"/>
      <x:c r="H127" s="117"/>
      <x:c r="I127" s="117"/>
      <x:c r="J127" s="117"/>
      <x:c r="K127" s="117"/>
      <x:c r="L127" s="117"/>
      <x:c r="M127" s="117"/>
      <x:c r="N127" s="117"/>
      <x:c r="O127" s="117"/>
      <x:c r="P127" s="117"/>
      <x:c r="Q127" s="117"/>
      <x:c r="R127" s="117"/>
      <x:c r="S127" s="117"/>
      <x:c r="T127" s="117"/>
      <x:c r="U127" s="117"/>
      <x:c r="V127" s="117"/>
      <x:c r="W127" s="117"/>
      <x:c r="X127" s="117"/>
      <x:c r="Y127" s="117"/>
      <x:c r="Z127" s="117"/>
    </x:row>
    <x:row r="128">
      <x:c r="A128" s="117"/>
      <x:c r="B128" s="117"/>
      <x:c r="C128" s="117"/>
      <x:c r="D128" s="117"/>
      <x:c r="E128" s="117"/>
      <x:c r="F128" s="117"/>
      <x:c r="G128" s="117"/>
      <x:c r="H128" s="117"/>
      <x:c r="I128" s="117"/>
      <x:c r="J128" s="117"/>
      <x:c r="K128" s="117"/>
      <x:c r="L128" s="117"/>
      <x:c r="M128" s="117"/>
      <x:c r="N128" s="117"/>
      <x:c r="O128" s="117"/>
      <x:c r="P128" s="117"/>
      <x:c r="Q128" s="117"/>
      <x:c r="R128" s="117"/>
      <x:c r="S128" s="117"/>
      <x:c r="T128" s="117"/>
      <x:c r="U128" s="117"/>
      <x:c r="V128" s="117"/>
      <x:c r="W128" s="117"/>
      <x:c r="X128" s="117"/>
      <x:c r="Y128" s="117"/>
      <x:c r="Z128" s="117"/>
    </x:row>
    <x:row r="129">
      <x:c r="A129" s="117"/>
      <x:c r="B129" s="117"/>
      <x:c r="C129" s="117"/>
      <x:c r="D129" s="117"/>
      <x:c r="E129" s="117"/>
      <x:c r="F129" s="117"/>
      <x:c r="G129" s="117"/>
      <x:c r="H129" s="117"/>
      <x:c r="I129" s="117"/>
      <x:c r="J129" s="117"/>
      <x:c r="K129" s="117"/>
      <x:c r="L129" s="117"/>
      <x:c r="M129" s="117"/>
      <x:c r="N129" s="117"/>
      <x:c r="O129" s="117"/>
      <x:c r="P129" s="117"/>
      <x:c r="Q129" s="117"/>
      <x:c r="R129" s="117"/>
      <x:c r="S129" s="117"/>
      <x:c r="T129" s="117"/>
      <x:c r="U129" s="117"/>
      <x:c r="V129" s="117"/>
      <x:c r="W129" s="117"/>
      <x:c r="X129" s="117"/>
      <x:c r="Y129" s="117"/>
      <x:c r="Z129" s="117"/>
    </x:row>
    <x:row r="130">
      <x:c r="A130" s="117"/>
      <x:c r="B130" s="117"/>
      <x:c r="C130" s="117"/>
      <x:c r="D130" s="117"/>
      <x:c r="E130" s="117"/>
      <x:c r="F130" s="117"/>
      <x:c r="G130" s="117"/>
      <x:c r="H130" s="117"/>
      <x:c r="I130" s="117"/>
      <x:c r="J130" s="117"/>
      <x:c r="K130" s="117"/>
      <x:c r="L130" s="117"/>
      <x:c r="M130" s="117"/>
      <x:c r="N130" s="117"/>
      <x:c r="O130" s="117"/>
      <x:c r="P130" s="117"/>
      <x:c r="Q130" s="117"/>
      <x:c r="R130" s="117"/>
      <x:c r="S130" s="117"/>
      <x:c r="T130" s="117"/>
      <x:c r="U130" s="117"/>
      <x:c r="V130" s="117"/>
      <x:c r="W130" s="117"/>
      <x:c r="X130" s="117"/>
      <x:c r="Y130" s="117"/>
      <x:c r="Z130" s="117"/>
    </x:row>
    <x:row r="131">
      <x:c r="A131" s="117"/>
      <x:c r="B131" s="117"/>
      <x:c r="C131" s="117"/>
      <x:c r="D131" s="117"/>
      <x:c r="E131" s="117"/>
      <x:c r="F131" s="117"/>
      <x:c r="G131" s="117"/>
      <x:c r="H131" s="117"/>
      <x:c r="I131" s="117"/>
      <x:c r="J131" s="117"/>
      <x:c r="K131" s="117"/>
      <x:c r="L131" s="117"/>
      <x:c r="M131" s="117"/>
      <x:c r="N131" s="117"/>
      <x:c r="O131" s="117"/>
      <x:c r="P131" s="117"/>
      <x:c r="Q131" s="117"/>
      <x:c r="R131" s="117"/>
      <x:c r="S131" s="117"/>
      <x:c r="T131" s="117"/>
      <x:c r="U131" s="117"/>
      <x:c r="V131" s="117"/>
      <x:c r="W131" s="117"/>
      <x:c r="X131" s="117"/>
      <x:c r="Y131" s="117"/>
      <x:c r="Z131" s="117"/>
    </x:row>
    <x:row r="132">
      <x:c r="A132" s="117"/>
      <x:c r="B132" s="117"/>
      <x:c r="C132" s="117"/>
      <x:c r="D132" s="117"/>
      <x:c r="E132" s="117"/>
      <x:c r="F132" s="117"/>
      <x:c r="G132" s="117"/>
      <x:c r="H132" s="117"/>
      <x:c r="I132" s="117"/>
      <x:c r="J132" s="117"/>
      <x:c r="K132" s="117"/>
      <x:c r="L132" s="117"/>
      <x:c r="M132" s="117"/>
      <x:c r="N132" s="117"/>
      <x:c r="O132" s="117"/>
      <x:c r="P132" s="117"/>
      <x:c r="Q132" s="117"/>
      <x:c r="R132" s="117"/>
      <x:c r="S132" s="117"/>
      <x:c r="T132" s="117"/>
      <x:c r="U132" s="117"/>
      <x:c r="V132" s="117"/>
      <x:c r="W132" s="117"/>
      <x:c r="X132" s="117"/>
      <x:c r="Y132" s="117"/>
      <x:c r="Z132" s="117"/>
    </x:row>
    <x:row r="133">
      <x:c r="A133" s="117"/>
      <x:c r="B133" s="117"/>
      <x:c r="C133" s="117"/>
      <x:c r="D133" s="117"/>
      <x:c r="E133" s="117"/>
      <x:c r="F133" s="117"/>
      <x:c r="G133" s="117"/>
      <x:c r="H133" s="117"/>
      <x:c r="I133" s="117"/>
      <x:c r="J133" s="117"/>
      <x:c r="K133" s="117"/>
      <x:c r="L133" s="117"/>
      <x:c r="M133" s="117"/>
      <x:c r="N133" s="117"/>
      <x:c r="O133" s="117"/>
      <x:c r="P133" s="117"/>
      <x:c r="Q133" s="117"/>
      <x:c r="R133" s="117"/>
      <x:c r="S133" s="117"/>
      <x:c r="T133" s="117"/>
      <x:c r="U133" s="117"/>
      <x:c r="V133" s="117"/>
      <x:c r="W133" s="117"/>
      <x:c r="X133" s="117"/>
      <x:c r="Y133" s="117"/>
      <x:c r="Z133" s="117"/>
    </x:row>
    <x:row r="134">
      <x:c r="A134" s="117"/>
      <x:c r="B134" s="117"/>
      <x:c r="C134" s="117"/>
      <x:c r="D134" s="117"/>
      <x:c r="E134" s="117"/>
      <x:c r="F134" s="117"/>
      <x:c r="G134" s="117"/>
      <x:c r="H134" s="117"/>
      <x:c r="I134" s="117"/>
      <x:c r="J134" s="117"/>
      <x:c r="K134" s="117"/>
      <x:c r="L134" s="117"/>
      <x:c r="M134" s="117"/>
      <x:c r="N134" s="117"/>
      <x:c r="O134" s="117"/>
      <x:c r="P134" s="117"/>
      <x:c r="Q134" s="117"/>
      <x:c r="R134" s="117"/>
      <x:c r="S134" s="117"/>
      <x:c r="T134" s="117"/>
      <x:c r="U134" s="117"/>
      <x:c r="V134" s="117"/>
      <x:c r="W134" s="117"/>
      <x:c r="X134" s="117"/>
      <x:c r="Y134" s="117"/>
      <x:c r="Z134" s="117"/>
    </x:row>
    <x:row r="135">
      <x:c r="A135" s="117"/>
      <x:c r="B135" s="117"/>
      <x:c r="C135" s="117"/>
      <x:c r="D135" s="117"/>
      <x:c r="E135" s="117"/>
      <x:c r="F135" s="117"/>
      <x:c r="G135" s="117"/>
      <x:c r="H135" s="117"/>
      <x:c r="I135" s="117"/>
      <x:c r="J135" s="117"/>
      <x:c r="K135" s="117"/>
      <x:c r="L135" s="117"/>
      <x:c r="M135" s="117"/>
      <x:c r="N135" s="117"/>
      <x:c r="O135" s="117"/>
      <x:c r="P135" s="117"/>
      <x:c r="Q135" s="117"/>
      <x:c r="R135" s="117"/>
      <x:c r="S135" s="117"/>
      <x:c r="T135" s="117"/>
      <x:c r="U135" s="117"/>
      <x:c r="V135" s="117"/>
      <x:c r="W135" s="117"/>
      <x:c r="X135" s="117"/>
      <x:c r="Y135" s="117"/>
      <x:c r="Z135" s="117"/>
    </x:row>
    <x:row r="136">
      <x:c r="A136" s="117"/>
      <x:c r="B136" s="117"/>
      <x:c r="C136" s="117"/>
      <x:c r="D136" s="117"/>
      <x:c r="E136" s="117"/>
      <x:c r="F136" s="117"/>
      <x:c r="G136" s="117"/>
      <x:c r="H136" s="117"/>
      <x:c r="I136" s="117"/>
      <x:c r="J136" s="117"/>
      <x:c r="K136" s="117"/>
      <x:c r="L136" s="117"/>
      <x:c r="M136" s="117"/>
      <x:c r="N136" s="117"/>
      <x:c r="O136" s="117"/>
      <x:c r="P136" s="117"/>
      <x:c r="Q136" s="117"/>
      <x:c r="R136" s="117"/>
      <x:c r="S136" s="117"/>
      <x:c r="T136" s="117"/>
      <x:c r="U136" s="117"/>
      <x:c r="V136" s="117"/>
      <x:c r="W136" s="117"/>
      <x:c r="X136" s="117"/>
      <x:c r="Y136" s="117"/>
      <x:c r="Z136" s="117"/>
    </x:row>
    <x:row r="137">
      <x:c r="A137" s="117"/>
      <x:c r="B137" s="117"/>
      <x:c r="C137" s="117"/>
      <x:c r="D137" s="117"/>
      <x:c r="E137" s="117"/>
      <x:c r="F137" s="117"/>
      <x:c r="G137" s="117"/>
      <x:c r="H137" s="117"/>
      <x:c r="I137" s="117"/>
      <x:c r="J137" s="117"/>
      <x:c r="K137" s="117"/>
      <x:c r="L137" s="117"/>
      <x:c r="M137" s="117"/>
      <x:c r="N137" s="117"/>
      <x:c r="O137" s="117"/>
      <x:c r="P137" s="117"/>
      <x:c r="Q137" s="117"/>
      <x:c r="R137" s="117"/>
      <x:c r="S137" s="117"/>
      <x:c r="T137" s="117"/>
      <x:c r="U137" s="117"/>
      <x:c r="V137" s="117"/>
      <x:c r="W137" s="117"/>
      <x:c r="X137" s="117"/>
      <x:c r="Y137" s="117"/>
      <x:c r="Z137" s="117"/>
    </x:row>
    <x:row r="138">
      <x:c r="A138" s="117"/>
      <x:c r="B138" s="117"/>
      <x:c r="C138" s="117"/>
      <x:c r="D138" s="117"/>
      <x:c r="E138" s="117"/>
      <x:c r="F138" s="117"/>
      <x:c r="G138" s="117"/>
      <x:c r="H138" s="117"/>
      <x:c r="I138" s="117"/>
      <x:c r="J138" s="117"/>
      <x:c r="K138" s="117"/>
      <x:c r="L138" s="117"/>
      <x:c r="M138" s="117"/>
      <x:c r="N138" s="117"/>
      <x:c r="O138" s="117"/>
      <x:c r="P138" s="117"/>
      <x:c r="Q138" s="117"/>
      <x:c r="R138" s="117"/>
      <x:c r="S138" s="117"/>
      <x:c r="T138" s="117"/>
      <x:c r="U138" s="117"/>
      <x:c r="V138" s="117"/>
      <x:c r="W138" s="117"/>
      <x:c r="X138" s="117"/>
      <x:c r="Y138" s="117"/>
      <x:c r="Z138" s="117"/>
    </x:row>
    <x:row r="139">
      <x:c r="A139" s="117"/>
      <x:c r="B139" s="117"/>
      <x:c r="C139" s="117"/>
      <x:c r="D139" s="117"/>
      <x:c r="E139" s="117"/>
      <x:c r="F139" s="117"/>
      <x:c r="G139" s="117"/>
      <x:c r="H139" s="117"/>
      <x:c r="I139" s="117"/>
      <x:c r="J139" s="117"/>
      <x:c r="K139" s="117"/>
      <x:c r="L139" s="117"/>
      <x:c r="M139" s="117"/>
      <x:c r="N139" s="117"/>
      <x:c r="O139" s="117"/>
      <x:c r="P139" s="117"/>
      <x:c r="Q139" s="117"/>
      <x:c r="R139" s="117"/>
      <x:c r="S139" s="117"/>
      <x:c r="T139" s="117"/>
      <x:c r="U139" s="117"/>
      <x:c r="V139" s="117"/>
      <x:c r="W139" s="117"/>
      <x:c r="X139" s="117"/>
      <x:c r="Y139" s="117"/>
      <x:c r="Z139" s="117"/>
    </x:row>
    <x:row r="140">
      <x:c r="A140" s="117"/>
      <x:c r="B140" s="117"/>
      <x:c r="C140" s="117"/>
      <x:c r="D140" s="117"/>
      <x:c r="E140" s="117"/>
      <x:c r="F140" s="117"/>
      <x:c r="G140" s="117"/>
      <x:c r="H140" s="117"/>
      <x:c r="I140" s="117"/>
      <x:c r="J140" s="117"/>
      <x:c r="K140" s="117"/>
      <x:c r="L140" s="117"/>
      <x:c r="M140" s="117"/>
      <x:c r="N140" s="117"/>
      <x:c r="O140" s="117"/>
      <x:c r="P140" s="117"/>
      <x:c r="Q140" s="117"/>
      <x:c r="R140" s="117"/>
      <x:c r="S140" s="117"/>
      <x:c r="T140" s="117"/>
      <x:c r="U140" s="117"/>
      <x:c r="V140" s="117"/>
      <x:c r="W140" s="117"/>
      <x:c r="X140" s="117"/>
      <x:c r="Y140" s="117"/>
      <x:c r="Z140" s="117"/>
    </x:row>
    <x:row r="141">
      <x:c r="A141" s="117"/>
      <x:c r="B141" s="117"/>
      <x:c r="C141" s="117"/>
      <x:c r="D141" s="117"/>
      <x:c r="E141" s="117"/>
      <x:c r="F141" s="117"/>
      <x:c r="G141" s="117"/>
      <x:c r="H141" s="117"/>
      <x:c r="I141" s="117"/>
      <x:c r="J141" s="117"/>
      <x:c r="K141" s="117"/>
      <x:c r="L141" s="117"/>
      <x:c r="M141" s="117"/>
      <x:c r="N141" s="117"/>
      <x:c r="O141" s="117"/>
      <x:c r="P141" s="117"/>
      <x:c r="Q141" s="117"/>
      <x:c r="R141" s="117"/>
      <x:c r="S141" s="117"/>
      <x:c r="T141" s="117"/>
      <x:c r="U141" s="117"/>
      <x:c r="V141" s="117"/>
      <x:c r="W141" s="117"/>
      <x:c r="X141" s="117"/>
      <x:c r="Y141" s="117"/>
      <x:c r="Z141" s="117"/>
    </x:row>
    <x:row r="142">
      <x:c r="A142" s="117"/>
      <x:c r="B142" s="117"/>
      <x:c r="C142" s="117"/>
      <x:c r="D142" s="117"/>
      <x:c r="E142" s="117"/>
      <x:c r="F142" s="117"/>
      <x:c r="G142" s="117"/>
      <x:c r="H142" s="117"/>
      <x:c r="I142" s="117"/>
      <x:c r="J142" s="117"/>
      <x:c r="K142" s="117"/>
      <x:c r="L142" s="117"/>
      <x:c r="M142" s="117"/>
      <x:c r="N142" s="117"/>
      <x:c r="O142" s="117"/>
      <x:c r="P142" s="117"/>
      <x:c r="Q142" s="117"/>
      <x:c r="R142" s="117"/>
      <x:c r="S142" s="117"/>
      <x:c r="T142" s="117"/>
      <x:c r="U142" s="117"/>
      <x:c r="V142" s="117"/>
      <x:c r="W142" s="117"/>
      <x:c r="X142" s="117"/>
      <x:c r="Y142" s="117"/>
      <x:c r="Z142" s="117"/>
    </x:row>
    <x:row r="143">
      <x:c r="A143" s="117"/>
      <x:c r="B143" s="117"/>
      <x:c r="C143" s="117"/>
      <x:c r="D143" s="117"/>
      <x:c r="E143" s="117"/>
      <x:c r="F143" s="117"/>
      <x:c r="G143" s="117"/>
      <x:c r="H143" s="117"/>
      <x:c r="I143" s="117"/>
      <x:c r="J143" s="117"/>
      <x:c r="K143" s="117"/>
      <x:c r="L143" s="117"/>
      <x:c r="M143" s="117"/>
      <x:c r="N143" s="117"/>
      <x:c r="O143" s="117"/>
      <x:c r="P143" s="117"/>
      <x:c r="Q143" s="117"/>
      <x:c r="R143" s="117"/>
      <x:c r="S143" s="117"/>
      <x:c r="T143" s="117"/>
      <x:c r="U143" s="117"/>
      <x:c r="V143" s="117"/>
      <x:c r="W143" s="117"/>
      <x:c r="X143" s="117"/>
      <x:c r="Y143" s="117"/>
      <x:c r="Z143" s="117"/>
    </x:row>
    <x:row r="144">
      <x:c r="A144" s="117"/>
      <x:c r="B144" s="117"/>
      <x:c r="C144" s="117"/>
      <x:c r="D144" s="117"/>
      <x:c r="E144" s="117"/>
      <x:c r="F144" s="117"/>
      <x:c r="G144" s="117"/>
      <x:c r="H144" s="117"/>
      <x:c r="I144" s="117"/>
      <x:c r="J144" s="117"/>
      <x:c r="K144" s="117"/>
      <x:c r="L144" s="117"/>
      <x:c r="M144" s="117"/>
      <x:c r="N144" s="117"/>
      <x:c r="O144" s="117"/>
      <x:c r="P144" s="117"/>
      <x:c r="Q144" s="117"/>
      <x:c r="R144" s="117"/>
      <x:c r="S144" s="117"/>
      <x:c r="T144" s="117"/>
      <x:c r="U144" s="117"/>
      <x:c r="V144" s="117"/>
      <x:c r="W144" s="117"/>
      <x:c r="X144" s="117"/>
      <x:c r="Y144" s="117"/>
      <x:c r="Z144" s="117"/>
    </x:row>
    <x:row r="145">
      <x:c r="A145" s="117"/>
      <x:c r="B145" s="117"/>
      <x:c r="C145" s="117"/>
      <x:c r="D145" s="117"/>
      <x:c r="E145" s="117"/>
      <x:c r="F145" s="117"/>
      <x:c r="G145" s="117"/>
      <x:c r="H145" s="117"/>
      <x:c r="I145" s="117"/>
      <x:c r="J145" s="117"/>
      <x:c r="K145" s="117"/>
      <x:c r="L145" s="117"/>
      <x:c r="M145" s="117"/>
      <x:c r="N145" s="117"/>
      <x:c r="O145" s="117"/>
      <x:c r="P145" s="117"/>
      <x:c r="Q145" s="117"/>
      <x:c r="R145" s="117"/>
      <x:c r="S145" s="117"/>
      <x:c r="T145" s="117"/>
      <x:c r="U145" s="117"/>
      <x:c r="V145" s="117"/>
      <x:c r="W145" s="117"/>
      <x:c r="X145" s="117"/>
      <x:c r="Y145" s="117"/>
      <x:c r="Z145" s="117"/>
    </x:row>
    <x:row r="146">
      <x:c r="A146" s="117"/>
      <x:c r="B146" s="117"/>
      <x:c r="C146" s="117"/>
      <x:c r="D146" s="117"/>
      <x:c r="E146" s="117"/>
      <x:c r="F146" s="117"/>
      <x:c r="G146" s="117"/>
      <x:c r="H146" s="117"/>
      <x:c r="I146" s="117"/>
      <x:c r="J146" s="117"/>
      <x:c r="K146" s="117"/>
      <x:c r="L146" s="117"/>
      <x:c r="M146" s="117"/>
      <x:c r="N146" s="117"/>
      <x:c r="O146" s="117"/>
      <x:c r="P146" s="117"/>
      <x:c r="Q146" s="117"/>
      <x:c r="R146" s="117"/>
      <x:c r="S146" s="117"/>
      <x:c r="T146" s="117"/>
      <x:c r="U146" s="117"/>
      <x:c r="V146" s="117"/>
      <x:c r="W146" s="117"/>
      <x:c r="X146" s="117"/>
      <x:c r="Y146" s="117"/>
      <x:c r="Z146" s="117"/>
    </x:row>
    <x:row r="147">
      <x:c r="A147" s="117"/>
      <x:c r="B147" s="117"/>
      <x:c r="C147" s="117"/>
      <x:c r="D147" s="117"/>
      <x:c r="E147" s="117"/>
      <x:c r="F147" s="117"/>
      <x:c r="G147" s="117"/>
      <x:c r="H147" s="117"/>
      <x:c r="I147" s="117"/>
      <x:c r="J147" s="117"/>
      <x:c r="K147" s="117"/>
      <x:c r="L147" s="117"/>
      <x:c r="M147" s="117"/>
      <x:c r="N147" s="117"/>
      <x:c r="O147" s="117"/>
      <x:c r="P147" s="117"/>
      <x:c r="Q147" s="117"/>
      <x:c r="R147" s="117"/>
      <x:c r="S147" s="117"/>
      <x:c r="T147" s="117"/>
      <x:c r="U147" s="117"/>
      <x:c r="V147" s="117"/>
      <x:c r="W147" s="117"/>
      <x:c r="X147" s="117"/>
      <x:c r="Y147" s="117"/>
      <x:c r="Z147" s="117"/>
    </x:row>
    <x:row r="148">
      <x:c r="A148" s="117"/>
      <x:c r="B148" s="117"/>
      <x:c r="C148" s="117"/>
      <x:c r="D148" s="117"/>
      <x:c r="E148" s="117"/>
      <x:c r="F148" s="117"/>
      <x:c r="G148" s="117"/>
      <x:c r="H148" s="117"/>
      <x:c r="I148" s="117"/>
      <x:c r="J148" s="117"/>
      <x:c r="K148" s="117"/>
      <x:c r="L148" s="117"/>
      <x:c r="M148" s="117"/>
      <x:c r="N148" s="117"/>
      <x:c r="O148" s="117"/>
      <x:c r="P148" s="117"/>
      <x:c r="Q148" s="117"/>
      <x:c r="R148" s="117"/>
      <x:c r="S148" s="117"/>
      <x:c r="T148" s="117"/>
      <x:c r="U148" s="117"/>
      <x:c r="V148" s="117"/>
      <x:c r="W148" s="117"/>
      <x:c r="X148" s="117"/>
      <x:c r="Y148" s="117"/>
      <x:c r="Z148" s="117"/>
    </x:row>
    <x:row r="149">
      <x:c r="A149" s="117"/>
      <x:c r="B149" s="117"/>
      <x:c r="C149" s="117"/>
      <x:c r="D149" s="117"/>
      <x:c r="E149" s="117"/>
      <x:c r="F149" s="117"/>
      <x:c r="G149" s="117"/>
      <x:c r="H149" s="117"/>
      <x:c r="I149" s="117"/>
      <x:c r="J149" s="117"/>
      <x:c r="K149" s="117"/>
      <x:c r="L149" s="117"/>
      <x:c r="M149" s="117"/>
      <x:c r="N149" s="117"/>
      <x:c r="O149" s="117"/>
      <x:c r="P149" s="117"/>
      <x:c r="Q149" s="117"/>
      <x:c r="R149" s="117"/>
      <x:c r="S149" s="117"/>
      <x:c r="T149" s="117"/>
      <x:c r="U149" s="117"/>
      <x:c r="V149" s="117"/>
      <x:c r="W149" s="117"/>
      <x:c r="X149" s="117"/>
      <x:c r="Y149" s="117"/>
      <x:c r="Z149" s="117"/>
    </x:row>
    <x:row r="150">
      <x:c r="A150" s="117"/>
      <x:c r="B150" s="117"/>
      <x:c r="C150" s="117"/>
      <x:c r="D150" s="117"/>
      <x:c r="E150" s="117"/>
      <x:c r="F150" s="117"/>
      <x:c r="G150" s="117"/>
      <x:c r="H150" s="117"/>
      <x:c r="I150" s="117"/>
      <x:c r="J150" s="117"/>
      <x:c r="K150" s="117"/>
      <x:c r="L150" s="117"/>
      <x:c r="M150" s="117"/>
      <x:c r="N150" s="117"/>
      <x:c r="O150" s="117"/>
      <x:c r="P150" s="117"/>
      <x:c r="Q150" s="117"/>
      <x:c r="R150" s="117"/>
      <x:c r="S150" s="117"/>
      <x:c r="T150" s="117"/>
      <x:c r="U150" s="117"/>
      <x:c r="V150" s="117"/>
      <x:c r="W150" s="117"/>
      <x:c r="X150" s="117"/>
      <x:c r="Y150" s="117"/>
      <x:c r="Z150" s="117"/>
    </x:row>
    <x:row r="151">
      <x:c r="A151" s="117"/>
      <x:c r="B151" s="117"/>
      <x:c r="C151" s="117"/>
      <x:c r="D151" s="117"/>
      <x:c r="E151" s="117"/>
      <x:c r="F151" s="117"/>
      <x:c r="G151" s="117"/>
      <x:c r="H151" s="117"/>
      <x:c r="I151" s="117"/>
      <x:c r="J151" s="117"/>
      <x:c r="K151" s="117"/>
      <x:c r="L151" s="117"/>
      <x:c r="M151" s="117"/>
      <x:c r="N151" s="117"/>
      <x:c r="O151" s="117"/>
      <x:c r="P151" s="117"/>
      <x:c r="Q151" s="117"/>
      <x:c r="R151" s="117"/>
      <x:c r="S151" s="117"/>
      <x:c r="T151" s="117"/>
      <x:c r="U151" s="117"/>
      <x:c r="V151" s="117"/>
      <x:c r="W151" s="117"/>
      <x:c r="X151" s="117"/>
      <x:c r="Y151" s="117"/>
      <x:c r="Z151" s="117"/>
    </x:row>
    <x:row r="152">
      <x:c r="A152" s="117"/>
      <x:c r="B152" s="117"/>
      <x:c r="C152" s="117"/>
      <x:c r="D152" s="117"/>
      <x:c r="E152" s="117"/>
      <x:c r="F152" s="117"/>
      <x:c r="G152" s="117"/>
      <x:c r="H152" s="117"/>
      <x:c r="I152" s="117"/>
      <x:c r="J152" s="117"/>
      <x:c r="K152" s="117"/>
      <x:c r="L152" s="117"/>
      <x:c r="M152" s="117"/>
      <x:c r="N152" s="117"/>
      <x:c r="O152" s="117"/>
      <x:c r="P152" s="117"/>
      <x:c r="Q152" s="117"/>
      <x:c r="R152" s="117"/>
      <x:c r="S152" s="117"/>
      <x:c r="T152" s="117"/>
      <x:c r="U152" s="117"/>
      <x:c r="V152" s="117"/>
      <x:c r="W152" s="117"/>
      <x:c r="X152" s="117"/>
      <x:c r="Y152" s="117"/>
      <x:c r="Z152" s="117"/>
    </x:row>
    <x:row r="153">
      <x:c r="A153" s="117"/>
      <x:c r="B153" s="117"/>
      <x:c r="C153" s="117"/>
      <x:c r="D153" s="117"/>
      <x:c r="E153" s="117"/>
      <x:c r="F153" s="117"/>
      <x:c r="G153" s="117"/>
      <x:c r="H153" s="117"/>
      <x:c r="I153" s="117"/>
      <x:c r="J153" s="117"/>
      <x:c r="K153" s="117"/>
      <x:c r="L153" s="117"/>
      <x:c r="M153" s="117"/>
      <x:c r="N153" s="117"/>
      <x:c r="O153" s="117"/>
      <x:c r="P153" s="117"/>
      <x:c r="Q153" s="117"/>
      <x:c r="R153" s="117"/>
      <x:c r="S153" s="117"/>
      <x:c r="T153" s="117"/>
      <x:c r="U153" s="117"/>
      <x:c r="V153" s="117"/>
      <x:c r="W153" s="117"/>
      <x:c r="X153" s="117"/>
      <x:c r="Y153" s="117"/>
      <x:c r="Z153" s="117"/>
    </x:row>
    <x:row r="154">
      <x:c r="A154" s="117"/>
      <x:c r="B154" s="117"/>
      <x:c r="C154" s="117"/>
      <x:c r="D154" s="117"/>
      <x:c r="E154" s="117"/>
      <x:c r="F154" s="117"/>
      <x:c r="G154" s="117"/>
      <x:c r="H154" s="117"/>
      <x:c r="I154" s="117"/>
      <x:c r="J154" s="117"/>
      <x:c r="K154" s="117"/>
      <x:c r="L154" s="117"/>
      <x:c r="M154" s="117"/>
      <x:c r="N154" s="117"/>
      <x:c r="O154" s="117"/>
      <x:c r="P154" s="117"/>
      <x:c r="Q154" s="117"/>
      <x:c r="R154" s="117"/>
      <x:c r="S154" s="117"/>
      <x:c r="T154" s="117"/>
      <x:c r="U154" s="117"/>
      <x:c r="V154" s="117"/>
      <x:c r="W154" s="117"/>
      <x:c r="X154" s="117"/>
      <x:c r="Y154" s="117"/>
      <x:c r="Z154" s="117"/>
    </x:row>
    <x:row r="155">
      <x:c r="A155" s="117"/>
      <x:c r="B155" s="117"/>
      <x:c r="C155" s="117"/>
      <x:c r="D155" s="117"/>
      <x:c r="E155" s="117"/>
      <x:c r="F155" s="117"/>
      <x:c r="G155" s="117"/>
      <x:c r="H155" s="117"/>
      <x:c r="I155" s="117"/>
      <x:c r="J155" s="117"/>
      <x:c r="K155" s="117"/>
      <x:c r="L155" s="117"/>
      <x:c r="M155" s="117"/>
      <x:c r="N155" s="117"/>
      <x:c r="O155" s="117"/>
      <x:c r="P155" s="117"/>
      <x:c r="Q155" s="117"/>
      <x:c r="R155" s="117"/>
      <x:c r="S155" s="117"/>
      <x:c r="T155" s="117"/>
      <x:c r="U155" s="117"/>
      <x:c r="V155" s="117"/>
      <x:c r="W155" s="117"/>
      <x:c r="X155" s="117"/>
      <x:c r="Y155" s="117"/>
      <x:c r="Z155" s="117"/>
    </x:row>
    <x:row r="156">
      <x:c r="A156" s="117"/>
      <x:c r="B156" s="117"/>
      <x:c r="C156" s="117"/>
      <x:c r="D156" s="117"/>
      <x:c r="E156" s="117"/>
      <x:c r="F156" s="117"/>
      <x:c r="G156" s="117"/>
      <x:c r="H156" s="117"/>
      <x:c r="I156" s="117"/>
      <x:c r="J156" s="117"/>
      <x:c r="K156" s="117"/>
      <x:c r="L156" s="117"/>
      <x:c r="M156" s="117"/>
      <x:c r="N156" s="117"/>
      <x:c r="O156" s="117"/>
      <x:c r="P156" s="117"/>
      <x:c r="Q156" s="117"/>
      <x:c r="R156" s="117"/>
      <x:c r="S156" s="117"/>
      <x:c r="T156" s="117"/>
      <x:c r="U156" s="117"/>
      <x:c r="V156" s="117"/>
      <x:c r="W156" s="117"/>
      <x:c r="X156" s="117"/>
      <x:c r="Y156" s="117"/>
      <x:c r="Z156" s="117"/>
    </x:row>
    <x:row r="157">
      <x:c r="A157" s="117"/>
      <x:c r="B157" s="117"/>
      <x:c r="C157" s="117"/>
      <x:c r="D157" s="117"/>
      <x:c r="E157" s="117"/>
      <x:c r="F157" s="117"/>
      <x:c r="G157" s="117"/>
      <x:c r="H157" s="117"/>
      <x:c r="I157" s="117"/>
      <x:c r="J157" s="117"/>
      <x:c r="K157" s="117"/>
      <x:c r="L157" s="117"/>
      <x:c r="M157" s="117"/>
      <x:c r="N157" s="117"/>
      <x:c r="O157" s="117"/>
      <x:c r="P157" s="117"/>
      <x:c r="Q157" s="117"/>
      <x:c r="R157" s="117"/>
      <x:c r="S157" s="117"/>
      <x:c r="T157" s="117"/>
      <x:c r="U157" s="117"/>
      <x:c r="V157" s="117"/>
      <x:c r="W157" s="117"/>
      <x:c r="X157" s="117"/>
      <x:c r="Y157" s="117"/>
      <x:c r="Z157" s="117"/>
    </x:row>
    <x:row r="158">
      <x:c r="A158" s="117"/>
      <x:c r="B158" s="117"/>
      <x:c r="C158" s="117"/>
      <x:c r="D158" s="117"/>
      <x:c r="E158" s="117"/>
      <x:c r="F158" s="117"/>
      <x:c r="G158" s="117"/>
      <x:c r="H158" s="117"/>
      <x:c r="I158" s="117"/>
      <x:c r="J158" s="117"/>
      <x:c r="K158" s="117"/>
      <x:c r="L158" s="117"/>
      <x:c r="M158" s="117"/>
      <x:c r="N158" s="117"/>
      <x:c r="O158" s="117"/>
      <x:c r="P158" s="117"/>
      <x:c r="Q158" s="117"/>
      <x:c r="R158" s="117"/>
      <x:c r="S158" s="117"/>
      <x:c r="T158" s="117"/>
      <x:c r="U158" s="117"/>
      <x:c r="V158" s="117"/>
      <x:c r="W158" s="117"/>
      <x:c r="X158" s="117"/>
      <x:c r="Y158" s="117"/>
      <x:c r="Z158" s="117"/>
    </x:row>
    <x:row r="159">
      <x:c r="A159" s="117"/>
      <x:c r="B159" s="117"/>
      <x:c r="C159" s="117"/>
      <x:c r="D159" s="117"/>
      <x:c r="E159" s="117"/>
      <x:c r="F159" s="117"/>
      <x:c r="G159" s="117"/>
      <x:c r="H159" s="117"/>
      <x:c r="I159" s="117"/>
      <x:c r="J159" s="117"/>
      <x:c r="K159" s="117"/>
      <x:c r="L159" s="117"/>
      <x:c r="M159" s="117"/>
      <x:c r="N159" s="117"/>
      <x:c r="O159" s="117"/>
      <x:c r="P159" s="117"/>
      <x:c r="Q159" s="117"/>
      <x:c r="R159" s="117"/>
      <x:c r="S159" s="117"/>
      <x:c r="T159" s="117"/>
      <x:c r="U159" s="117"/>
      <x:c r="V159" s="117"/>
      <x:c r="W159" s="117"/>
      <x:c r="X159" s="117"/>
      <x:c r="Y159" s="117"/>
      <x:c r="Z159" s="117"/>
    </x:row>
    <x:row r="160">
      <x:c r="A160" s="117"/>
      <x:c r="B160" s="117"/>
      <x:c r="C160" s="117"/>
      <x:c r="D160" s="117"/>
      <x:c r="E160" s="117"/>
      <x:c r="F160" s="117"/>
      <x:c r="G160" s="117"/>
      <x:c r="H160" s="117"/>
      <x:c r="I160" s="117"/>
      <x:c r="J160" s="117"/>
      <x:c r="K160" s="117"/>
      <x:c r="L160" s="117"/>
      <x:c r="M160" s="117"/>
      <x:c r="N160" s="117"/>
      <x:c r="O160" s="117"/>
      <x:c r="P160" s="117"/>
      <x:c r="Q160" s="117"/>
      <x:c r="R160" s="117"/>
      <x:c r="S160" s="117"/>
      <x:c r="T160" s="117"/>
      <x:c r="U160" s="117"/>
      <x:c r="V160" s="117"/>
      <x:c r="W160" s="117"/>
      <x:c r="X160" s="117"/>
      <x:c r="Y160" s="117"/>
      <x:c r="Z160" s="117"/>
    </x:row>
    <x:row r="161">
      <x:c r="A161" s="117"/>
      <x:c r="B161" s="117"/>
      <x:c r="C161" s="117"/>
      <x:c r="D161" s="117"/>
      <x:c r="E161" s="117"/>
      <x:c r="F161" s="117"/>
      <x:c r="G161" s="117"/>
      <x:c r="H161" s="117"/>
      <x:c r="I161" s="117"/>
      <x:c r="J161" s="117"/>
      <x:c r="K161" s="117"/>
      <x:c r="L161" s="117"/>
      <x:c r="M161" s="117"/>
      <x:c r="N161" s="117"/>
      <x:c r="O161" s="117"/>
      <x:c r="P161" s="117"/>
      <x:c r="Q161" s="117"/>
      <x:c r="R161" s="117"/>
      <x:c r="S161" s="117"/>
      <x:c r="T161" s="117"/>
      <x:c r="U161" s="117"/>
      <x:c r="V161" s="117"/>
      <x:c r="W161" s="117"/>
      <x:c r="X161" s="117"/>
      <x:c r="Y161" s="117"/>
      <x:c r="Z161" s="117"/>
    </x:row>
    <x:row r="162">
      <x:c r="A162" s="117"/>
      <x:c r="B162" s="117"/>
      <x:c r="C162" s="117"/>
      <x:c r="D162" s="117"/>
      <x:c r="E162" s="117"/>
      <x:c r="F162" s="117"/>
      <x:c r="G162" s="117"/>
      <x:c r="H162" s="117"/>
      <x:c r="I162" s="117"/>
      <x:c r="J162" s="117"/>
      <x:c r="K162" s="117"/>
      <x:c r="L162" s="117"/>
      <x:c r="M162" s="117"/>
      <x:c r="N162" s="117"/>
      <x:c r="O162" s="117"/>
      <x:c r="P162" s="117"/>
      <x:c r="Q162" s="117"/>
      <x:c r="R162" s="117"/>
      <x:c r="S162" s="117"/>
      <x:c r="T162" s="117"/>
      <x:c r="U162" s="117"/>
      <x:c r="V162" s="117"/>
      <x:c r="W162" s="117"/>
      <x:c r="X162" s="117"/>
      <x:c r="Y162" s="117"/>
      <x:c r="Z162" s="117"/>
    </x:row>
    <x:row r="163">
      <x:c r="A163" s="117"/>
      <x:c r="B163" s="117"/>
      <x:c r="C163" s="117"/>
      <x:c r="D163" s="117"/>
      <x:c r="E163" s="117"/>
      <x:c r="F163" s="117"/>
      <x:c r="G163" s="117"/>
      <x:c r="H163" s="117"/>
      <x:c r="I163" s="117"/>
      <x:c r="J163" s="117"/>
      <x:c r="K163" s="117"/>
      <x:c r="L163" s="117"/>
      <x:c r="M163" s="117"/>
      <x:c r="N163" s="117"/>
      <x:c r="O163" s="117"/>
      <x:c r="P163" s="117"/>
      <x:c r="Q163" s="117"/>
      <x:c r="R163" s="117"/>
      <x:c r="S163" s="117"/>
      <x:c r="T163" s="117"/>
      <x:c r="U163" s="117"/>
      <x:c r="V163" s="117"/>
      <x:c r="W163" s="117"/>
      <x:c r="X163" s="117"/>
      <x:c r="Y163" s="117"/>
      <x:c r="Z163" s="117"/>
    </x:row>
    <x:row r="164">
      <x:c r="A164" s="117"/>
      <x:c r="B164" s="117"/>
      <x:c r="C164" s="117"/>
      <x:c r="D164" s="117"/>
      <x:c r="E164" s="117"/>
      <x:c r="F164" s="117"/>
      <x:c r="G164" s="117"/>
      <x:c r="H164" s="117"/>
      <x:c r="I164" s="117"/>
      <x:c r="J164" s="117"/>
      <x:c r="K164" s="117"/>
      <x:c r="L164" s="117"/>
      <x:c r="M164" s="117"/>
      <x:c r="N164" s="117"/>
      <x:c r="O164" s="117"/>
      <x:c r="P164" s="117"/>
      <x:c r="Q164" s="117"/>
      <x:c r="R164" s="117"/>
      <x:c r="S164" s="117"/>
      <x:c r="T164" s="117"/>
      <x:c r="U164" s="117"/>
      <x:c r="V164" s="117"/>
      <x:c r="W164" s="117"/>
      <x:c r="X164" s="117"/>
      <x:c r="Y164" s="117"/>
      <x:c r="Z164" s="117"/>
    </x:row>
    <x:row r="165">
      <x:c r="A165" s="117"/>
      <x:c r="B165" s="117"/>
      <x:c r="C165" s="117"/>
      <x:c r="D165" s="117"/>
      <x:c r="E165" s="117"/>
      <x:c r="F165" s="117"/>
      <x:c r="G165" s="117"/>
      <x:c r="H165" s="117"/>
      <x:c r="I165" s="117"/>
      <x:c r="J165" s="117"/>
      <x:c r="K165" s="117"/>
      <x:c r="L165" s="117"/>
      <x:c r="M165" s="117"/>
      <x:c r="N165" s="117"/>
      <x:c r="O165" s="117"/>
      <x:c r="P165" s="117"/>
      <x:c r="Q165" s="117"/>
      <x:c r="R165" s="117"/>
      <x:c r="S165" s="117"/>
      <x:c r="T165" s="117"/>
      <x:c r="U165" s="117"/>
      <x:c r="V165" s="117"/>
      <x:c r="W165" s="117"/>
      <x:c r="X165" s="117"/>
      <x:c r="Y165" s="117"/>
      <x:c r="Z165" s="117"/>
    </x:row>
    <x:row r="166">
      <x:c r="A166" s="117"/>
      <x:c r="B166" s="117"/>
      <x:c r="C166" s="117"/>
      <x:c r="D166" s="117"/>
      <x:c r="E166" s="117"/>
      <x:c r="F166" s="117"/>
      <x:c r="G166" s="117"/>
      <x:c r="H166" s="117"/>
      <x:c r="I166" s="117"/>
      <x:c r="J166" s="117"/>
      <x:c r="K166" s="117"/>
      <x:c r="L166" s="117"/>
      <x:c r="M166" s="117"/>
      <x:c r="N166" s="117"/>
      <x:c r="O166" s="117"/>
      <x:c r="P166" s="117"/>
      <x:c r="Q166" s="117"/>
      <x:c r="R166" s="117"/>
      <x:c r="S166" s="117"/>
      <x:c r="T166" s="117"/>
      <x:c r="U166" s="117"/>
      <x:c r="V166" s="117"/>
      <x:c r="W166" s="117"/>
      <x:c r="X166" s="117"/>
      <x:c r="Y166" s="117"/>
      <x:c r="Z166" s="117"/>
    </x:row>
    <x:row r="167">
      <x:c r="A167" s="117"/>
      <x:c r="B167" s="117"/>
      <x:c r="C167" s="117"/>
      <x:c r="D167" s="117"/>
      <x:c r="E167" s="117"/>
      <x:c r="F167" s="117"/>
      <x:c r="G167" s="117"/>
      <x:c r="H167" s="117"/>
      <x:c r="I167" s="117"/>
      <x:c r="J167" s="117"/>
      <x:c r="K167" s="117"/>
      <x:c r="L167" s="117"/>
      <x:c r="M167" s="117"/>
      <x:c r="N167" s="117"/>
      <x:c r="O167" s="117"/>
      <x:c r="P167" s="117"/>
      <x:c r="Q167" s="117"/>
      <x:c r="R167" s="117"/>
      <x:c r="S167" s="117"/>
      <x:c r="T167" s="117"/>
      <x:c r="U167" s="117"/>
      <x:c r="V167" s="117"/>
      <x:c r="W167" s="117"/>
      <x:c r="X167" s="117"/>
      <x:c r="Y167" s="117"/>
      <x:c r="Z167" s="117"/>
    </x:row>
    <x:row r="168">
      <x:c r="A168" s="117"/>
      <x:c r="B168" s="117"/>
      <x:c r="C168" s="117"/>
      <x:c r="D168" s="117"/>
      <x:c r="E168" s="117"/>
      <x:c r="F168" s="117"/>
      <x:c r="G168" s="117"/>
      <x:c r="H168" s="117"/>
      <x:c r="I168" s="117"/>
      <x:c r="J168" s="117"/>
      <x:c r="K168" s="117"/>
      <x:c r="L168" s="117"/>
      <x:c r="M168" s="117"/>
      <x:c r="N168" s="117"/>
      <x:c r="O168" s="117"/>
      <x:c r="P168" s="117"/>
      <x:c r="Q168" s="117"/>
      <x:c r="R168" s="117"/>
      <x:c r="S168" s="117"/>
      <x:c r="T168" s="117"/>
      <x:c r="U168" s="117"/>
      <x:c r="V168" s="117"/>
      <x:c r="W168" s="117"/>
      <x:c r="X168" s="117"/>
      <x:c r="Y168" s="117"/>
      <x:c r="Z168" s="117"/>
    </x:row>
    <x:row r="169">
      <x:c r="A169" s="117"/>
      <x:c r="B169" s="117"/>
      <x:c r="C169" s="117"/>
      <x:c r="D169" s="117"/>
      <x:c r="E169" s="117"/>
      <x:c r="F169" s="117"/>
      <x:c r="G169" s="117"/>
      <x:c r="H169" s="117"/>
      <x:c r="I169" s="117"/>
      <x:c r="J169" s="117"/>
      <x:c r="K169" s="117"/>
      <x:c r="L169" s="117"/>
      <x:c r="M169" s="117"/>
      <x:c r="N169" s="117"/>
      <x:c r="O169" s="117"/>
      <x:c r="P169" s="117"/>
      <x:c r="Q169" s="117"/>
      <x:c r="R169" s="117"/>
      <x:c r="S169" s="117"/>
      <x:c r="T169" s="117"/>
      <x:c r="U169" s="117"/>
      <x:c r="V169" s="117"/>
      <x:c r="W169" s="117"/>
      <x:c r="X169" s="117"/>
      <x:c r="Y169" s="117"/>
      <x:c r="Z169" s="117"/>
    </x:row>
    <x:row r="170">
      <x:c r="A170" s="117"/>
      <x:c r="B170" s="117"/>
      <x:c r="C170" s="117"/>
      <x:c r="D170" s="117"/>
      <x:c r="E170" s="117"/>
      <x:c r="F170" s="117"/>
      <x:c r="G170" s="117"/>
      <x:c r="H170" s="117"/>
      <x:c r="I170" s="117"/>
      <x:c r="J170" s="117"/>
      <x:c r="K170" s="117"/>
      <x:c r="L170" s="117"/>
      <x:c r="M170" s="117"/>
      <x:c r="N170" s="117"/>
      <x:c r="O170" s="117"/>
      <x:c r="P170" s="117"/>
      <x:c r="Q170" s="117"/>
      <x:c r="R170" s="117"/>
      <x:c r="S170" s="117"/>
      <x:c r="T170" s="117"/>
      <x:c r="U170" s="117"/>
      <x:c r="V170" s="117"/>
      <x:c r="W170" s="117"/>
      <x:c r="X170" s="117"/>
      <x:c r="Y170" s="117"/>
      <x:c r="Z170" s="117"/>
    </x:row>
    <x:row r="171">
      <x:c r="A171" s="117"/>
      <x:c r="B171" s="117"/>
      <x:c r="C171" s="117"/>
      <x:c r="D171" s="117"/>
      <x:c r="E171" s="117"/>
      <x:c r="F171" s="117"/>
      <x:c r="G171" s="117"/>
      <x:c r="H171" s="117"/>
      <x:c r="I171" s="117"/>
      <x:c r="J171" s="117"/>
      <x:c r="K171" s="117"/>
      <x:c r="L171" s="117"/>
      <x:c r="M171" s="117"/>
      <x:c r="N171" s="117"/>
      <x:c r="O171" s="117"/>
      <x:c r="P171" s="117"/>
      <x:c r="Q171" s="117"/>
      <x:c r="R171" s="117"/>
      <x:c r="S171" s="117"/>
      <x:c r="T171" s="117"/>
      <x:c r="U171" s="117"/>
      <x:c r="V171" s="117"/>
      <x:c r="W171" s="117"/>
      <x:c r="X171" s="117"/>
      <x:c r="Y171" s="117"/>
      <x:c r="Z171" s="117"/>
    </x:row>
    <x:row r="172">
      <x:c r="A172" s="117"/>
      <x:c r="B172" s="117"/>
      <x:c r="C172" s="117"/>
      <x:c r="D172" s="117"/>
      <x:c r="E172" s="117"/>
      <x:c r="F172" s="117"/>
      <x:c r="G172" s="117"/>
      <x:c r="H172" s="117"/>
      <x:c r="I172" s="117"/>
      <x:c r="J172" s="117"/>
      <x:c r="K172" s="117"/>
      <x:c r="L172" s="117"/>
      <x:c r="M172" s="117"/>
      <x:c r="N172" s="117"/>
      <x:c r="O172" s="117"/>
      <x:c r="P172" s="117"/>
      <x:c r="Q172" s="117"/>
      <x:c r="R172" s="117"/>
      <x:c r="S172" s="117"/>
      <x:c r="T172" s="117"/>
      <x:c r="U172" s="117"/>
      <x:c r="V172" s="117"/>
      <x:c r="W172" s="117"/>
      <x:c r="X172" s="117"/>
      <x:c r="Y172" s="117"/>
      <x:c r="Z172" s="117"/>
    </x:row>
    <x:row r="173">
      <x:c r="A173" s="117"/>
      <x:c r="B173" s="117"/>
      <x:c r="C173" s="117"/>
      <x:c r="D173" s="117"/>
      <x:c r="E173" s="117"/>
      <x:c r="F173" s="117"/>
      <x:c r="G173" s="117"/>
      <x:c r="H173" s="117"/>
      <x:c r="I173" s="117"/>
      <x:c r="J173" s="117"/>
      <x:c r="K173" s="117"/>
      <x:c r="L173" s="117"/>
      <x:c r="M173" s="117"/>
      <x:c r="N173" s="117"/>
      <x:c r="O173" s="117"/>
      <x:c r="P173" s="117"/>
      <x:c r="Q173" s="117"/>
      <x:c r="R173" s="117"/>
      <x:c r="S173" s="117"/>
      <x:c r="T173" s="117"/>
      <x:c r="U173" s="117"/>
      <x:c r="V173" s="117"/>
      <x:c r="W173" s="117"/>
      <x:c r="X173" s="117"/>
      <x:c r="Y173" s="117"/>
      <x:c r="Z173" s="117"/>
    </x:row>
    <x:row r="174">
      <x:c r="A174" s="117"/>
      <x:c r="B174" s="117"/>
      <x:c r="C174" s="117"/>
      <x:c r="D174" s="117"/>
      <x:c r="E174" s="117"/>
      <x:c r="F174" s="117"/>
      <x:c r="G174" s="117"/>
      <x:c r="H174" s="117"/>
      <x:c r="I174" s="117"/>
      <x:c r="J174" s="117"/>
      <x:c r="K174" s="117"/>
      <x:c r="L174" s="117"/>
      <x:c r="M174" s="117"/>
      <x:c r="N174" s="117"/>
      <x:c r="O174" s="117"/>
      <x:c r="P174" s="117"/>
      <x:c r="Q174" s="117"/>
      <x:c r="R174" s="117"/>
      <x:c r="S174" s="117"/>
      <x:c r="T174" s="117"/>
      <x:c r="U174" s="117"/>
      <x:c r="V174" s="117"/>
      <x:c r="W174" s="117"/>
      <x:c r="X174" s="117"/>
      <x:c r="Y174" s="117"/>
      <x:c r="Z174" s="117"/>
    </x:row>
    <x:row r="175">
      <x:c r="A175" s="117"/>
      <x:c r="B175" s="117"/>
      <x:c r="C175" s="117"/>
      <x:c r="D175" s="117"/>
      <x:c r="E175" s="117"/>
      <x:c r="F175" s="117"/>
      <x:c r="G175" s="117"/>
      <x:c r="H175" s="117"/>
      <x:c r="I175" s="117"/>
      <x:c r="J175" s="117"/>
      <x:c r="K175" s="117"/>
      <x:c r="L175" s="117"/>
      <x:c r="M175" s="117"/>
      <x:c r="N175" s="117"/>
      <x:c r="O175" s="117"/>
      <x:c r="P175" s="117"/>
      <x:c r="Q175" s="117"/>
      <x:c r="R175" s="117"/>
      <x:c r="S175" s="117"/>
      <x:c r="T175" s="117"/>
      <x:c r="U175" s="117"/>
      <x:c r="V175" s="117"/>
      <x:c r="W175" s="117"/>
      <x:c r="X175" s="117"/>
      <x:c r="Y175" s="117"/>
      <x:c r="Z175" s="117"/>
    </x:row>
    <x:row r="176">
      <x:c r="A176" s="117"/>
      <x:c r="B176" s="117"/>
      <x:c r="C176" s="117"/>
      <x:c r="D176" s="117"/>
      <x:c r="E176" s="117"/>
      <x:c r="F176" s="117"/>
      <x:c r="G176" s="117"/>
      <x:c r="H176" s="117"/>
      <x:c r="I176" s="117"/>
      <x:c r="J176" s="117"/>
      <x:c r="K176" s="117"/>
      <x:c r="L176" s="117"/>
      <x:c r="M176" s="117"/>
      <x:c r="N176" s="117"/>
      <x:c r="O176" s="117"/>
      <x:c r="P176" s="117"/>
      <x:c r="Q176" s="117"/>
      <x:c r="R176" s="117"/>
      <x:c r="S176" s="117"/>
      <x:c r="T176" s="117"/>
      <x:c r="U176" s="117"/>
      <x:c r="V176" s="117"/>
      <x:c r="W176" s="117"/>
      <x:c r="X176" s="117"/>
      <x:c r="Y176" s="117"/>
      <x:c r="Z176" s="117"/>
    </x:row>
    <x:row r="177">
      <x:c r="A177" s="117"/>
      <x:c r="B177" s="117"/>
      <x:c r="C177" s="117"/>
      <x:c r="D177" s="117"/>
      <x:c r="E177" s="117"/>
      <x:c r="F177" s="117"/>
      <x:c r="G177" s="117"/>
      <x:c r="H177" s="117"/>
      <x:c r="I177" s="117"/>
      <x:c r="J177" s="117"/>
      <x:c r="K177" s="117"/>
      <x:c r="L177" s="117"/>
      <x:c r="M177" s="117"/>
      <x:c r="N177" s="117"/>
      <x:c r="O177" s="117"/>
      <x:c r="P177" s="117"/>
      <x:c r="Q177" s="117"/>
      <x:c r="R177" s="117"/>
      <x:c r="S177" s="117"/>
      <x:c r="T177" s="117"/>
      <x:c r="U177" s="117"/>
      <x:c r="V177" s="117"/>
      <x:c r="W177" s="117"/>
      <x:c r="X177" s="117"/>
      <x:c r="Y177" s="117"/>
      <x:c r="Z177" s="117"/>
    </x:row>
    <x:row r="178">
      <x:c r="A178" s="117"/>
      <x:c r="B178" s="117"/>
      <x:c r="C178" s="117"/>
      <x:c r="D178" s="117"/>
      <x:c r="E178" s="117"/>
      <x:c r="F178" s="117"/>
      <x:c r="G178" s="117"/>
      <x:c r="H178" s="117"/>
      <x:c r="I178" s="117"/>
      <x:c r="J178" s="117"/>
      <x:c r="K178" s="117"/>
      <x:c r="L178" s="117"/>
      <x:c r="M178" s="117"/>
      <x:c r="N178" s="117"/>
      <x:c r="O178" s="117"/>
      <x:c r="P178" s="117"/>
      <x:c r="Q178" s="117"/>
      <x:c r="R178" s="117"/>
      <x:c r="S178" s="117"/>
      <x:c r="T178" s="117"/>
      <x:c r="U178" s="117"/>
      <x:c r="V178" s="117"/>
      <x:c r="W178" s="117"/>
      <x:c r="X178" s="117"/>
      <x:c r="Y178" s="117"/>
      <x:c r="Z178" s="117"/>
    </x:row>
    <x:row r="179">
      <x:c r="A179" s="117"/>
      <x:c r="B179" s="117"/>
      <x:c r="C179" s="117"/>
      <x:c r="D179" s="117"/>
      <x:c r="E179" s="117"/>
      <x:c r="F179" s="117"/>
      <x:c r="G179" s="117"/>
      <x:c r="H179" s="117"/>
      <x:c r="I179" s="117"/>
      <x:c r="J179" s="117"/>
      <x:c r="K179" s="117"/>
      <x:c r="L179" s="117"/>
      <x:c r="M179" s="117"/>
      <x:c r="N179" s="117"/>
      <x:c r="O179" s="117"/>
      <x:c r="P179" s="117"/>
      <x:c r="Q179" s="117"/>
      <x:c r="R179" s="117"/>
      <x:c r="S179" s="117"/>
      <x:c r="T179" s="117"/>
      <x:c r="U179" s="117"/>
      <x:c r="V179" s="117"/>
      <x:c r="W179" s="117"/>
      <x:c r="X179" s="117"/>
      <x:c r="Y179" s="117"/>
      <x:c r="Z179" s="117"/>
    </x:row>
    <x:row r="180">
      <x:c r="A180" s="117"/>
      <x:c r="B180" s="117"/>
      <x:c r="C180" s="117"/>
      <x:c r="D180" s="117"/>
      <x:c r="E180" s="117"/>
      <x:c r="F180" s="117"/>
      <x:c r="G180" s="117"/>
      <x:c r="H180" s="117"/>
      <x:c r="I180" s="117"/>
      <x:c r="J180" s="117"/>
      <x:c r="K180" s="117"/>
      <x:c r="L180" s="117"/>
      <x:c r="M180" s="117"/>
      <x:c r="N180" s="117"/>
      <x:c r="O180" s="117"/>
      <x:c r="P180" s="117"/>
      <x:c r="Q180" s="117"/>
      <x:c r="R180" s="117"/>
      <x:c r="S180" s="117"/>
      <x:c r="T180" s="117"/>
      <x:c r="U180" s="117"/>
      <x:c r="V180" s="117"/>
      <x:c r="W180" s="117"/>
      <x:c r="X180" s="117"/>
      <x:c r="Y180" s="117"/>
      <x:c r="Z180" s="117"/>
    </x:row>
    <x:row r="181">
      <x:c r="A181" s="117"/>
      <x:c r="B181" s="117"/>
      <x:c r="C181" s="117"/>
      <x:c r="D181" s="117"/>
      <x:c r="E181" s="117"/>
      <x:c r="F181" s="117"/>
      <x:c r="G181" s="117"/>
      <x:c r="H181" s="117"/>
      <x:c r="I181" s="117"/>
      <x:c r="J181" s="117"/>
      <x:c r="K181" s="117"/>
      <x:c r="L181" s="117"/>
      <x:c r="M181" s="117"/>
      <x:c r="N181" s="117"/>
      <x:c r="O181" s="117"/>
      <x:c r="P181" s="117"/>
      <x:c r="Q181" s="117"/>
      <x:c r="R181" s="117"/>
      <x:c r="S181" s="117"/>
      <x:c r="T181" s="117"/>
      <x:c r="U181" s="117"/>
      <x:c r="V181" s="117"/>
      <x:c r="W181" s="117"/>
      <x:c r="X181" s="117"/>
      <x:c r="Y181" s="117"/>
      <x:c r="Z181" s="117"/>
    </x:row>
    <x:row r="182">
      <x:c r="A182" s="117"/>
      <x:c r="B182" s="117"/>
      <x:c r="C182" s="117"/>
      <x:c r="D182" s="117"/>
      <x:c r="E182" s="117"/>
      <x:c r="F182" s="117"/>
      <x:c r="G182" s="117"/>
      <x:c r="H182" s="117"/>
      <x:c r="I182" s="117"/>
      <x:c r="J182" s="117"/>
      <x:c r="K182" s="117"/>
      <x:c r="L182" s="117"/>
      <x:c r="M182" s="117"/>
      <x:c r="N182" s="117"/>
      <x:c r="O182" s="117"/>
      <x:c r="P182" s="117"/>
      <x:c r="Q182" s="117"/>
      <x:c r="R182" s="117"/>
      <x:c r="S182" s="117"/>
      <x:c r="T182" s="117"/>
      <x:c r="U182" s="117"/>
      <x:c r="V182" s="117"/>
      <x:c r="W182" s="117"/>
      <x:c r="X182" s="117"/>
      <x:c r="Y182" s="117"/>
      <x:c r="Z182" s="117"/>
    </x:row>
    <x:row r="183">
      <x:c r="A183" s="117"/>
      <x:c r="B183" s="117"/>
      <x:c r="C183" s="117"/>
      <x:c r="D183" s="117"/>
      <x:c r="E183" s="117"/>
      <x:c r="F183" s="117"/>
      <x:c r="G183" s="117"/>
      <x:c r="H183" s="117"/>
      <x:c r="I183" s="117"/>
      <x:c r="J183" s="117"/>
      <x:c r="K183" s="117"/>
      <x:c r="L183" s="117"/>
      <x:c r="M183" s="117"/>
      <x:c r="N183" s="117"/>
      <x:c r="O183" s="117"/>
      <x:c r="P183" s="117"/>
      <x:c r="Q183" s="117"/>
      <x:c r="R183" s="117"/>
      <x:c r="S183" s="117"/>
      <x:c r="T183" s="117"/>
      <x:c r="U183" s="117"/>
      <x:c r="V183" s="117"/>
      <x:c r="W183" s="117"/>
      <x:c r="X183" s="117"/>
      <x:c r="Y183" s="117"/>
      <x:c r="Z183" s="117"/>
    </x:row>
    <x:row r="184">
      <x:c r="A184" s="117"/>
      <x:c r="B184" s="117"/>
      <x:c r="C184" s="117"/>
      <x:c r="D184" s="117"/>
      <x:c r="E184" s="117"/>
      <x:c r="F184" s="117"/>
      <x:c r="G184" s="117"/>
      <x:c r="H184" s="117"/>
      <x:c r="I184" s="117"/>
      <x:c r="J184" s="117"/>
      <x:c r="K184" s="117"/>
      <x:c r="L184" s="117"/>
      <x:c r="M184" s="117"/>
      <x:c r="N184" s="117"/>
      <x:c r="O184" s="117"/>
      <x:c r="P184" s="117"/>
      <x:c r="Q184" s="117"/>
      <x:c r="R184" s="117"/>
      <x:c r="S184" s="117"/>
      <x:c r="T184" s="117"/>
      <x:c r="U184" s="117"/>
      <x:c r="V184" s="117"/>
      <x:c r="W184" s="117"/>
      <x:c r="X184" s="117"/>
      <x:c r="Y184" s="117"/>
      <x:c r="Z184" s="117"/>
    </x:row>
    <x:row r="185">
      <x:c r="A185" s="117"/>
      <x:c r="B185" s="117"/>
      <x:c r="C185" s="117"/>
      <x:c r="D185" s="117"/>
      <x:c r="E185" s="117"/>
      <x:c r="F185" s="117"/>
      <x:c r="G185" s="117"/>
      <x:c r="H185" s="117"/>
      <x:c r="I185" s="117"/>
      <x:c r="J185" s="117"/>
      <x:c r="K185" s="117"/>
      <x:c r="L185" s="117"/>
      <x:c r="M185" s="117"/>
      <x:c r="N185" s="117"/>
      <x:c r="O185" s="117"/>
      <x:c r="P185" s="117"/>
      <x:c r="Q185" s="117"/>
      <x:c r="R185" s="117"/>
      <x:c r="S185" s="117"/>
      <x:c r="T185" s="117"/>
      <x:c r="U185" s="117"/>
      <x:c r="V185" s="117"/>
      <x:c r="W185" s="117"/>
      <x:c r="X185" s="117"/>
      <x:c r="Y185" s="117"/>
      <x:c r="Z185" s="117"/>
    </x:row>
    <x:row r="186">
      <x:c r="A186" s="117"/>
      <x:c r="B186" s="117"/>
      <x:c r="C186" s="117"/>
      <x:c r="D186" s="117"/>
      <x:c r="E186" s="117"/>
      <x:c r="F186" s="117"/>
      <x:c r="G186" s="117"/>
      <x:c r="H186" s="117"/>
      <x:c r="I186" s="117"/>
      <x:c r="J186" s="117"/>
      <x:c r="K186" s="117"/>
      <x:c r="L186" s="117"/>
      <x:c r="M186" s="117"/>
      <x:c r="N186" s="117"/>
      <x:c r="O186" s="117"/>
      <x:c r="P186" s="117"/>
      <x:c r="Q186" s="117"/>
      <x:c r="R186" s="117"/>
      <x:c r="S186" s="117"/>
      <x:c r="T186" s="117"/>
      <x:c r="U186" s="117"/>
      <x:c r="V186" s="117"/>
      <x:c r="W186" s="117"/>
      <x:c r="X186" s="117"/>
      <x:c r="Y186" s="117"/>
      <x:c r="Z186" s="117"/>
    </x:row>
    <x:row r="187">
      <x:c r="A187" s="117"/>
      <x:c r="B187" s="117"/>
      <x:c r="C187" s="117"/>
      <x:c r="D187" s="117"/>
      <x:c r="E187" s="117"/>
      <x:c r="F187" s="117"/>
      <x:c r="G187" s="117"/>
      <x:c r="H187" s="117"/>
      <x:c r="I187" s="117"/>
      <x:c r="J187" s="117"/>
      <x:c r="K187" s="117"/>
      <x:c r="L187" s="117"/>
      <x:c r="M187" s="117"/>
      <x:c r="N187" s="117"/>
      <x:c r="O187" s="117"/>
      <x:c r="P187" s="117"/>
      <x:c r="Q187" s="117"/>
      <x:c r="R187" s="117"/>
      <x:c r="S187" s="117"/>
      <x:c r="T187" s="117"/>
      <x:c r="U187" s="117"/>
      <x:c r="V187" s="117"/>
      <x:c r="W187" s="117"/>
      <x:c r="X187" s="117"/>
      <x:c r="Y187" s="117"/>
      <x:c r="Z187" s="117"/>
    </x:row>
    <x:row r="188">
      <x:c r="A188" s="117"/>
      <x:c r="B188" s="117"/>
      <x:c r="C188" s="117"/>
      <x:c r="D188" s="117"/>
      <x:c r="E188" s="117"/>
      <x:c r="F188" s="117"/>
      <x:c r="G188" s="117"/>
      <x:c r="H188" s="117"/>
      <x:c r="I188" s="117"/>
      <x:c r="J188" s="117"/>
      <x:c r="K188" s="117"/>
      <x:c r="L188" s="117"/>
      <x:c r="M188" s="117"/>
      <x:c r="N188" s="117"/>
      <x:c r="O188" s="117"/>
      <x:c r="P188" s="117"/>
      <x:c r="Q188" s="117"/>
      <x:c r="R188" s="117"/>
      <x:c r="S188" s="117"/>
      <x:c r="T188" s="117"/>
      <x:c r="U188" s="117"/>
      <x:c r="V188" s="117"/>
      <x:c r="W188" s="117"/>
      <x:c r="X188" s="117"/>
      <x:c r="Y188" s="117"/>
      <x:c r="Z188" s="117"/>
    </x:row>
    <x:row r="189">
      <x:c r="A189" s="117"/>
      <x:c r="B189" s="117"/>
      <x:c r="C189" s="117"/>
      <x:c r="D189" s="117"/>
      <x:c r="E189" s="117"/>
      <x:c r="F189" s="117"/>
      <x:c r="G189" s="117"/>
      <x:c r="H189" s="117"/>
      <x:c r="I189" s="117"/>
      <x:c r="J189" s="117"/>
      <x:c r="K189" s="117"/>
      <x:c r="L189" s="117"/>
      <x:c r="M189" s="117"/>
      <x:c r="N189" s="117"/>
      <x:c r="O189" s="117"/>
      <x:c r="P189" s="117"/>
      <x:c r="Q189" s="117"/>
      <x:c r="R189" s="117"/>
      <x:c r="S189" s="117"/>
      <x:c r="T189" s="117"/>
      <x:c r="U189" s="117"/>
      <x:c r="V189" s="117"/>
      <x:c r="W189" s="117"/>
      <x:c r="X189" s="117"/>
      <x:c r="Y189" s="117"/>
      <x:c r="Z189" s="117"/>
    </x:row>
    <x:row r="190">
      <x:c r="A190" s="117"/>
      <x:c r="B190" s="117"/>
      <x:c r="C190" s="117"/>
      <x:c r="D190" s="117"/>
      <x:c r="E190" s="117"/>
      <x:c r="F190" s="117"/>
      <x:c r="G190" s="117"/>
      <x:c r="H190" s="117"/>
      <x:c r="I190" s="117"/>
      <x:c r="J190" s="117"/>
      <x:c r="K190" s="117"/>
      <x:c r="L190" s="117"/>
      <x:c r="M190" s="117"/>
      <x:c r="N190" s="117"/>
      <x:c r="O190" s="117"/>
      <x:c r="P190" s="117"/>
      <x:c r="Q190" s="117"/>
      <x:c r="R190" s="117"/>
      <x:c r="S190" s="117"/>
      <x:c r="T190" s="117"/>
      <x:c r="U190" s="117"/>
      <x:c r="V190" s="117"/>
      <x:c r="W190" s="117"/>
      <x:c r="X190" s="117"/>
      <x:c r="Y190" s="117"/>
      <x:c r="Z190" s="117"/>
    </x:row>
    <x:row r="191">
      <x:c r="A191" s="117"/>
      <x:c r="B191" s="117"/>
      <x:c r="C191" s="117"/>
      <x:c r="D191" s="117"/>
      <x:c r="E191" s="117"/>
      <x:c r="F191" s="117"/>
      <x:c r="G191" s="117"/>
      <x:c r="H191" s="117"/>
      <x:c r="I191" s="117"/>
      <x:c r="J191" s="117"/>
      <x:c r="K191" s="117"/>
      <x:c r="L191" s="117"/>
      <x:c r="M191" s="117"/>
      <x:c r="N191" s="117"/>
      <x:c r="O191" s="117"/>
      <x:c r="P191" s="117"/>
      <x:c r="Q191" s="117"/>
      <x:c r="R191" s="117"/>
      <x:c r="S191" s="117"/>
      <x:c r="T191" s="117"/>
      <x:c r="U191" s="117"/>
      <x:c r="V191" s="117"/>
      <x:c r="W191" s="117"/>
      <x:c r="X191" s="117"/>
      <x:c r="Y191" s="117"/>
      <x:c r="Z191" s="117"/>
    </x:row>
    <x:row r="192">
      <x:c r="A192" s="117"/>
      <x:c r="B192" s="117"/>
      <x:c r="C192" s="117"/>
      <x:c r="D192" s="117"/>
      <x:c r="E192" s="117"/>
      <x:c r="F192" s="117"/>
      <x:c r="G192" s="117"/>
      <x:c r="H192" s="117"/>
      <x:c r="I192" s="117"/>
      <x:c r="J192" s="117"/>
      <x:c r="K192" s="117"/>
      <x:c r="L192" s="117"/>
      <x:c r="M192" s="117"/>
      <x:c r="N192" s="117"/>
      <x:c r="O192" s="117"/>
      <x:c r="P192" s="117"/>
      <x:c r="Q192" s="117"/>
      <x:c r="R192" s="117"/>
      <x:c r="S192" s="117"/>
      <x:c r="T192" s="117"/>
      <x:c r="U192" s="117"/>
      <x:c r="V192" s="117"/>
      <x:c r="W192" s="117"/>
      <x:c r="X192" s="117"/>
      <x:c r="Y192" s="117"/>
      <x:c r="Z192" s="117"/>
    </x:row>
    <x:row r="193">
      <x:c r="A193" s="117"/>
      <x:c r="B193" s="117"/>
      <x:c r="C193" s="117"/>
      <x:c r="D193" s="117"/>
      <x:c r="E193" s="117"/>
      <x:c r="F193" s="117"/>
      <x:c r="G193" s="117"/>
      <x:c r="H193" s="117"/>
      <x:c r="I193" s="117"/>
      <x:c r="J193" s="117"/>
      <x:c r="K193" s="117"/>
      <x:c r="L193" s="117"/>
      <x:c r="M193" s="117"/>
      <x:c r="N193" s="117"/>
      <x:c r="O193" s="117"/>
      <x:c r="P193" s="117"/>
      <x:c r="Q193" s="117"/>
      <x:c r="R193" s="117"/>
      <x:c r="S193" s="117"/>
      <x:c r="T193" s="117"/>
      <x:c r="U193" s="117"/>
      <x:c r="V193" s="117"/>
      <x:c r="W193" s="117"/>
      <x:c r="X193" s="117"/>
      <x:c r="Y193" s="117"/>
      <x:c r="Z193" s="117"/>
    </x:row>
    <x:row r="194">
      <x:c r="A194" s="117"/>
      <x:c r="B194" s="117"/>
      <x:c r="C194" s="117"/>
      <x:c r="D194" s="117"/>
      <x:c r="E194" s="117"/>
      <x:c r="F194" s="117"/>
      <x:c r="G194" s="117"/>
      <x:c r="H194" s="117"/>
      <x:c r="I194" s="117"/>
      <x:c r="J194" s="117"/>
      <x:c r="K194" s="117"/>
      <x:c r="L194" s="117"/>
      <x:c r="M194" s="117"/>
      <x:c r="N194" s="117"/>
      <x:c r="O194" s="117"/>
      <x:c r="P194" s="117"/>
      <x:c r="Q194" s="117"/>
      <x:c r="R194" s="117"/>
      <x:c r="S194" s="117"/>
      <x:c r="T194" s="117"/>
      <x:c r="U194" s="117"/>
      <x:c r="V194" s="117"/>
      <x:c r="W194" s="117"/>
      <x:c r="X194" s="117"/>
      <x:c r="Y194" s="117"/>
      <x:c r="Z194" s="117"/>
    </x:row>
    <x:row r="195">
      <x:c r="A195" s="117"/>
      <x:c r="B195" s="117"/>
      <x:c r="C195" s="117"/>
      <x:c r="D195" s="117"/>
      <x:c r="E195" s="117"/>
      <x:c r="F195" s="117"/>
      <x:c r="G195" s="117"/>
      <x:c r="H195" s="117"/>
      <x:c r="I195" s="117"/>
      <x:c r="J195" s="117"/>
      <x:c r="K195" s="117"/>
      <x:c r="L195" s="117"/>
      <x:c r="M195" s="117"/>
      <x:c r="N195" s="117"/>
      <x:c r="O195" s="117"/>
      <x:c r="P195" s="117"/>
      <x:c r="Q195" s="117"/>
      <x:c r="R195" s="117"/>
      <x:c r="S195" s="117"/>
      <x:c r="T195" s="117"/>
      <x:c r="U195" s="117"/>
      <x:c r="V195" s="117"/>
      <x:c r="W195" s="117"/>
      <x:c r="X195" s="117"/>
      <x:c r="Y195" s="117"/>
      <x:c r="Z195" s="117"/>
    </x:row>
    <x:row r="196">
      <x:c r="A196" s="117"/>
      <x:c r="B196" s="117"/>
      <x:c r="C196" s="117"/>
      <x:c r="D196" s="117"/>
      <x:c r="E196" s="117"/>
      <x:c r="F196" s="117"/>
      <x:c r="G196" s="117"/>
      <x:c r="H196" s="117"/>
      <x:c r="I196" s="117"/>
      <x:c r="J196" s="117"/>
      <x:c r="K196" s="117"/>
      <x:c r="L196" s="117"/>
      <x:c r="M196" s="117"/>
      <x:c r="N196" s="117"/>
      <x:c r="O196" s="117"/>
      <x:c r="P196" s="117"/>
      <x:c r="Q196" s="117"/>
      <x:c r="R196" s="117"/>
      <x:c r="S196" s="117"/>
      <x:c r="T196" s="117"/>
      <x:c r="U196" s="117"/>
      <x:c r="V196" s="117"/>
      <x:c r="W196" s="117"/>
      <x:c r="X196" s="117"/>
      <x:c r="Y196" s="117"/>
      <x:c r="Z196" s="117"/>
    </x:row>
    <x:row r="197">
      <x:c r="A197" s="117"/>
      <x:c r="B197" s="117"/>
      <x:c r="C197" s="117"/>
      <x:c r="D197" s="117"/>
      <x:c r="E197" s="117"/>
      <x:c r="F197" s="117"/>
      <x:c r="G197" s="117"/>
      <x:c r="H197" s="117"/>
      <x:c r="I197" s="117"/>
      <x:c r="J197" s="117"/>
      <x:c r="K197" s="117"/>
      <x:c r="L197" s="117"/>
      <x:c r="M197" s="117"/>
      <x:c r="N197" s="117"/>
      <x:c r="O197" s="117"/>
      <x:c r="P197" s="117"/>
      <x:c r="Q197" s="117"/>
      <x:c r="R197" s="117"/>
      <x:c r="S197" s="117"/>
      <x:c r="T197" s="117"/>
      <x:c r="U197" s="117"/>
      <x:c r="V197" s="117"/>
      <x:c r="W197" s="117"/>
      <x:c r="X197" s="117"/>
      <x:c r="Y197" s="117"/>
      <x:c r="Z197" s="117"/>
    </x:row>
    <x:row r="198">
      <x:c r="A198" s="117"/>
      <x:c r="B198" s="117"/>
      <x:c r="C198" s="117"/>
      <x:c r="D198" s="117"/>
      <x:c r="E198" s="117"/>
      <x:c r="F198" s="117"/>
      <x:c r="G198" s="117"/>
      <x:c r="H198" s="117"/>
      <x:c r="I198" s="117"/>
      <x:c r="J198" s="117"/>
      <x:c r="K198" s="117"/>
      <x:c r="L198" s="117"/>
      <x:c r="M198" s="117"/>
      <x:c r="N198" s="117"/>
      <x:c r="O198" s="117"/>
      <x:c r="P198" s="117"/>
      <x:c r="Q198" s="117"/>
      <x:c r="R198" s="117"/>
      <x:c r="S198" s="117"/>
      <x:c r="T198" s="117"/>
      <x:c r="U198" s="117"/>
      <x:c r="V198" s="117"/>
      <x:c r="W198" s="117"/>
      <x:c r="X198" s="117"/>
      <x:c r="Y198" s="117"/>
      <x:c r="Z198" s="117"/>
    </x:row>
    <x:row r="199">
      <x:c r="A199" s="117"/>
      <x:c r="B199" s="117"/>
      <x:c r="C199" s="117"/>
      <x:c r="D199" s="117"/>
      <x:c r="E199" s="117"/>
      <x:c r="F199" s="117"/>
      <x:c r="G199" s="117"/>
      <x:c r="H199" s="117"/>
      <x:c r="I199" s="117"/>
      <x:c r="J199" s="117"/>
      <x:c r="K199" s="117"/>
      <x:c r="L199" s="117"/>
      <x:c r="M199" s="117"/>
      <x:c r="N199" s="117"/>
      <x:c r="O199" s="117"/>
      <x:c r="P199" s="117"/>
      <x:c r="Q199" s="117"/>
      <x:c r="R199" s="117"/>
      <x:c r="S199" s="117"/>
      <x:c r="T199" s="117"/>
      <x:c r="U199" s="117"/>
      <x:c r="V199" s="117"/>
      <x:c r="W199" s="117"/>
      <x:c r="X199" s="117"/>
      <x:c r="Y199" s="117"/>
      <x:c r="Z199" s="117"/>
    </x:row>
    <x:row r="200">
      <x:c r="A200" s="117"/>
      <x:c r="B200" s="117"/>
      <x:c r="C200" s="117"/>
      <x:c r="D200" s="117"/>
      <x:c r="E200" s="117"/>
      <x:c r="F200" s="117"/>
      <x:c r="G200" s="117"/>
      <x:c r="H200" s="117"/>
      <x:c r="I200" s="117"/>
      <x:c r="J200" s="117"/>
      <x:c r="K200" s="117"/>
      <x:c r="L200" s="117"/>
      <x:c r="M200" s="117"/>
      <x:c r="N200" s="117"/>
      <x:c r="O200" s="117"/>
      <x:c r="P200" s="117"/>
      <x:c r="Q200" s="117"/>
      <x:c r="R200" s="117"/>
      <x:c r="S200" s="117"/>
      <x:c r="T200" s="117"/>
      <x:c r="U200" s="117"/>
      <x:c r="V200" s="117"/>
      <x:c r="W200" s="117"/>
      <x:c r="X200" s="117"/>
      <x:c r="Y200" s="117"/>
      <x:c r="Z200" s="117"/>
    </x:row>
  </x:sheetData>
  <x:mergeCells>
    <x:mergeCell ref="A1:K1"/>
    <x:mergeCell ref="A2:K2"/>
    <x:mergeCell ref="Q1:V1"/>
  </x:mergeCells>
  <x:pageMargins left="0.7" right="0.7" top="0.75" bottom="0.75" header="0.3" footer="0.3"/>
</x:worksheet>
</file>

<file path=xl/worksheets/sheet5.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5" max="15" width="14" hidden="0" customWidth="1"/>
    <x:col min="16" max="16" width="16" hidden="0" customWidth="1"/>
    <x:col min="17" max="17" width="18" hidden="0" customWidth="1"/>
    <x:col min="18" max="18" width="24" hidden="0" customWidth="1"/>
    <x:col min="19" max="19" width="16" hidden="0" customWidth="1"/>
    <x:col min="20" max="20" width="16" hidden="0" customWidth="1"/>
  </x:cols>
  <x:sheetData>
    <x:row r="1" ht="28" customHeight="1">
      <x:c r="A1" s="116" t="str">
        <x:v>04_Guardrail判定</x:v>
      </x:c>
      <x:c r="B1" s="116"/>
      <x:c r="C1" s="116"/>
      <x:c r="D1" s="116"/>
      <x:c r="E1" s="116"/>
      <x:c r="F1" s="116"/>
      <x:c r="G1" s="116"/>
      <x:c r="H1" s="116"/>
      <x:c r="I1" s="116"/>
      <x:c r="J1" s="116"/>
      <x:c r="K1" s="116"/>
      <x:c r="L1" s="117"/>
      <x:c r="M1" s="117"/>
      <x:c r="N1" s="117"/>
      <x:c r="O1" s="117"/>
      <x:c r="P1" s="117"/>
      <x:c r="Q1" s="117"/>
      <x:c r="R1" s="117"/>
      <x:c r="S1" s="117"/>
      <x:c r="T1" s="117"/>
      <x:c r="U1" s="117"/>
      <x:c r="V1" s="117"/>
      <x:c r="W1" s="117"/>
      <x:c r="X1" s="117"/>
      <x:c r="Y1" s="117"/>
      <x:c r="Z1" s="117"/>
    </x:row>
    <x:row r="2" ht="34" customHeight="1">
      <x:c r="A2" s="118" t="str">
        <x:v>Version0.1 初期構造。08の逆算結果に従い次工程で詳細化。</x:v>
      </x:c>
      <x:c r="B2" s="118"/>
      <x:c r="C2" s="118"/>
      <x:c r="D2" s="118"/>
      <x:c r="E2" s="118"/>
      <x:c r="F2" s="118"/>
      <x:c r="G2" s="118"/>
      <x:c r="H2" s="118"/>
      <x:c r="I2" s="118"/>
      <x:c r="J2" s="118"/>
      <x:c r="K2" s="118"/>
      <x:c r="L2" s="117"/>
      <x:c r="M2" s="117"/>
      <x:c r="N2" s="117"/>
      <x:c r="O2" s="117"/>
      <x:c r="P2" s="117"/>
      <x:c r="Q2" s="117"/>
      <x:c r="R2" s="117"/>
      <x:c r="S2" s="117"/>
      <x:c r="T2" s="117"/>
      <x:c r="U2" s="117"/>
      <x:c r="V2" s="117"/>
      <x:c r="W2" s="117"/>
      <x:c r="X2" s="117"/>
      <x:c r="Y2" s="117"/>
      <x:c r="Z2" s="117"/>
    </x:row>
    <x:row r="3">
      <x:c r="A3" s="117"/>
      <x:c r="B3" s="117"/>
      <x:c r="C3" s="117"/>
      <x:c r="D3" s="117"/>
      <x:c r="E3" s="117"/>
      <x:c r="F3" s="117"/>
      <x:c r="G3" s="117"/>
      <x:c r="H3" s="117"/>
      <x:c r="I3" s="117"/>
      <x:c r="J3" s="117"/>
      <x:c r="K3" s="117"/>
      <x:c r="L3" s="117"/>
      <x:c r="M3" s="117"/>
      <x:c r="N3" s="117"/>
      <x:c r="O3" s="117"/>
      <x:c r="P3" s="117"/>
      <x:c r="Q3" s="117"/>
      <x:c r="R3" s="117"/>
      <x:c r="S3" s="117"/>
      <x:c r="T3" s="117"/>
      <x:c r="U3" s="117"/>
      <x:c r="V3" s="117"/>
      <x:c r="W3" s="117"/>
      <x:c r="X3" s="117"/>
      <x:c r="Y3" s="117"/>
      <x:c r="Z3" s="117"/>
    </x:row>
    <x:row r="4" ht="38" customHeight="1">
      <x:c r="A4" s="139" t="str">
        <x:v>GuardrailID</x:v>
      </x:c>
      <x:c r="B4" s="140" t="str">
        <x:v>分類</x:v>
      </x:c>
      <x:c r="C4" s="140" t="str">
        <x:v>発動条件</x:v>
      </x:c>
      <x:c r="D4" s="140" t="str">
        <x:v>組合せ条件</x:v>
      </x:c>
      <x:c r="E4" s="140" t="str">
        <x:v>Evidence条件</x:v>
      </x:c>
      <x:c r="F4" s="140" t="str">
        <x:v>L3表示コード</x:v>
      </x:c>
      <x:c r="G4" s="140" t="str">
        <x:v>L2表示コード</x:v>
      </x:c>
      <x:c r="H4" s="140" t="str">
        <x:v>L1表示コード</x:v>
      </x:c>
      <x:c r="I4" s="140" t="str">
        <x:v>L0表示コード</x:v>
      </x:c>
      <x:c r="J4" s="140" t="str">
        <x:v>優先度</x:v>
      </x:c>
      <x:c r="K4" s="168" t="str">
        <x:v>レポート表示</x:v>
      </x:c>
      <x:c r="L4" s="140" t="str">
        <x:v>KPIとの関係</x:v>
      </x:c>
      <x:c r="M4" s="140" t="str">
        <x:v>解除・再判定条件</x:v>
      </x:c>
      <x:c r="N4" s="141" t="str">
        <x:v>CTAコード</x:v>
      </x:c>
      <x:c r="O4" s="201" t="str">
        <x:v>基礎順位点</x:v>
      </x:c>
      <x:c r="P4" s="202" t="str">
        <x:v>重大度加点</x:v>
      </x:c>
      <x:c r="Q4" s="202" t="str">
        <x:v>期限加点</x:v>
      </x:c>
      <x:c r="R4" s="202" t="str">
        <x:v>Evidence加点</x:v>
      </x:c>
      <x:c r="S4" s="202" t="str">
        <x:v>影響加点</x:v>
      </x:c>
      <x:c r="T4" s="203" t="str">
        <x:v>最終順位式</x:v>
      </x:c>
      <x:c r="U4" s="117"/>
      <x:c r="V4" s="117"/>
      <x:c r="W4" s="117"/>
      <x:c r="X4" s="117"/>
      <x:c r="Y4" s="117"/>
      <x:c r="Z4" s="117"/>
    </x:row>
    <x:row r="5">
      <x:c r="A5" s="144" t="str">
        <x:v>GR-SAF-01</x:v>
      </x:c>
      <x:c r="B5" s="145" t="str">
        <x:v>安全</x:v>
      </x:c>
      <x:c r="C5" s="145" t="str">
        <x:v>Q101=CRITICAL</x:v>
      </x:c>
      <x:c r="D5" s="145" t="str">
        <x:v>単独発動</x:v>
      </x:c>
      <x:c r="E5" s="145" t="str">
        <x:v>写真・点検・現地確認でL3</x:v>
      </x:c>
      <x:c r="F5" s="145" t="str">
        <x:v>GR-SAF-L3-01</x:v>
      </x:c>
      <x:c r="G5" s="145" t="str">
        <x:v>GR-SAF-L2-01</x:v>
      </x:c>
      <x:c r="H5" s="145" t="str">
        <x:v>GR-SAF-L1-01</x:v>
      </x:c>
      <x:c r="I5" s="145" t="str">
        <x:v>GR-SAF-L0-01</x:v>
      </x:c>
      <x:c r="J5" s="145" t="str">
        <x:v>S</x:v>
      </x:c>
      <x:c r="K5" s="145" t="str">
        <x:v>Guardrail最上位</x:v>
      </x:c>
      <x:c r="L5" s="145" t="str">
        <x:v>EDI/EPI点数に関係なく表示</x:v>
      </x:c>
      <x:c r="M5" s="145" t="str">
        <x:v>異常箇所の現地確認・是正完了</x:v>
      </x:c>
      <x:c r="N5" s="146" t="str">
        <x:v>CTA-URGENT</x:v>
      </x:c>
      <x:c r="O5" s="222" t="n">
        <x:v>600</x:v>
      </x:c>
      <x:c r="P5" s="223" t="str">
        <x:v>S:+80</x:v>
      </x:c>
      <x:c r="Q5" s="223" t="str">
        <x:v>Q401/Q407等で最大+40</x:v>
      </x:c>
      <x:c r="R5" s="223" t="str">
        <x:v>L3:+30,L2:+15,L1:0,L0:+60</x:v>
      </x:c>
      <x:c r="S5" s="223" t="str">
        <x:v>Q108/Q112等で最大+30</x:v>
      </x:c>
      <x:c r="T5" s="224" t="str">
        <x:v>合計降順</x:v>
      </x:c>
      <x:c r="U5" s="117"/>
      <x:c r="V5" s="117"/>
      <x:c r="W5" s="117"/>
      <x:c r="X5" s="117"/>
      <x:c r="Y5" s="117"/>
      <x:c r="Z5" s="117"/>
    </x:row>
    <x:row r="6">
      <x:c r="A6" s="147" t="str">
        <x:v>GR-SAF-02</x:v>
      </x:c>
      <x:c r="B6" s="148" t="str">
        <x:v>安全</x:v>
      </x:c>
      <x:c r="C6" s="148" t="str">
        <x:v>Q103=CRITICAL または Q104=NONCOMPLIANT</x:v>
      </x:c>
      <x:c r="D6" s="148" t="str">
        <x:v>単独発動</x:v>
      </x:c>
      <x:c r="E6" s="148" t="str">
        <x:v>点検報告書・法定記録でL3</x:v>
      </x:c>
      <x:c r="F6" s="148" t="str">
        <x:v>GR-LEG-L3-01</x:v>
      </x:c>
      <x:c r="G6" s="148" t="str">
        <x:v>GR-LEG-L2-01</x:v>
      </x:c>
      <x:c r="H6" s="148" t="str">
        <x:v>GR-LEG-L1-01</x:v>
      </x:c>
      <x:c r="I6" s="148" t="str">
        <x:v>GR-LEG-L0-01</x:v>
      </x:c>
      <x:c r="J6" s="148" t="str">
        <x:v>S</x:v>
      </x:c>
      <x:c r="K6" s="148" t="str">
        <x:v>Guardrail最上位</x:v>
      </x:c>
      <x:c r="L6" s="148" t="str">
        <x:v>EPI点数に関係なく表示</x:v>
      </x:c>
      <x:c r="M6" s="148" t="str">
        <x:v>是正記録・点検実施確認</x:v>
      </x:c>
      <x:c r="N6" s="149" t="str">
        <x:v>CTA-URGENT</x:v>
      </x:c>
      <x:c r="O6" s="225" t="n">
        <x:v>600</x:v>
      </x:c>
      <x:c r="P6" s="148" t="str">
        <x:v>S:+80</x:v>
      </x:c>
      <x:c r="Q6" s="148" t="str">
        <x:v>最大+40</x:v>
      </x:c>
      <x:c r="R6" s="148" t="str">
        <x:v>L3:+30,L2:+15,L1:0,L0:+60</x:v>
      </x:c>
      <x:c r="S6" s="148" t="str">
        <x:v>最大+30</x:v>
      </x:c>
      <x:c r="T6" s="226" t="str">
        <x:v>合計降順</x:v>
      </x:c>
      <x:c r="U6" s="117"/>
      <x:c r="V6" s="117"/>
      <x:c r="W6" s="117"/>
      <x:c r="X6" s="117"/>
      <x:c r="Y6" s="117"/>
      <x:c r="Z6" s="117"/>
    </x:row>
    <x:row r="7">
      <x:c r="A7" s="147" t="str">
        <x:v>GR-SAF-03</x:v>
      </x:c>
      <x:c r="B7" s="148" t="str">
        <x:v>安全・品質</x:v>
      </x:c>
      <x:c r="C7" s="148" t="str">
        <x:v>Q112=CRITICAL</x:v>
      </x:c>
      <x:c r="D7" s="148" t="str">
        <x:v>単独発動</x:v>
      </x:c>
      <x:c r="E7" s="148" t="str">
        <x:v>品質・安全記録でL3</x:v>
      </x:c>
      <x:c r="F7" s="148" t="str">
        <x:v>GR-SAFQ-L3-01</x:v>
      </x:c>
      <x:c r="G7" s="148" t="str">
        <x:v>GR-SAFQ-L2-01</x:v>
      </x:c>
      <x:c r="H7" s="148" t="str">
        <x:v>GR-SAFQ-L1-01</x:v>
      </x:c>
      <x:c r="I7" s="148" t="str">
        <x:v>GR-SAFQ-L0-01</x:v>
      </x:c>
      <x:c r="J7" s="148" t="str">
        <x:v>S</x:v>
      </x:c>
      <x:c r="K7" s="148" t="str">
        <x:v>Guardrail最上位</x:v>
      </x:c>
      <x:c r="L7" s="148" t="str">
        <x:v>EDI/EPI点数に関係なく表示</x:v>
      </x:c>
      <x:c r="M7" s="148" t="str">
        <x:v>リスク評価と対策確認</x:v>
      </x:c>
      <x:c r="N7" s="149" t="str">
        <x:v>CTA-URGENT</x:v>
      </x:c>
      <x:c r="O7" s="225" t="n">
        <x:v>550</x:v>
      </x:c>
      <x:c r="P7" s="148" t="str">
        <x:v>S:+80</x:v>
      </x:c>
      <x:c r="Q7" s="148" t="str">
        <x:v>最大+40</x:v>
      </x:c>
      <x:c r="R7" s="148" t="str">
        <x:v>L3:+30,L2:+15,L1:0,L0:+60</x:v>
      </x:c>
      <x:c r="S7" s="148" t="str">
        <x:v>最大+30</x:v>
      </x:c>
      <x:c r="T7" s="226" t="str">
        <x:v>合計降順</x:v>
      </x:c>
      <x:c r="U7" s="117"/>
      <x:c r="V7" s="117"/>
      <x:c r="W7" s="117"/>
      <x:c r="X7" s="117"/>
      <x:c r="Y7" s="117"/>
      <x:c r="Z7" s="117"/>
    </x:row>
    <x:row r="8">
      <x:c r="A8" s="147" t="str">
        <x:v>GR-EOL-01</x:v>
      </x:c>
      <x:c r="B8" s="148" t="str">
        <x:v>EOL</x:v>
      </x:c>
      <x:c r="C8" s="148" t="str">
        <x:v>Q106=YES または Q404=CRITICAL</x:v>
      </x:c>
      <x:c r="D8" s="148" t="str">
        <x:v>Q303またはQ311がLOW/VERBAL以下で重要度加算</x:v>
      </x:c>
      <x:c r="E8" s="148" t="str">
        <x:v>メーカー回答・正式通知でL3</x:v>
      </x:c>
      <x:c r="F8" s="148" t="str">
        <x:v>GR-EOL-L3-01</x:v>
      </x:c>
      <x:c r="G8" s="148" t="str">
        <x:v>GR-EOL-L2-01</x:v>
      </x:c>
      <x:c r="H8" s="148" t="str">
        <x:v>GR-EOL-L1-01</x:v>
      </x:c>
      <x:c r="I8" s="148" t="str">
        <x:v>GR-EOL-L0-01</x:v>
      </x:c>
      <x:c r="J8" s="148" t="str">
        <x:v>A</x:v>
      </x:c>
      <x:c r="K8" s="148" t="str">
        <x:v>最大3件内</x:v>
      </x:c>
      <x:c r="L8" s="148" t="str">
        <x:v>EPIへ反映、ただし独立表示</x:v>
      </x:c>
      <x:c r="M8" s="148" t="str">
        <x:v>対象型式・後継・保守期限確認</x:v>
      </x:c>
      <x:c r="N8" s="149" t="str">
        <x:v>CTA-MAKER</x:v>
      </x:c>
      <x:c r="O8" s="225" t="n">
        <x:v>450</x:v>
      </x:c>
      <x:c r="P8" s="148" t="str">
        <x:v>A:+50</x:v>
      </x:c>
      <x:c r="Q8" s="148" t="str">
        <x:v>最大+40</x:v>
      </x:c>
      <x:c r="R8" s="148" t="str">
        <x:v>L3:+30,L2:+15,L1:0,L0:+60</x:v>
      </x:c>
      <x:c r="S8" s="148" t="str">
        <x:v>最大+30</x:v>
      </x:c>
      <x:c r="T8" s="226" t="str">
        <x:v>合計降順</x:v>
      </x:c>
      <x:c r="U8" s="117"/>
      <x:c r="V8" s="117"/>
      <x:c r="W8" s="117"/>
      <x:c r="X8" s="117"/>
      <x:c r="Y8" s="117"/>
      <x:c r="Z8" s="117"/>
    </x:row>
    <x:row r="9">
      <x:c r="A9" s="147" t="str">
        <x:v>GR-BCP-01</x:v>
      </x:c>
      <x:c r="B9" s="148" t="str">
        <x:v>BCP</x:v>
      </x:c>
      <x:c r="C9" s="148" t="str">
        <x:v>Q108=CRITICAL または HIGH</x:v>
      </x:c>
      <x:c r="D9" s="148" t="str">
        <x:v>Q109=NONE かつ Q110=NONE/PARTIALでS</x:v>
      </x:c>
      <x:c r="E9" s="148" t="str">
        <x:v>BCP資料・設備構成図でL3</x:v>
      </x:c>
      <x:c r="F9" s="148" t="str">
        <x:v>GR-BCP-L3-01</x:v>
      </x:c>
      <x:c r="G9" s="148" t="str">
        <x:v>GR-BCP-L2-01</x:v>
      </x:c>
      <x:c r="H9" s="148" t="str">
        <x:v>GR-BCP-L1-01</x:v>
      </x:c>
      <x:c r="I9" s="148" t="str">
        <x:v>GR-BCP-L0-01</x:v>
      </x:c>
      <x:c r="J9" s="148" t="str">
        <x:v>S/A</x:v>
      </x:c>
      <x:c r="K9" s="148" t="str">
        <x:v>最大3件内</x:v>
      </x:c>
      <x:c r="L9" s="148" t="str">
        <x:v>EPIへ反映、独立表示</x:v>
      </x:c>
      <x:c r="M9" s="148" t="str">
        <x:v>代替手段・復旧計画・予備品確認</x:v>
      </x:c>
      <x:c r="N9" s="149" t="str">
        <x:v>CTA-BCP</x:v>
      </x:c>
      <x:c r="O9" s="225" t="n">
        <x:v>500</x:v>
      </x:c>
      <x:c r="P9" s="148" t="str">
        <x:v>S:+80/A:+50</x:v>
      </x:c>
      <x:c r="Q9" s="148" t="str">
        <x:v>最大+40</x:v>
      </x:c>
      <x:c r="R9" s="148" t="str">
        <x:v>L3:+30,L2:+15,L1:0,L0:+60</x:v>
      </x:c>
      <x:c r="S9" s="148" t="str">
        <x:v>最大+30</x:v>
      </x:c>
      <x:c r="T9" s="226" t="str">
        <x:v>合計降順</x:v>
      </x:c>
      <x:c r="U9" s="117"/>
      <x:c r="V9" s="117"/>
      <x:c r="W9" s="117"/>
      <x:c r="X9" s="117"/>
      <x:c r="Y9" s="117"/>
      <x:c r="Z9" s="117"/>
    </x:row>
    <x:row r="10">
      <x:c r="A10" s="147" t="str">
        <x:v>GR-DUE-01</x:v>
      </x:c>
      <x:c r="B10" s="148" t="str">
        <x:v>期限</x:v>
      </x:c>
      <x:c r="C10" s="148" t="str">
        <x:v>Q111=M3 または Q401=NOW または Q407=M3</x:v>
      </x:c>
      <x:c r="D10" s="148" t="str">
        <x:v>安全・法令項目と重なる場合S</x:v>
      </x:c>
      <x:c r="E10" s="148" t="str">
        <x:v>正式通知・予算日程・定修表でL3</x:v>
      </x:c>
      <x:c r="F10" s="148" t="str">
        <x:v>GR-DUE-L3-01</x:v>
      </x:c>
      <x:c r="G10" s="148" t="str">
        <x:v>GR-DUE-L2-01</x:v>
      </x:c>
      <x:c r="H10" s="148" t="str">
        <x:v>GR-DUE-L1-01</x:v>
      </x:c>
      <x:c r="I10" s="148" t="str">
        <x:v>GR-DUE-L0-01</x:v>
      </x:c>
      <x:c r="J10" s="148" t="str">
        <x:v>A</x:v>
      </x:c>
      <x:c r="K10" s="148" t="str">
        <x:v>最大3件内</x:v>
      </x:c>
      <x:c r="L10" s="148" t="str">
        <x:v>EPIへ反映、独立表示</x:v>
      </x:c>
      <x:c r="M10" s="148" t="str">
        <x:v>期限変更・対応計画確定</x:v>
      </x:c>
      <x:c r="N10" s="149" t="str">
        <x:v>CTA-PLAN</x:v>
      </x:c>
      <x:c r="O10" s="225" t="n">
        <x:v>350</x:v>
      </x:c>
      <x:c r="P10" s="148" t="str">
        <x:v>A:+50</x:v>
      </x:c>
      <x:c r="Q10" s="148" t="str">
        <x:v>3か月:+40,1年:+20</x:v>
      </x:c>
      <x:c r="R10" s="148" t="str">
        <x:v>L3:+30,L2:+15,L1:0,L0:+60</x:v>
      </x:c>
      <x:c r="S10" s="148" t="str">
        <x:v>最大+30</x:v>
      </x:c>
      <x:c r="T10" s="226" t="str">
        <x:v>合計降順</x:v>
      </x:c>
      <x:c r="U10" s="117"/>
      <x:c r="V10" s="117"/>
      <x:c r="W10" s="117"/>
      <x:c r="X10" s="117"/>
      <x:c r="Y10" s="117"/>
      <x:c r="Z10" s="117"/>
    </x:row>
    <x:row r="11">
      <x:c r="A11" s="147" t="str">
        <x:v>GR-CUST-01</x:v>
      </x:c>
      <x:c r="B11" s="148" t="str">
        <x:v>顧客要求</x:v>
      </x:c>
      <x:c r="C11" s="148" t="str">
        <x:v>Q408=CRITICAL</x:v>
      </x:c>
      <x:c r="D11" s="148" t="str">
        <x:v>Q112がHIGH以上でS</x:v>
      </x:c>
      <x:c r="E11" s="148" t="str">
        <x:v>監査・顧客要求書でL3</x:v>
      </x:c>
      <x:c r="F11" s="148" t="str">
        <x:v>GR-CUST-L3-01</x:v>
      </x:c>
      <x:c r="G11" s="148" t="str">
        <x:v>GR-CUST-L2-01</x:v>
      </x:c>
      <x:c r="H11" s="148" t="str">
        <x:v>GR-CUST-L1-01</x:v>
      </x:c>
      <x:c r="I11" s="148" t="str">
        <x:v>GR-CUST-L0-01</x:v>
      </x:c>
      <x:c r="J11" s="148" t="str">
        <x:v>A/S</x:v>
      </x:c>
      <x:c r="K11" s="148" t="str">
        <x:v>最大3件内</x:v>
      </x:c>
      <x:c r="L11" s="148" t="str">
        <x:v>EPIへ反映、独立表示</x:v>
      </x:c>
      <x:c r="M11" s="148" t="str">
        <x:v>是正計画・顧客合意確認</x:v>
      </x:c>
      <x:c r="N11" s="149" t="str">
        <x:v>CTA-QUALITY</x:v>
      </x:c>
      <x:c r="O11" s="225" t="n">
        <x:v>550</x:v>
      </x:c>
      <x:c r="P11" s="148" t="str">
        <x:v>S:+80/A:+50</x:v>
      </x:c>
      <x:c r="Q11" s="148" t="str">
        <x:v>最大+40</x:v>
      </x:c>
      <x:c r="R11" s="148" t="str">
        <x:v>L3:+30,L2:+15,L1:0,L0:+60</x:v>
      </x:c>
      <x:c r="S11" s="148" t="str">
        <x:v>最大+30</x:v>
      </x:c>
      <x:c r="T11" s="226" t="str">
        <x:v>合計降順</x:v>
      </x:c>
      <x:c r="U11" s="117"/>
      <x:c r="V11" s="117"/>
      <x:c r="W11" s="117"/>
      <x:c r="X11" s="117"/>
      <x:c r="Y11" s="117"/>
      <x:c r="Z11" s="117"/>
    </x:row>
    <x:row r="12">
      <x:c r="A12" s="158" t="str">
        <x:v>GR-BLD-01</x:v>
      </x:c>
      <x:c r="B12" s="159" t="str">
        <x:v>建屋安全</x:v>
      </x:c>
      <x:c r="C12" s="159" t="str">
        <x:v>Q241=CRITICAL または Q242=CRITICAL</x:v>
      </x:c>
      <x:c r="D12" s="159" t="str">
        <x:v>Q112がHIGH以上でS</x:v>
      </x:c>
      <x:c r="E12" s="159" t="str">
        <x:v>写真・現地・温湿度記録でL3</x:v>
      </x:c>
      <x:c r="F12" s="159" t="str">
        <x:v>GR-BLD-L3-01</x:v>
      </x:c>
      <x:c r="G12" s="159" t="str">
        <x:v>GR-BLD-L2-01</x:v>
      </x:c>
      <x:c r="H12" s="159" t="str">
        <x:v>GR-BLD-L1-01</x:v>
      </x:c>
      <x:c r="I12" s="159" t="str">
        <x:v>GR-BLD-L0-01</x:v>
      </x:c>
      <x:c r="J12" s="159" t="str">
        <x:v>A/S</x:v>
      </x:c>
      <x:c r="K12" s="159" t="str">
        <x:v>最大3件内</x:v>
      </x:c>
      <x:c r="L12" s="159" t="str">
        <x:v>EDI/EPIへ反映、独立表示</x:v>
      </x:c>
      <x:c r="M12" s="159" t="str">
        <x:v>発生源・影響範囲・応急対策確認</x:v>
      </x:c>
      <x:c r="N12" s="160" t="str">
        <x:v>CTA-BLD</x:v>
      </x:c>
      <x:c r="O12" s="227" t="n">
        <x:v>400</x:v>
      </x:c>
      <x:c r="P12" s="228" t="str">
        <x:v>S:+80/A:+50</x:v>
      </x:c>
      <x:c r="Q12" s="228" t="str">
        <x:v>最大+40</x:v>
      </x:c>
      <x:c r="R12" s="228" t="str">
        <x:v>L3:+30,L2:+15,L1:0,L0:+60</x:v>
      </x:c>
      <x:c r="S12" s="228" t="str">
        <x:v>最大+30</x:v>
      </x:c>
      <x:c r="T12" s="229" t="str">
        <x:v>合計降順</x:v>
      </x:c>
      <x:c r="U12" s="117"/>
      <x:c r="V12" s="117"/>
      <x:c r="W12" s="117"/>
      <x:c r="X12" s="117"/>
      <x:c r="Y12" s="117"/>
      <x:c r="Z12" s="117"/>
    </x:row>
    <x:row r="13">
      <x:c r="A13" s="117"/>
      <x:c r="B13" s="117"/>
      <x:c r="C13" s="117"/>
      <x:c r="D13" s="117"/>
      <x:c r="E13" s="117"/>
      <x:c r="F13" s="117"/>
      <x:c r="G13" s="117"/>
      <x:c r="H13" s="117"/>
      <x:c r="I13" s="117"/>
      <x:c r="J13" s="117"/>
      <x:c r="K13" s="117"/>
      <x:c r="L13" s="117"/>
      <x:c r="M13" s="117"/>
      <x:c r="N13" s="117"/>
      <x:c r="O13" s="117"/>
      <x:c r="P13" s="117"/>
      <x:c r="Q13" s="117"/>
      <x:c r="R13" s="117"/>
      <x:c r="S13" s="117"/>
      <x:c r="T13" s="117"/>
      <x:c r="U13" s="117"/>
      <x:c r="V13" s="117"/>
      <x:c r="W13" s="117"/>
      <x:c r="X13" s="117"/>
      <x:c r="Y13" s="117"/>
      <x:c r="Z13" s="117"/>
    </x:row>
    <x:row r="14">
      <x:c r="A14" s="117"/>
      <x:c r="B14" s="117"/>
      <x:c r="C14" s="117"/>
      <x:c r="D14" s="117"/>
      <x:c r="E14" s="117"/>
      <x:c r="F14" s="117"/>
      <x:c r="G14" s="117"/>
      <x:c r="H14" s="117"/>
      <x:c r="I14" s="117"/>
      <x:c r="J14" s="117"/>
      <x:c r="K14" s="117"/>
      <x:c r="L14" s="117"/>
      <x:c r="M14" s="117"/>
      <x:c r="N14" s="117"/>
      <x:c r="O14" s="117"/>
      <x:c r="P14" s="117"/>
      <x:c r="Q14" s="117"/>
      <x:c r="R14" s="117"/>
      <x:c r="S14" s="117"/>
      <x:c r="T14" s="117"/>
      <x:c r="U14" s="117"/>
      <x:c r="V14" s="117"/>
      <x:c r="W14" s="117"/>
      <x:c r="X14" s="117"/>
      <x:c r="Y14" s="117"/>
      <x:c r="Z14" s="117"/>
    </x:row>
    <x:row r="15">
      <x:c r="A15" s="117"/>
      <x:c r="B15" s="117"/>
      <x:c r="C15" s="117"/>
      <x:c r="D15" s="117"/>
      <x:c r="E15" s="117"/>
      <x:c r="F15" s="117"/>
      <x:c r="G15" s="117"/>
      <x:c r="H15" s="117"/>
      <x:c r="I15" s="117"/>
      <x:c r="J15" s="117"/>
      <x:c r="K15" s="117"/>
      <x:c r="L15" s="117"/>
      <x:c r="M15" s="117"/>
      <x:c r="N15" s="117"/>
      <x:c r="O15" s="117"/>
      <x:c r="P15" s="117"/>
      <x:c r="Q15" s="117"/>
      <x:c r="R15" s="117"/>
      <x:c r="S15" s="117"/>
      <x:c r="T15" s="117"/>
      <x:c r="U15" s="117"/>
      <x:c r="V15" s="117"/>
      <x:c r="W15" s="117"/>
      <x:c r="X15" s="117"/>
      <x:c r="Y15" s="117"/>
      <x:c r="Z15" s="117"/>
    </x:row>
    <x:row r="16">
      <x:c r="A16" s="117"/>
      <x:c r="B16" s="117"/>
      <x:c r="C16" s="117"/>
      <x:c r="D16" s="117"/>
      <x:c r="E16" s="117"/>
      <x:c r="F16" s="117"/>
      <x:c r="G16" s="117"/>
      <x:c r="H16" s="117"/>
      <x:c r="I16" s="117"/>
      <x:c r="J16" s="117"/>
      <x:c r="K16" s="117"/>
      <x:c r="L16" s="117"/>
      <x:c r="M16" s="117"/>
      <x:c r="N16" s="117"/>
      <x:c r="O16" s="117"/>
      <x:c r="P16" s="117"/>
      <x:c r="Q16" s="117"/>
      <x:c r="R16" s="117"/>
      <x:c r="S16" s="117"/>
      <x:c r="T16" s="117"/>
      <x:c r="U16" s="117"/>
      <x:c r="V16" s="117"/>
      <x:c r="W16" s="117"/>
      <x:c r="X16" s="117"/>
      <x:c r="Y16" s="117"/>
      <x:c r="Z16" s="117"/>
    </x:row>
    <x:row r="17">
      <x:c r="A17" s="117"/>
      <x:c r="B17" s="117"/>
      <x:c r="C17" s="117"/>
      <x:c r="D17" s="117"/>
      <x:c r="E17" s="117"/>
      <x:c r="F17" s="117"/>
      <x:c r="G17" s="117"/>
      <x:c r="H17" s="117"/>
      <x:c r="I17" s="117"/>
      <x:c r="J17" s="117"/>
      <x:c r="K17" s="117"/>
      <x:c r="L17" s="117"/>
      <x:c r="M17" s="117"/>
      <x:c r="N17" s="117"/>
      <x:c r="O17" s="117"/>
      <x:c r="P17" s="117"/>
      <x:c r="Q17" s="117"/>
      <x:c r="R17" s="117"/>
      <x:c r="S17" s="117"/>
      <x:c r="T17" s="117"/>
      <x:c r="U17" s="117"/>
      <x:c r="V17" s="117"/>
      <x:c r="W17" s="117"/>
      <x:c r="X17" s="117"/>
      <x:c r="Y17" s="117"/>
      <x:c r="Z17" s="117"/>
    </x:row>
    <x:row r="18">
      <x:c r="A18" s="117"/>
      <x:c r="B18" s="117"/>
      <x:c r="C18" s="117"/>
      <x:c r="D18" s="117"/>
      <x:c r="E18" s="117"/>
      <x:c r="F18" s="117"/>
      <x:c r="G18" s="117"/>
      <x:c r="H18" s="117"/>
      <x:c r="I18" s="117"/>
      <x:c r="J18" s="117"/>
      <x:c r="K18" s="117"/>
      <x:c r="L18" s="117"/>
      <x:c r="M18" s="117"/>
      <x:c r="N18" s="117"/>
      <x:c r="O18" s="117"/>
      <x:c r="P18" s="117"/>
      <x:c r="Q18" s="117"/>
      <x:c r="R18" s="117"/>
      <x:c r="S18" s="117"/>
      <x:c r="T18" s="117"/>
      <x:c r="U18" s="117"/>
      <x:c r="V18" s="117"/>
      <x:c r="W18" s="117"/>
      <x:c r="X18" s="117"/>
      <x:c r="Y18" s="117"/>
      <x:c r="Z18" s="117"/>
    </x:row>
    <x:row r="19">
      <x:c r="A19" s="117"/>
      <x:c r="B19" s="117"/>
      <x:c r="C19" s="117"/>
      <x:c r="D19" s="117"/>
      <x:c r="E19" s="117"/>
      <x:c r="F19" s="117"/>
      <x:c r="G19" s="117"/>
      <x:c r="H19" s="117"/>
      <x:c r="I19" s="117"/>
      <x:c r="J19" s="117"/>
      <x:c r="K19" s="117"/>
      <x:c r="L19" s="117"/>
      <x:c r="M19" s="117"/>
      <x:c r="N19" s="117"/>
      <x:c r="O19" s="117"/>
      <x:c r="P19" s="117"/>
      <x:c r="Q19" s="117"/>
      <x:c r="R19" s="117"/>
      <x:c r="S19" s="117"/>
      <x:c r="T19" s="117"/>
      <x:c r="U19" s="117"/>
      <x:c r="V19" s="117"/>
      <x:c r="W19" s="117"/>
      <x:c r="X19" s="117"/>
      <x:c r="Y19" s="117"/>
      <x:c r="Z19" s="117"/>
    </x:row>
    <x:row r="20">
      <x:c r="A20" s="117"/>
      <x:c r="B20" s="117"/>
      <x:c r="C20" s="117"/>
      <x:c r="D20" s="117"/>
      <x:c r="E20" s="117"/>
      <x:c r="F20" s="117"/>
      <x:c r="G20" s="117"/>
      <x:c r="H20" s="117"/>
      <x:c r="I20" s="117"/>
      <x:c r="J20" s="117"/>
      <x:c r="K20" s="117"/>
      <x:c r="L20" s="117"/>
      <x:c r="M20" s="117"/>
      <x:c r="N20" s="117"/>
      <x:c r="O20" s="117"/>
      <x:c r="P20" s="117"/>
      <x:c r="Q20" s="117"/>
      <x:c r="R20" s="117"/>
      <x:c r="S20" s="117"/>
      <x:c r="T20" s="117"/>
      <x:c r="U20" s="117"/>
      <x:c r="V20" s="117"/>
      <x:c r="W20" s="117"/>
      <x:c r="X20" s="117"/>
      <x:c r="Y20" s="117"/>
      <x:c r="Z20" s="117"/>
    </x:row>
    <x:row r="21">
      <x:c r="A21" s="117"/>
      <x:c r="B21" s="117"/>
      <x:c r="C21" s="117"/>
      <x:c r="D21" s="117"/>
      <x:c r="E21" s="117"/>
      <x:c r="F21" s="117"/>
      <x:c r="G21" s="117"/>
      <x:c r="H21" s="117"/>
      <x:c r="I21" s="117"/>
      <x:c r="J21" s="117"/>
      <x:c r="K21" s="117"/>
      <x:c r="L21" s="117"/>
      <x:c r="M21" s="117"/>
      <x:c r="N21" s="117"/>
      <x:c r="O21" s="117"/>
      <x:c r="P21" s="117"/>
      <x:c r="Q21" s="117"/>
      <x:c r="R21" s="117"/>
      <x:c r="S21" s="117"/>
      <x:c r="T21" s="117"/>
      <x:c r="U21" s="117"/>
      <x:c r="V21" s="117"/>
      <x:c r="W21" s="117"/>
      <x:c r="X21" s="117"/>
      <x:c r="Y21" s="117"/>
      <x:c r="Z21" s="117"/>
    </x:row>
    <x:row r="22">
      <x:c r="A22" s="117"/>
      <x:c r="B22" s="117"/>
      <x:c r="C22" s="117"/>
      <x:c r="D22" s="117"/>
      <x:c r="E22" s="117"/>
      <x:c r="F22" s="117"/>
      <x:c r="G22" s="117"/>
      <x:c r="H22" s="117"/>
      <x:c r="I22" s="117"/>
      <x:c r="J22" s="117"/>
      <x:c r="K22" s="117"/>
      <x:c r="L22" s="117"/>
      <x:c r="M22" s="117"/>
      <x:c r="N22" s="117"/>
      <x:c r="O22" s="117"/>
      <x:c r="P22" s="117"/>
      <x:c r="Q22" s="117"/>
      <x:c r="R22" s="117"/>
      <x:c r="S22" s="117"/>
      <x:c r="T22" s="117"/>
      <x:c r="U22" s="117"/>
      <x:c r="V22" s="117"/>
      <x:c r="W22" s="117"/>
      <x:c r="X22" s="117"/>
      <x:c r="Y22" s="117"/>
      <x:c r="Z22" s="117"/>
    </x:row>
    <x:row r="23">
      <x:c r="A23" s="117"/>
      <x:c r="B23" s="117"/>
      <x:c r="C23" s="117"/>
      <x:c r="D23" s="117"/>
      <x:c r="E23" s="117"/>
      <x:c r="F23" s="117"/>
      <x:c r="G23" s="117"/>
      <x:c r="H23" s="117"/>
      <x:c r="I23" s="117"/>
      <x:c r="J23" s="117"/>
      <x:c r="K23" s="117"/>
      <x:c r="L23" s="117"/>
      <x:c r="M23" s="117"/>
      <x:c r="N23" s="117"/>
      <x:c r="O23" s="117"/>
      <x:c r="P23" s="117"/>
      <x:c r="Q23" s="117"/>
      <x:c r="R23" s="117"/>
      <x:c r="S23" s="117"/>
      <x:c r="T23" s="117"/>
      <x:c r="U23" s="117"/>
      <x:c r="V23" s="117"/>
      <x:c r="W23" s="117"/>
      <x:c r="X23" s="117"/>
      <x:c r="Y23" s="117"/>
      <x:c r="Z23" s="117"/>
    </x:row>
    <x:row r="24">
      <x:c r="A24" s="117"/>
      <x:c r="B24" s="117"/>
      <x:c r="C24" s="117"/>
      <x:c r="D24" s="117"/>
      <x:c r="E24" s="117"/>
      <x:c r="F24" s="117"/>
      <x:c r="G24" s="117"/>
      <x:c r="H24" s="117"/>
      <x:c r="I24" s="117"/>
      <x:c r="J24" s="117"/>
      <x:c r="K24" s="117"/>
      <x:c r="L24" s="117"/>
      <x:c r="M24" s="117"/>
      <x:c r="N24" s="117"/>
      <x:c r="O24" s="117"/>
      <x:c r="P24" s="117"/>
      <x:c r="Q24" s="117"/>
      <x:c r="R24" s="117"/>
      <x:c r="S24" s="117"/>
      <x:c r="T24" s="117"/>
      <x:c r="U24" s="117"/>
      <x:c r="V24" s="117"/>
      <x:c r="W24" s="117"/>
      <x:c r="X24" s="117"/>
      <x:c r="Y24" s="117"/>
      <x:c r="Z24" s="117"/>
    </x:row>
    <x:row r="25">
      <x:c r="A25" s="117"/>
      <x:c r="B25" s="117"/>
      <x:c r="C25" s="117"/>
      <x:c r="D25" s="117"/>
      <x:c r="E25" s="117"/>
      <x:c r="F25" s="117"/>
      <x:c r="G25" s="117"/>
      <x:c r="H25" s="117"/>
      <x:c r="I25" s="117"/>
      <x:c r="J25" s="117"/>
      <x:c r="K25" s="117"/>
      <x:c r="L25" s="117"/>
      <x:c r="M25" s="117"/>
      <x:c r="N25" s="117"/>
      <x:c r="O25" s="117"/>
      <x:c r="P25" s="117"/>
      <x:c r="Q25" s="117"/>
      <x:c r="R25" s="117"/>
      <x:c r="S25" s="117"/>
      <x:c r="T25" s="117"/>
      <x:c r="U25" s="117"/>
      <x:c r="V25" s="117"/>
      <x:c r="W25" s="117"/>
      <x:c r="X25" s="117"/>
      <x:c r="Y25" s="117"/>
      <x:c r="Z25" s="117"/>
    </x:row>
    <x:row r="26">
      <x:c r="A26" s="117"/>
      <x:c r="B26" s="117"/>
      <x:c r="C26" s="117"/>
      <x:c r="D26" s="117"/>
      <x:c r="E26" s="117"/>
      <x:c r="F26" s="117"/>
      <x:c r="G26" s="117"/>
      <x:c r="H26" s="117"/>
      <x:c r="I26" s="117"/>
      <x:c r="J26" s="117"/>
      <x:c r="K26" s="117"/>
      <x:c r="L26" s="117"/>
      <x:c r="M26" s="117"/>
      <x:c r="N26" s="117"/>
      <x:c r="O26" s="117"/>
      <x:c r="P26" s="117"/>
      <x:c r="Q26" s="117"/>
      <x:c r="R26" s="117"/>
      <x:c r="S26" s="117"/>
      <x:c r="T26" s="117"/>
      <x:c r="U26" s="117"/>
      <x:c r="V26" s="117"/>
      <x:c r="W26" s="117"/>
      <x:c r="X26" s="117"/>
      <x:c r="Y26" s="117"/>
      <x:c r="Z26" s="117"/>
    </x:row>
    <x:row r="27">
      <x:c r="A27" s="117"/>
      <x:c r="B27" s="117"/>
      <x:c r="C27" s="117"/>
      <x:c r="D27" s="117"/>
      <x:c r="E27" s="117"/>
      <x:c r="F27" s="117"/>
      <x:c r="G27" s="117"/>
      <x:c r="H27" s="117"/>
      <x:c r="I27" s="117"/>
      <x:c r="J27" s="117"/>
      <x:c r="K27" s="117"/>
      <x:c r="L27" s="117"/>
      <x:c r="M27" s="117"/>
      <x:c r="N27" s="117"/>
      <x:c r="O27" s="117"/>
      <x:c r="P27" s="117"/>
      <x:c r="Q27" s="117"/>
      <x:c r="R27" s="117"/>
      <x:c r="S27" s="117"/>
      <x:c r="T27" s="117"/>
      <x:c r="U27" s="117"/>
      <x:c r="V27" s="117"/>
      <x:c r="W27" s="117"/>
      <x:c r="X27" s="117"/>
      <x:c r="Y27" s="117"/>
      <x:c r="Z27" s="117"/>
    </x:row>
    <x:row r="28">
      <x:c r="A28" s="117"/>
      <x:c r="B28" s="117"/>
      <x:c r="C28" s="117"/>
      <x:c r="D28" s="117"/>
      <x:c r="E28" s="117"/>
      <x:c r="F28" s="117"/>
      <x:c r="G28" s="117"/>
      <x:c r="H28" s="117"/>
      <x:c r="I28" s="117"/>
      <x:c r="J28" s="117"/>
      <x:c r="K28" s="117"/>
      <x:c r="L28" s="117"/>
      <x:c r="M28" s="117"/>
      <x:c r="N28" s="117"/>
      <x:c r="O28" s="117"/>
      <x:c r="P28" s="117"/>
      <x:c r="Q28" s="117"/>
      <x:c r="R28" s="117"/>
      <x:c r="S28" s="117"/>
      <x:c r="T28" s="117"/>
      <x:c r="U28" s="117"/>
      <x:c r="V28" s="117"/>
      <x:c r="W28" s="117"/>
      <x:c r="X28" s="117"/>
      <x:c r="Y28" s="117"/>
      <x:c r="Z28" s="117"/>
    </x:row>
    <x:row r="29">
      <x:c r="A29" s="117"/>
      <x:c r="B29" s="117"/>
      <x:c r="C29" s="117"/>
      <x:c r="D29" s="117"/>
      <x:c r="E29" s="117"/>
      <x:c r="F29" s="117"/>
      <x:c r="G29" s="117"/>
      <x:c r="H29" s="117"/>
      <x:c r="I29" s="117"/>
      <x:c r="J29" s="117"/>
      <x:c r="K29" s="117"/>
      <x:c r="L29" s="117"/>
      <x:c r="M29" s="117"/>
      <x:c r="N29" s="117"/>
      <x:c r="O29" s="117"/>
      <x:c r="P29" s="117"/>
      <x:c r="Q29" s="117"/>
      <x:c r="R29" s="117"/>
      <x:c r="S29" s="117"/>
      <x:c r="T29" s="117"/>
      <x:c r="U29" s="117"/>
      <x:c r="V29" s="117"/>
      <x:c r="W29" s="117"/>
      <x:c r="X29" s="117"/>
      <x:c r="Y29" s="117"/>
      <x:c r="Z29" s="117"/>
    </x:row>
    <x:row r="30">
      <x:c r="A30" s="117"/>
      <x:c r="B30" s="117"/>
      <x:c r="C30" s="117"/>
      <x:c r="D30" s="117"/>
      <x:c r="E30" s="117"/>
      <x:c r="F30" s="117"/>
      <x:c r="G30" s="117"/>
      <x:c r="H30" s="117"/>
      <x:c r="I30" s="117"/>
      <x:c r="J30" s="117"/>
      <x:c r="K30" s="117"/>
      <x:c r="L30" s="117"/>
      <x:c r="M30" s="117"/>
      <x:c r="N30" s="117"/>
      <x:c r="O30" s="117"/>
      <x:c r="P30" s="117"/>
      <x:c r="Q30" s="117"/>
      <x:c r="R30" s="117"/>
      <x:c r="S30" s="117"/>
      <x:c r="T30" s="117"/>
      <x:c r="U30" s="117"/>
      <x:c r="V30" s="117"/>
      <x:c r="W30" s="117"/>
      <x:c r="X30" s="117"/>
      <x:c r="Y30" s="117"/>
      <x:c r="Z30" s="117"/>
    </x:row>
    <x:row r="31">
      <x:c r="A31" s="117"/>
      <x:c r="B31" s="117"/>
      <x:c r="C31" s="117"/>
      <x:c r="D31" s="117"/>
      <x:c r="E31" s="117"/>
      <x:c r="F31" s="117"/>
      <x:c r="G31" s="117"/>
      <x:c r="H31" s="117"/>
      <x:c r="I31" s="117"/>
      <x:c r="J31" s="117"/>
      <x:c r="K31" s="117"/>
      <x:c r="L31" s="117"/>
      <x:c r="M31" s="117"/>
      <x:c r="N31" s="117"/>
      <x:c r="O31" s="117"/>
      <x:c r="P31" s="117"/>
      <x:c r="Q31" s="117"/>
      <x:c r="R31" s="117"/>
      <x:c r="S31" s="117"/>
      <x:c r="T31" s="117"/>
      <x:c r="U31" s="117"/>
      <x:c r="V31" s="117"/>
      <x:c r="W31" s="117"/>
      <x:c r="X31" s="117"/>
      <x:c r="Y31" s="117"/>
      <x:c r="Z31" s="117"/>
    </x:row>
    <x:row r="32">
      <x:c r="A32" s="117"/>
      <x:c r="B32" s="117"/>
      <x:c r="C32" s="117"/>
      <x:c r="D32" s="117"/>
      <x:c r="E32" s="117"/>
      <x:c r="F32" s="117"/>
      <x:c r="G32" s="117"/>
      <x:c r="H32" s="117"/>
      <x:c r="I32" s="117"/>
      <x:c r="J32" s="117"/>
      <x:c r="K32" s="117"/>
      <x:c r="L32" s="117"/>
      <x:c r="M32" s="117"/>
      <x:c r="N32" s="117"/>
      <x:c r="O32" s="117"/>
      <x:c r="P32" s="117"/>
      <x:c r="Q32" s="117"/>
      <x:c r="R32" s="117"/>
      <x:c r="S32" s="117"/>
      <x:c r="T32" s="117"/>
      <x:c r="U32" s="117"/>
      <x:c r="V32" s="117"/>
      <x:c r="W32" s="117"/>
      <x:c r="X32" s="117"/>
      <x:c r="Y32" s="117"/>
      <x:c r="Z32" s="117"/>
    </x:row>
    <x:row r="33">
      <x:c r="A33" s="117"/>
      <x:c r="B33" s="117"/>
      <x:c r="C33" s="117"/>
      <x:c r="D33" s="117"/>
      <x:c r="E33" s="117"/>
      <x:c r="F33" s="117"/>
      <x:c r="G33" s="117"/>
      <x:c r="H33" s="117"/>
      <x:c r="I33" s="117"/>
      <x:c r="J33" s="117"/>
      <x:c r="K33" s="117"/>
      <x:c r="L33" s="117"/>
      <x:c r="M33" s="117"/>
      <x:c r="N33" s="117"/>
      <x:c r="O33" s="117"/>
      <x:c r="P33" s="117"/>
      <x:c r="Q33" s="117"/>
      <x:c r="R33" s="117"/>
      <x:c r="S33" s="117"/>
      <x:c r="T33" s="117"/>
      <x:c r="U33" s="117"/>
      <x:c r="V33" s="117"/>
      <x:c r="W33" s="117"/>
      <x:c r="X33" s="117"/>
      <x:c r="Y33" s="117"/>
      <x:c r="Z33" s="117"/>
    </x:row>
    <x:row r="34">
      <x:c r="A34" s="117"/>
      <x:c r="B34" s="117"/>
      <x:c r="C34" s="117"/>
      <x:c r="D34" s="117"/>
      <x:c r="E34" s="117"/>
      <x:c r="F34" s="117"/>
      <x:c r="G34" s="117"/>
      <x:c r="H34" s="117"/>
      <x:c r="I34" s="117"/>
      <x:c r="J34" s="117"/>
      <x:c r="K34" s="117"/>
      <x:c r="L34" s="117"/>
      <x:c r="M34" s="117"/>
      <x:c r="N34" s="117"/>
      <x:c r="O34" s="117"/>
      <x:c r="P34" s="117"/>
      <x:c r="Q34" s="117"/>
      <x:c r="R34" s="117"/>
      <x:c r="S34" s="117"/>
      <x:c r="T34" s="117"/>
      <x:c r="U34" s="117"/>
      <x:c r="V34" s="117"/>
      <x:c r="W34" s="117"/>
      <x:c r="X34" s="117"/>
      <x:c r="Y34" s="117"/>
      <x:c r="Z34" s="117"/>
    </x:row>
    <x:row r="35">
      <x:c r="A35" s="117"/>
      <x:c r="B35" s="117"/>
      <x:c r="C35" s="117"/>
      <x:c r="D35" s="117"/>
      <x:c r="E35" s="117"/>
      <x:c r="F35" s="117"/>
      <x:c r="G35" s="117"/>
      <x:c r="H35" s="117"/>
      <x:c r="I35" s="117"/>
      <x:c r="J35" s="117"/>
      <x:c r="K35" s="117"/>
      <x:c r="L35" s="117"/>
      <x:c r="M35" s="117"/>
      <x:c r="N35" s="117"/>
      <x:c r="O35" s="117"/>
      <x:c r="P35" s="117"/>
      <x:c r="Q35" s="117"/>
      <x:c r="R35" s="117"/>
      <x:c r="S35" s="117"/>
      <x:c r="T35" s="117"/>
      <x:c r="U35" s="117"/>
      <x:c r="V35" s="117"/>
      <x:c r="W35" s="117"/>
      <x:c r="X35" s="117"/>
      <x:c r="Y35" s="117"/>
      <x:c r="Z35" s="117"/>
    </x:row>
    <x:row r="36">
      <x:c r="A36" s="117"/>
      <x:c r="B36" s="117"/>
      <x:c r="C36" s="117"/>
      <x:c r="D36" s="117"/>
      <x:c r="E36" s="117"/>
      <x:c r="F36" s="117"/>
      <x:c r="G36" s="117"/>
      <x:c r="H36" s="117"/>
      <x:c r="I36" s="117"/>
      <x:c r="J36" s="117"/>
      <x:c r="K36" s="117"/>
      <x:c r="L36" s="117"/>
      <x:c r="M36" s="117"/>
      <x:c r="N36" s="117"/>
      <x:c r="O36" s="117"/>
      <x:c r="P36" s="117"/>
      <x:c r="Q36" s="117"/>
      <x:c r="R36" s="117"/>
      <x:c r="S36" s="117"/>
      <x:c r="T36" s="117"/>
      <x:c r="U36" s="117"/>
      <x:c r="V36" s="117"/>
      <x:c r="W36" s="117"/>
      <x:c r="X36" s="117"/>
      <x:c r="Y36" s="117"/>
      <x:c r="Z36" s="117"/>
    </x:row>
    <x:row r="37">
      <x:c r="A37" s="117"/>
      <x:c r="B37" s="117"/>
      <x:c r="C37" s="117"/>
      <x:c r="D37" s="117"/>
      <x:c r="E37" s="117"/>
      <x:c r="F37" s="117"/>
      <x:c r="G37" s="117"/>
      <x:c r="H37" s="117"/>
      <x:c r="I37" s="117"/>
      <x:c r="J37" s="117"/>
      <x:c r="K37" s="117"/>
      <x:c r="L37" s="117"/>
      <x:c r="M37" s="117"/>
      <x:c r="N37" s="117"/>
      <x:c r="O37" s="117"/>
      <x:c r="P37" s="117"/>
      <x:c r="Q37" s="117"/>
      <x:c r="R37" s="117"/>
      <x:c r="S37" s="117"/>
      <x:c r="T37" s="117"/>
      <x:c r="U37" s="117"/>
      <x:c r="V37" s="117"/>
      <x:c r="W37" s="117"/>
      <x:c r="X37" s="117"/>
      <x:c r="Y37" s="117"/>
      <x:c r="Z37" s="117"/>
    </x:row>
    <x:row r="38">
      <x:c r="A38" s="117"/>
      <x:c r="B38" s="117"/>
      <x:c r="C38" s="117"/>
      <x:c r="D38" s="117"/>
      <x:c r="E38" s="117"/>
      <x:c r="F38" s="117"/>
      <x:c r="G38" s="117"/>
      <x:c r="H38" s="117"/>
      <x:c r="I38" s="117"/>
      <x:c r="J38" s="117"/>
      <x:c r="K38" s="117"/>
      <x:c r="L38" s="117"/>
      <x:c r="M38" s="117"/>
      <x:c r="N38" s="117"/>
      <x:c r="O38" s="117"/>
      <x:c r="P38" s="117"/>
      <x:c r="Q38" s="117"/>
      <x:c r="R38" s="117"/>
      <x:c r="S38" s="117"/>
      <x:c r="T38" s="117"/>
      <x:c r="U38" s="117"/>
      <x:c r="V38" s="117"/>
      <x:c r="W38" s="117"/>
      <x:c r="X38" s="117"/>
      <x:c r="Y38" s="117"/>
      <x:c r="Z38" s="117"/>
    </x:row>
    <x:row r="39">
      <x:c r="A39" s="117"/>
      <x:c r="B39" s="117"/>
      <x:c r="C39" s="117"/>
      <x:c r="D39" s="117"/>
      <x:c r="E39" s="117"/>
      <x:c r="F39" s="117"/>
      <x:c r="G39" s="117"/>
      <x:c r="H39" s="117"/>
      <x:c r="I39" s="117"/>
      <x:c r="J39" s="117"/>
      <x:c r="K39" s="117"/>
      <x:c r="L39" s="117"/>
      <x:c r="M39" s="117"/>
      <x:c r="N39" s="117"/>
      <x:c r="O39" s="117"/>
      <x:c r="P39" s="117"/>
      <x:c r="Q39" s="117"/>
      <x:c r="R39" s="117"/>
      <x:c r="S39" s="117"/>
      <x:c r="T39" s="117"/>
      <x:c r="U39" s="117"/>
      <x:c r="V39" s="117"/>
      <x:c r="W39" s="117"/>
      <x:c r="X39" s="117"/>
      <x:c r="Y39" s="117"/>
      <x:c r="Z39" s="117"/>
    </x:row>
    <x:row r="40">
      <x:c r="A40" s="117"/>
      <x:c r="B40" s="117"/>
      <x:c r="C40" s="117"/>
      <x:c r="D40" s="117"/>
      <x:c r="E40" s="117"/>
      <x:c r="F40" s="117"/>
      <x:c r="G40" s="117"/>
      <x:c r="H40" s="117"/>
      <x:c r="I40" s="117"/>
      <x:c r="J40" s="117"/>
      <x:c r="K40" s="117"/>
      <x:c r="L40" s="117"/>
      <x:c r="M40" s="117"/>
      <x:c r="N40" s="117"/>
      <x:c r="O40" s="117"/>
      <x:c r="P40" s="117"/>
      <x:c r="Q40" s="117"/>
      <x:c r="R40" s="117"/>
      <x:c r="S40" s="117"/>
      <x:c r="T40" s="117"/>
      <x:c r="U40" s="117"/>
      <x:c r="V40" s="117"/>
      <x:c r="W40" s="117"/>
      <x:c r="X40" s="117"/>
      <x:c r="Y40" s="117"/>
      <x:c r="Z40" s="117"/>
    </x:row>
    <x:row r="41">
      <x:c r="A41" s="117"/>
      <x:c r="B41" s="117"/>
      <x:c r="C41" s="117"/>
      <x:c r="D41" s="117"/>
      <x:c r="E41" s="117"/>
      <x:c r="F41" s="117"/>
      <x:c r="G41" s="117"/>
      <x:c r="H41" s="117"/>
      <x:c r="I41" s="117"/>
      <x:c r="J41" s="117"/>
      <x:c r="K41" s="117"/>
      <x:c r="L41" s="117"/>
      <x:c r="M41" s="117"/>
      <x:c r="N41" s="117"/>
      <x:c r="O41" s="117"/>
      <x:c r="P41" s="117"/>
      <x:c r="Q41" s="117"/>
      <x:c r="R41" s="117"/>
      <x:c r="S41" s="117"/>
      <x:c r="T41" s="117"/>
      <x:c r="U41" s="117"/>
      <x:c r="V41" s="117"/>
      <x:c r="W41" s="117"/>
      <x:c r="X41" s="117"/>
      <x:c r="Y41" s="117"/>
      <x:c r="Z41" s="117"/>
    </x:row>
    <x:row r="42">
      <x:c r="A42" s="117"/>
      <x:c r="B42" s="117"/>
      <x:c r="C42" s="117"/>
      <x:c r="D42" s="117"/>
      <x:c r="E42" s="117"/>
      <x:c r="F42" s="117"/>
      <x:c r="G42" s="117"/>
      <x:c r="H42" s="117"/>
      <x:c r="I42" s="117"/>
      <x:c r="J42" s="117"/>
      <x:c r="K42" s="117"/>
      <x:c r="L42" s="117"/>
      <x:c r="M42" s="117"/>
      <x:c r="N42" s="117"/>
      <x:c r="O42" s="117"/>
      <x:c r="P42" s="117"/>
      <x:c r="Q42" s="117"/>
      <x:c r="R42" s="117"/>
      <x:c r="S42" s="117"/>
      <x:c r="T42" s="117"/>
      <x:c r="U42" s="117"/>
      <x:c r="V42" s="117"/>
      <x:c r="W42" s="117"/>
      <x:c r="X42" s="117"/>
      <x:c r="Y42" s="117"/>
      <x:c r="Z42" s="117"/>
    </x:row>
    <x:row r="43">
      <x:c r="A43" s="117"/>
      <x:c r="B43" s="117"/>
      <x:c r="C43" s="117"/>
      <x:c r="D43" s="117"/>
      <x:c r="E43" s="117"/>
      <x:c r="F43" s="117"/>
      <x:c r="G43" s="117"/>
      <x:c r="H43" s="117"/>
      <x:c r="I43" s="117"/>
      <x:c r="J43" s="117"/>
      <x:c r="K43" s="117"/>
      <x:c r="L43" s="117"/>
      <x:c r="M43" s="117"/>
      <x:c r="N43" s="117"/>
      <x:c r="O43" s="117"/>
      <x:c r="P43" s="117"/>
      <x:c r="Q43" s="117"/>
      <x:c r="R43" s="117"/>
      <x:c r="S43" s="117"/>
      <x:c r="T43" s="117"/>
      <x:c r="U43" s="117"/>
      <x:c r="V43" s="117"/>
      <x:c r="W43" s="117"/>
      <x:c r="X43" s="117"/>
      <x:c r="Y43" s="117"/>
      <x:c r="Z43" s="117"/>
    </x:row>
    <x:row r="44">
      <x:c r="A44" s="117"/>
      <x:c r="B44" s="117"/>
      <x:c r="C44" s="117"/>
      <x:c r="D44" s="117"/>
      <x:c r="E44" s="117"/>
      <x:c r="F44" s="117"/>
      <x:c r="G44" s="117"/>
      <x:c r="H44" s="117"/>
      <x:c r="I44" s="117"/>
      <x:c r="J44" s="117"/>
      <x:c r="K44" s="117"/>
      <x:c r="L44" s="117"/>
      <x:c r="M44" s="117"/>
      <x:c r="N44" s="117"/>
      <x:c r="O44" s="117"/>
      <x:c r="P44" s="117"/>
      <x:c r="Q44" s="117"/>
      <x:c r="R44" s="117"/>
      <x:c r="S44" s="117"/>
      <x:c r="T44" s="117"/>
      <x:c r="U44" s="117"/>
      <x:c r="V44" s="117"/>
      <x:c r="W44" s="117"/>
      <x:c r="X44" s="117"/>
      <x:c r="Y44" s="117"/>
      <x:c r="Z44" s="117"/>
    </x:row>
    <x:row r="45">
      <x:c r="A45" s="117"/>
      <x:c r="B45" s="117"/>
      <x:c r="C45" s="117"/>
      <x:c r="D45" s="117"/>
      <x:c r="E45" s="117"/>
      <x:c r="F45" s="117"/>
      <x:c r="G45" s="117"/>
      <x:c r="H45" s="117"/>
      <x:c r="I45" s="117"/>
      <x:c r="J45" s="117"/>
      <x:c r="K45" s="117"/>
      <x:c r="L45" s="117"/>
      <x:c r="M45" s="117"/>
      <x:c r="N45" s="117"/>
      <x:c r="O45" s="117"/>
      <x:c r="P45" s="117"/>
      <x:c r="Q45" s="117"/>
      <x:c r="R45" s="117"/>
      <x:c r="S45" s="117"/>
      <x:c r="T45" s="117"/>
      <x:c r="U45" s="117"/>
      <x:c r="V45" s="117"/>
      <x:c r="W45" s="117"/>
      <x:c r="X45" s="117"/>
      <x:c r="Y45" s="117"/>
      <x:c r="Z45" s="117"/>
    </x:row>
    <x:row r="46">
      <x:c r="A46" s="117"/>
      <x:c r="B46" s="117"/>
      <x:c r="C46" s="117"/>
      <x:c r="D46" s="117"/>
      <x:c r="E46" s="117"/>
      <x:c r="F46" s="117"/>
      <x:c r="G46" s="117"/>
      <x:c r="H46" s="117"/>
      <x:c r="I46" s="117"/>
      <x:c r="J46" s="117"/>
      <x:c r="K46" s="117"/>
      <x:c r="L46" s="117"/>
      <x:c r="M46" s="117"/>
      <x:c r="N46" s="117"/>
      <x:c r="O46" s="117"/>
      <x:c r="P46" s="117"/>
      <x:c r="Q46" s="117"/>
      <x:c r="R46" s="117"/>
      <x:c r="S46" s="117"/>
      <x:c r="T46" s="117"/>
      <x:c r="U46" s="117"/>
      <x:c r="V46" s="117"/>
      <x:c r="W46" s="117"/>
      <x:c r="X46" s="117"/>
      <x:c r="Y46" s="117"/>
      <x:c r="Z46" s="117"/>
    </x:row>
    <x:row r="47">
      <x:c r="A47" s="117"/>
      <x:c r="B47" s="117"/>
      <x:c r="C47" s="117"/>
      <x:c r="D47" s="117"/>
      <x:c r="E47" s="117"/>
      <x:c r="F47" s="117"/>
      <x:c r="G47" s="117"/>
      <x:c r="H47" s="117"/>
      <x:c r="I47" s="117"/>
      <x:c r="J47" s="117"/>
      <x:c r="K47" s="117"/>
      <x:c r="L47" s="117"/>
      <x:c r="M47" s="117"/>
      <x:c r="N47" s="117"/>
      <x:c r="O47" s="117"/>
      <x:c r="P47" s="117"/>
      <x:c r="Q47" s="117"/>
      <x:c r="R47" s="117"/>
      <x:c r="S47" s="117"/>
      <x:c r="T47" s="117"/>
      <x:c r="U47" s="117"/>
      <x:c r="V47" s="117"/>
      <x:c r="W47" s="117"/>
      <x:c r="X47" s="117"/>
      <x:c r="Y47" s="117"/>
      <x:c r="Z47" s="117"/>
    </x:row>
    <x:row r="48">
      <x:c r="A48" s="117"/>
      <x:c r="B48" s="117"/>
      <x:c r="C48" s="117"/>
      <x:c r="D48" s="117"/>
      <x:c r="E48" s="117"/>
      <x:c r="F48" s="117"/>
      <x:c r="G48" s="117"/>
      <x:c r="H48" s="117"/>
      <x:c r="I48" s="117"/>
      <x:c r="J48" s="117"/>
      <x:c r="K48" s="117"/>
      <x:c r="L48" s="117"/>
      <x:c r="M48" s="117"/>
      <x:c r="N48" s="117"/>
      <x:c r="O48" s="117"/>
      <x:c r="P48" s="117"/>
      <x:c r="Q48" s="117"/>
      <x:c r="R48" s="117"/>
      <x:c r="S48" s="117"/>
      <x:c r="T48" s="117"/>
      <x:c r="U48" s="117"/>
      <x:c r="V48" s="117"/>
      <x:c r="W48" s="117"/>
      <x:c r="X48" s="117"/>
      <x:c r="Y48" s="117"/>
      <x:c r="Z48" s="117"/>
    </x:row>
    <x:row r="49">
      <x:c r="A49" s="117"/>
      <x:c r="B49" s="117"/>
      <x:c r="C49" s="117"/>
      <x:c r="D49" s="117"/>
      <x:c r="E49" s="117"/>
      <x:c r="F49" s="117"/>
      <x:c r="G49" s="117"/>
      <x:c r="H49" s="117"/>
      <x:c r="I49" s="117"/>
      <x:c r="J49" s="117"/>
      <x:c r="K49" s="117"/>
      <x:c r="L49" s="117"/>
      <x:c r="M49" s="117"/>
      <x:c r="N49" s="117"/>
      <x:c r="O49" s="117"/>
      <x:c r="P49" s="117"/>
      <x:c r="Q49" s="117"/>
      <x:c r="R49" s="117"/>
      <x:c r="S49" s="117"/>
      <x:c r="T49" s="117"/>
      <x:c r="U49" s="117"/>
      <x:c r="V49" s="117"/>
      <x:c r="W49" s="117"/>
      <x:c r="X49" s="117"/>
      <x:c r="Y49" s="117"/>
      <x:c r="Z49" s="117"/>
    </x:row>
    <x:row r="50">
      <x:c r="A50" s="117"/>
      <x:c r="B50" s="117"/>
      <x:c r="C50" s="117"/>
      <x:c r="D50" s="117"/>
      <x:c r="E50" s="117"/>
      <x:c r="F50" s="117"/>
      <x:c r="G50" s="117"/>
      <x:c r="H50" s="117"/>
      <x:c r="I50" s="117"/>
      <x:c r="J50" s="117"/>
      <x:c r="K50" s="117"/>
      <x:c r="L50" s="117"/>
      <x:c r="M50" s="117"/>
      <x:c r="N50" s="117"/>
      <x:c r="O50" s="117"/>
      <x:c r="P50" s="117"/>
      <x:c r="Q50" s="117"/>
      <x:c r="R50" s="117"/>
      <x:c r="S50" s="117"/>
      <x:c r="T50" s="117"/>
      <x:c r="U50" s="117"/>
      <x:c r="V50" s="117"/>
      <x:c r="W50" s="117"/>
      <x:c r="X50" s="117"/>
      <x:c r="Y50" s="117"/>
      <x:c r="Z50" s="117"/>
    </x:row>
    <x:row r="51">
      <x:c r="A51" s="117"/>
      <x:c r="B51" s="117"/>
      <x:c r="C51" s="117"/>
      <x:c r="D51" s="117"/>
      <x:c r="E51" s="117"/>
      <x:c r="F51" s="117"/>
      <x:c r="G51" s="117"/>
      <x:c r="H51" s="117"/>
      <x:c r="I51" s="117"/>
      <x:c r="J51" s="117"/>
      <x:c r="K51" s="117"/>
      <x:c r="L51" s="117"/>
      <x:c r="M51" s="117"/>
      <x:c r="N51" s="117"/>
      <x:c r="O51" s="117"/>
      <x:c r="P51" s="117"/>
      <x:c r="Q51" s="117"/>
      <x:c r="R51" s="117"/>
      <x:c r="S51" s="117"/>
      <x:c r="T51" s="117"/>
      <x:c r="U51" s="117"/>
      <x:c r="V51" s="117"/>
      <x:c r="W51" s="117"/>
      <x:c r="X51" s="117"/>
      <x:c r="Y51" s="117"/>
      <x:c r="Z51" s="117"/>
    </x:row>
    <x:row r="52">
      <x:c r="A52" s="117"/>
      <x:c r="B52" s="117"/>
      <x:c r="C52" s="117"/>
      <x:c r="D52" s="117"/>
      <x:c r="E52" s="117"/>
      <x:c r="F52" s="117"/>
      <x:c r="G52" s="117"/>
      <x:c r="H52" s="117"/>
      <x:c r="I52" s="117"/>
      <x:c r="J52" s="117"/>
      <x:c r="K52" s="117"/>
      <x:c r="L52" s="117"/>
      <x:c r="M52" s="117"/>
      <x:c r="N52" s="117"/>
      <x:c r="O52" s="117"/>
      <x:c r="P52" s="117"/>
      <x:c r="Q52" s="117"/>
      <x:c r="R52" s="117"/>
      <x:c r="S52" s="117"/>
      <x:c r="T52" s="117"/>
      <x:c r="U52" s="117"/>
      <x:c r="V52" s="117"/>
      <x:c r="W52" s="117"/>
      <x:c r="X52" s="117"/>
      <x:c r="Y52" s="117"/>
      <x:c r="Z52" s="117"/>
    </x:row>
    <x:row r="53">
      <x:c r="A53" s="117"/>
      <x:c r="B53" s="117"/>
      <x:c r="C53" s="117"/>
      <x:c r="D53" s="117"/>
      <x:c r="E53" s="117"/>
      <x:c r="F53" s="117"/>
      <x:c r="G53" s="117"/>
      <x:c r="H53" s="117"/>
      <x:c r="I53" s="117"/>
      <x:c r="J53" s="117"/>
      <x:c r="K53" s="117"/>
      <x:c r="L53" s="117"/>
      <x:c r="M53" s="117"/>
      <x:c r="N53" s="117"/>
      <x:c r="O53" s="117"/>
      <x:c r="P53" s="117"/>
      <x:c r="Q53" s="117"/>
      <x:c r="R53" s="117"/>
      <x:c r="S53" s="117"/>
      <x:c r="T53" s="117"/>
      <x:c r="U53" s="117"/>
      <x:c r="V53" s="117"/>
      <x:c r="W53" s="117"/>
      <x:c r="X53" s="117"/>
      <x:c r="Y53" s="117"/>
      <x:c r="Z53" s="117"/>
    </x:row>
    <x:row r="54">
      <x:c r="A54" s="117"/>
      <x:c r="B54" s="117"/>
      <x:c r="C54" s="117"/>
      <x:c r="D54" s="117"/>
      <x:c r="E54" s="117"/>
      <x:c r="F54" s="117"/>
      <x:c r="G54" s="117"/>
      <x:c r="H54" s="117"/>
      <x:c r="I54" s="117"/>
      <x:c r="J54" s="117"/>
      <x:c r="K54" s="117"/>
      <x:c r="L54" s="117"/>
      <x:c r="M54" s="117"/>
      <x:c r="N54" s="117"/>
      <x:c r="O54" s="117"/>
      <x:c r="P54" s="117"/>
      <x:c r="Q54" s="117"/>
      <x:c r="R54" s="117"/>
      <x:c r="S54" s="117"/>
      <x:c r="T54" s="117"/>
      <x:c r="U54" s="117"/>
      <x:c r="V54" s="117"/>
      <x:c r="W54" s="117"/>
      <x:c r="X54" s="117"/>
      <x:c r="Y54" s="117"/>
      <x:c r="Z54" s="117"/>
    </x:row>
    <x:row r="55">
      <x:c r="A55" s="117"/>
      <x:c r="B55" s="117"/>
      <x:c r="C55" s="117"/>
      <x:c r="D55" s="117"/>
      <x:c r="E55" s="117"/>
      <x:c r="F55" s="117"/>
      <x:c r="G55" s="117"/>
      <x:c r="H55" s="117"/>
      <x:c r="I55" s="117"/>
      <x:c r="J55" s="117"/>
      <x:c r="K55" s="117"/>
      <x:c r="L55" s="117"/>
      <x:c r="M55" s="117"/>
      <x:c r="N55" s="117"/>
      <x:c r="O55" s="117"/>
      <x:c r="P55" s="117"/>
      <x:c r="Q55" s="117"/>
      <x:c r="R55" s="117"/>
      <x:c r="S55" s="117"/>
      <x:c r="T55" s="117"/>
      <x:c r="U55" s="117"/>
      <x:c r="V55" s="117"/>
      <x:c r="W55" s="117"/>
      <x:c r="X55" s="117"/>
      <x:c r="Y55" s="117"/>
      <x:c r="Z55" s="117"/>
    </x:row>
    <x:row r="56">
      <x:c r="A56" s="117"/>
      <x:c r="B56" s="117"/>
      <x:c r="C56" s="117"/>
      <x:c r="D56" s="117"/>
      <x:c r="E56" s="117"/>
      <x:c r="F56" s="117"/>
      <x:c r="G56" s="117"/>
      <x:c r="H56" s="117"/>
      <x:c r="I56" s="117"/>
      <x:c r="J56" s="117"/>
      <x:c r="K56" s="117"/>
      <x:c r="L56" s="117"/>
      <x:c r="M56" s="117"/>
      <x:c r="N56" s="117"/>
      <x:c r="O56" s="117"/>
      <x:c r="P56" s="117"/>
      <x:c r="Q56" s="117"/>
      <x:c r="R56" s="117"/>
      <x:c r="S56" s="117"/>
      <x:c r="T56" s="117"/>
      <x:c r="U56" s="117"/>
      <x:c r="V56" s="117"/>
      <x:c r="W56" s="117"/>
      <x:c r="X56" s="117"/>
      <x:c r="Y56" s="117"/>
      <x:c r="Z56" s="117"/>
    </x:row>
    <x:row r="57">
      <x:c r="A57" s="117"/>
      <x:c r="B57" s="117"/>
      <x:c r="C57" s="117"/>
      <x:c r="D57" s="117"/>
      <x:c r="E57" s="117"/>
      <x:c r="F57" s="117"/>
      <x:c r="G57" s="117"/>
      <x:c r="H57" s="117"/>
      <x:c r="I57" s="117"/>
      <x:c r="J57" s="117"/>
      <x:c r="K57" s="117"/>
      <x:c r="L57" s="117"/>
      <x:c r="M57" s="117"/>
      <x:c r="N57" s="117"/>
      <x:c r="O57" s="117"/>
      <x:c r="P57" s="117"/>
      <x:c r="Q57" s="117"/>
      <x:c r="R57" s="117"/>
      <x:c r="S57" s="117"/>
      <x:c r="T57" s="117"/>
      <x:c r="U57" s="117"/>
      <x:c r="V57" s="117"/>
      <x:c r="W57" s="117"/>
      <x:c r="X57" s="117"/>
      <x:c r="Y57" s="117"/>
      <x:c r="Z57" s="117"/>
    </x:row>
    <x:row r="58">
      <x:c r="A58" s="117"/>
      <x:c r="B58" s="117"/>
      <x:c r="C58" s="117"/>
      <x:c r="D58" s="117"/>
      <x:c r="E58" s="117"/>
      <x:c r="F58" s="117"/>
      <x:c r="G58" s="117"/>
      <x:c r="H58" s="117"/>
      <x:c r="I58" s="117"/>
      <x:c r="J58" s="117"/>
      <x:c r="K58" s="117"/>
      <x:c r="L58" s="117"/>
      <x:c r="M58" s="117"/>
      <x:c r="N58" s="117"/>
      <x:c r="O58" s="117"/>
      <x:c r="P58" s="117"/>
      <x:c r="Q58" s="117"/>
      <x:c r="R58" s="117"/>
      <x:c r="S58" s="117"/>
      <x:c r="T58" s="117"/>
      <x:c r="U58" s="117"/>
      <x:c r="V58" s="117"/>
      <x:c r="W58" s="117"/>
      <x:c r="X58" s="117"/>
      <x:c r="Y58" s="117"/>
      <x:c r="Z58" s="117"/>
    </x:row>
    <x:row r="59">
      <x:c r="A59" s="117"/>
      <x:c r="B59" s="117"/>
      <x:c r="C59" s="117"/>
      <x:c r="D59" s="117"/>
      <x:c r="E59" s="117"/>
      <x:c r="F59" s="117"/>
      <x:c r="G59" s="117"/>
      <x:c r="H59" s="117"/>
      <x:c r="I59" s="117"/>
      <x:c r="J59" s="117"/>
      <x:c r="K59" s="117"/>
      <x:c r="L59" s="117"/>
      <x:c r="M59" s="117"/>
      <x:c r="N59" s="117"/>
      <x:c r="O59" s="117"/>
      <x:c r="P59" s="117"/>
      <x:c r="Q59" s="117"/>
      <x:c r="R59" s="117"/>
      <x:c r="S59" s="117"/>
      <x:c r="T59" s="117"/>
      <x:c r="U59" s="117"/>
      <x:c r="V59" s="117"/>
      <x:c r="W59" s="117"/>
      <x:c r="X59" s="117"/>
      <x:c r="Y59" s="117"/>
      <x:c r="Z59" s="117"/>
    </x:row>
    <x:row r="60">
      <x:c r="A60" s="117"/>
      <x:c r="B60" s="117"/>
      <x:c r="C60" s="117"/>
      <x:c r="D60" s="117"/>
      <x:c r="E60" s="117"/>
      <x:c r="F60" s="117"/>
      <x:c r="G60" s="117"/>
      <x:c r="H60" s="117"/>
      <x:c r="I60" s="117"/>
      <x:c r="J60" s="117"/>
      <x:c r="K60" s="117"/>
      <x:c r="L60" s="117"/>
      <x:c r="M60" s="117"/>
      <x:c r="N60" s="117"/>
      <x:c r="O60" s="117"/>
      <x:c r="P60" s="117"/>
      <x:c r="Q60" s="117"/>
      <x:c r="R60" s="117"/>
      <x:c r="S60" s="117"/>
      <x:c r="T60" s="117"/>
      <x:c r="U60" s="117"/>
      <x:c r="V60" s="117"/>
      <x:c r="W60" s="117"/>
      <x:c r="X60" s="117"/>
      <x:c r="Y60" s="117"/>
      <x:c r="Z60" s="117"/>
    </x:row>
    <x:row r="61">
      <x:c r="A61" s="117"/>
      <x:c r="B61" s="117"/>
      <x:c r="C61" s="117"/>
      <x:c r="D61" s="117"/>
      <x:c r="E61" s="117"/>
      <x:c r="F61" s="117"/>
      <x:c r="G61" s="117"/>
      <x:c r="H61" s="117"/>
      <x:c r="I61" s="117"/>
      <x:c r="J61" s="117"/>
      <x:c r="K61" s="117"/>
      <x:c r="L61" s="117"/>
      <x:c r="M61" s="117"/>
      <x:c r="N61" s="117"/>
      <x:c r="O61" s="117"/>
      <x:c r="P61" s="117"/>
      <x:c r="Q61" s="117"/>
      <x:c r="R61" s="117"/>
      <x:c r="S61" s="117"/>
      <x:c r="T61" s="117"/>
      <x:c r="U61" s="117"/>
      <x:c r="V61" s="117"/>
      <x:c r="W61" s="117"/>
      <x:c r="X61" s="117"/>
      <x:c r="Y61" s="117"/>
      <x:c r="Z61" s="117"/>
    </x:row>
    <x:row r="62">
      <x:c r="A62" s="117"/>
      <x:c r="B62" s="117"/>
      <x:c r="C62" s="117"/>
      <x:c r="D62" s="117"/>
      <x:c r="E62" s="117"/>
      <x:c r="F62" s="117"/>
      <x:c r="G62" s="117"/>
      <x:c r="H62" s="117"/>
      <x:c r="I62" s="117"/>
      <x:c r="J62" s="117"/>
      <x:c r="K62" s="117"/>
      <x:c r="L62" s="117"/>
      <x:c r="M62" s="117"/>
      <x:c r="N62" s="117"/>
      <x:c r="O62" s="117"/>
      <x:c r="P62" s="117"/>
      <x:c r="Q62" s="117"/>
      <x:c r="R62" s="117"/>
      <x:c r="S62" s="117"/>
      <x:c r="T62" s="117"/>
      <x:c r="U62" s="117"/>
      <x:c r="V62" s="117"/>
      <x:c r="W62" s="117"/>
      <x:c r="X62" s="117"/>
      <x:c r="Y62" s="117"/>
      <x:c r="Z62" s="117"/>
    </x:row>
    <x:row r="63">
      <x:c r="A63" s="117"/>
      <x:c r="B63" s="117"/>
      <x:c r="C63" s="117"/>
      <x:c r="D63" s="117"/>
      <x:c r="E63" s="117"/>
      <x:c r="F63" s="117"/>
      <x:c r="G63" s="117"/>
      <x:c r="H63" s="117"/>
      <x:c r="I63" s="117"/>
      <x:c r="J63" s="117"/>
      <x:c r="K63" s="117"/>
      <x:c r="L63" s="117"/>
      <x:c r="M63" s="117"/>
      <x:c r="N63" s="117"/>
      <x:c r="O63" s="117"/>
      <x:c r="P63" s="117"/>
      <x:c r="Q63" s="117"/>
      <x:c r="R63" s="117"/>
      <x:c r="S63" s="117"/>
      <x:c r="T63" s="117"/>
      <x:c r="U63" s="117"/>
      <x:c r="V63" s="117"/>
      <x:c r="W63" s="117"/>
      <x:c r="X63" s="117"/>
      <x:c r="Y63" s="117"/>
      <x:c r="Z63" s="117"/>
    </x:row>
    <x:row r="64">
      <x:c r="A64" s="117"/>
      <x:c r="B64" s="117"/>
      <x:c r="C64" s="117"/>
      <x:c r="D64" s="117"/>
      <x:c r="E64" s="117"/>
      <x:c r="F64" s="117"/>
      <x:c r="G64" s="117"/>
      <x:c r="H64" s="117"/>
      <x:c r="I64" s="117"/>
      <x:c r="J64" s="117"/>
      <x:c r="K64" s="117"/>
      <x:c r="L64" s="117"/>
      <x:c r="M64" s="117"/>
      <x:c r="N64" s="117"/>
      <x:c r="O64" s="117"/>
      <x:c r="P64" s="117"/>
      <x:c r="Q64" s="117"/>
      <x:c r="R64" s="117"/>
      <x:c r="S64" s="117"/>
      <x:c r="T64" s="117"/>
      <x:c r="U64" s="117"/>
      <x:c r="V64" s="117"/>
      <x:c r="W64" s="117"/>
      <x:c r="X64" s="117"/>
      <x:c r="Y64" s="117"/>
      <x:c r="Z64" s="117"/>
    </x:row>
    <x:row r="65">
      <x:c r="A65" s="117"/>
      <x:c r="B65" s="117"/>
      <x:c r="C65" s="117"/>
      <x:c r="D65" s="117"/>
      <x:c r="E65" s="117"/>
      <x:c r="F65" s="117"/>
      <x:c r="G65" s="117"/>
      <x:c r="H65" s="117"/>
      <x:c r="I65" s="117"/>
      <x:c r="J65" s="117"/>
      <x:c r="K65" s="117"/>
      <x:c r="L65" s="117"/>
      <x:c r="M65" s="117"/>
      <x:c r="N65" s="117"/>
      <x:c r="O65" s="117"/>
      <x:c r="P65" s="117"/>
      <x:c r="Q65" s="117"/>
      <x:c r="R65" s="117"/>
      <x:c r="S65" s="117"/>
      <x:c r="T65" s="117"/>
      <x:c r="U65" s="117"/>
      <x:c r="V65" s="117"/>
      <x:c r="W65" s="117"/>
      <x:c r="X65" s="117"/>
      <x:c r="Y65" s="117"/>
      <x:c r="Z65" s="117"/>
    </x:row>
    <x:row r="66">
      <x:c r="A66" s="117"/>
      <x:c r="B66" s="117"/>
      <x:c r="C66" s="117"/>
      <x:c r="D66" s="117"/>
      <x:c r="E66" s="117"/>
      <x:c r="F66" s="117"/>
      <x:c r="G66" s="117"/>
      <x:c r="H66" s="117"/>
      <x:c r="I66" s="117"/>
      <x:c r="J66" s="117"/>
      <x:c r="K66" s="117"/>
      <x:c r="L66" s="117"/>
      <x:c r="M66" s="117"/>
      <x:c r="N66" s="117"/>
      <x:c r="O66" s="117"/>
      <x:c r="P66" s="117"/>
      <x:c r="Q66" s="117"/>
      <x:c r="R66" s="117"/>
      <x:c r="S66" s="117"/>
      <x:c r="T66" s="117"/>
      <x:c r="U66" s="117"/>
      <x:c r="V66" s="117"/>
      <x:c r="W66" s="117"/>
      <x:c r="X66" s="117"/>
      <x:c r="Y66" s="117"/>
      <x:c r="Z66" s="117"/>
    </x:row>
    <x:row r="67">
      <x:c r="A67" s="117"/>
      <x:c r="B67" s="117"/>
      <x:c r="C67" s="117"/>
      <x:c r="D67" s="117"/>
      <x:c r="E67" s="117"/>
      <x:c r="F67" s="117"/>
      <x:c r="G67" s="117"/>
      <x:c r="H67" s="117"/>
      <x:c r="I67" s="117"/>
      <x:c r="J67" s="117"/>
      <x:c r="K67" s="117"/>
      <x:c r="L67" s="117"/>
      <x:c r="M67" s="117"/>
      <x:c r="N67" s="117"/>
      <x:c r="O67" s="117"/>
      <x:c r="P67" s="117"/>
      <x:c r="Q67" s="117"/>
      <x:c r="R67" s="117"/>
      <x:c r="S67" s="117"/>
      <x:c r="T67" s="117"/>
      <x:c r="U67" s="117"/>
      <x:c r="V67" s="117"/>
      <x:c r="W67" s="117"/>
      <x:c r="X67" s="117"/>
      <x:c r="Y67" s="117"/>
      <x:c r="Z67" s="117"/>
    </x:row>
    <x:row r="68">
      <x:c r="A68" s="117"/>
      <x:c r="B68" s="117"/>
      <x:c r="C68" s="117"/>
      <x:c r="D68" s="117"/>
      <x:c r="E68" s="117"/>
      <x:c r="F68" s="117"/>
      <x:c r="G68" s="117"/>
      <x:c r="H68" s="117"/>
      <x:c r="I68" s="117"/>
      <x:c r="J68" s="117"/>
      <x:c r="K68" s="117"/>
      <x:c r="L68" s="117"/>
      <x:c r="M68" s="117"/>
      <x:c r="N68" s="117"/>
      <x:c r="O68" s="117"/>
      <x:c r="P68" s="117"/>
      <x:c r="Q68" s="117"/>
      <x:c r="R68" s="117"/>
      <x:c r="S68" s="117"/>
      <x:c r="T68" s="117"/>
      <x:c r="U68" s="117"/>
      <x:c r="V68" s="117"/>
      <x:c r="W68" s="117"/>
      <x:c r="X68" s="117"/>
      <x:c r="Y68" s="117"/>
      <x:c r="Z68" s="117"/>
    </x:row>
    <x:row r="69">
      <x:c r="A69" s="117"/>
      <x:c r="B69" s="117"/>
      <x:c r="C69" s="117"/>
      <x:c r="D69" s="117"/>
      <x:c r="E69" s="117"/>
      <x:c r="F69" s="117"/>
      <x:c r="G69" s="117"/>
      <x:c r="H69" s="117"/>
      <x:c r="I69" s="117"/>
      <x:c r="J69" s="117"/>
      <x:c r="K69" s="117"/>
      <x:c r="L69" s="117"/>
      <x:c r="M69" s="117"/>
      <x:c r="N69" s="117"/>
      <x:c r="O69" s="117"/>
      <x:c r="P69" s="117"/>
      <x:c r="Q69" s="117"/>
      <x:c r="R69" s="117"/>
      <x:c r="S69" s="117"/>
      <x:c r="T69" s="117"/>
      <x:c r="U69" s="117"/>
      <x:c r="V69" s="117"/>
      <x:c r="W69" s="117"/>
      <x:c r="X69" s="117"/>
      <x:c r="Y69" s="117"/>
      <x:c r="Z69" s="117"/>
    </x:row>
    <x:row r="70">
      <x:c r="A70" s="117"/>
      <x:c r="B70" s="117"/>
      <x:c r="C70" s="117"/>
      <x:c r="D70" s="117"/>
      <x:c r="E70" s="117"/>
      <x:c r="F70" s="117"/>
      <x:c r="G70" s="117"/>
      <x:c r="H70" s="117"/>
      <x:c r="I70" s="117"/>
      <x:c r="J70" s="117"/>
      <x:c r="K70" s="117"/>
      <x:c r="L70" s="117"/>
      <x:c r="M70" s="117"/>
      <x:c r="N70" s="117"/>
      <x:c r="O70" s="117"/>
      <x:c r="P70" s="117"/>
      <x:c r="Q70" s="117"/>
      <x:c r="R70" s="117"/>
      <x:c r="S70" s="117"/>
      <x:c r="T70" s="117"/>
      <x:c r="U70" s="117"/>
      <x:c r="V70" s="117"/>
      <x:c r="W70" s="117"/>
      <x:c r="X70" s="117"/>
      <x:c r="Y70" s="117"/>
      <x:c r="Z70" s="117"/>
    </x:row>
    <x:row r="71">
      <x:c r="A71" s="117"/>
      <x:c r="B71" s="117"/>
      <x:c r="C71" s="117"/>
      <x:c r="D71" s="117"/>
      <x:c r="E71" s="117"/>
      <x:c r="F71" s="117"/>
      <x:c r="G71" s="117"/>
      <x:c r="H71" s="117"/>
      <x:c r="I71" s="117"/>
      <x:c r="J71" s="117"/>
      <x:c r="K71" s="117"/>
      <x:c r="L71" s="117"/>
      <x:c r="M71" s="117"/>
      <x:c r="N71" s="117"/>
      <x:c r="O71" s="117"/>
      <x:c r="P71" s="117"/>
      <x:c r="Q71" s="117"/>
      <x:c r="R71" s="117"/>
      <x:c r="S71" s="117"/>
      <x:c r="T71" s="117"/>
      <x:c r="U71" s="117"/>
      <x:c r="V71" s="117"/>
      <x:c r="W71" s="117"/>
      <x:c r="X71" s="117"/>
      <x:c r="Y71" s="117"/>
      <x:c r="Z71" s="117"/>
    </x:row>
    <x:row r="72">
      <x:c r="A72" s="117"/>
      <x:c r="B72" s="117"/>
      <x:c r="C72" s="117"/>
      <x:c r="D72" s="117"/>
      <x:c r="E72" s="117"/>
      <x:c r="F72" s="117"/>
      <x:c r="G72" s="117"/>
      <x:c r="H72" s="117"/>
      <x:c r="I72" s="117"/>
      <x:c r="J72" s="117"/>
      <x:c r="K72" s="117"/>
      <x:c r="L72" s="117"/>
      <x:c r="M72" s="117"/>
      <x:c r="N72" s="117"/>
      <x:c r="O72" s="117"/>
      <x:c r="P72" s="117"/>
      <x:c r="Q72" s="117"/>
      <x:c r="R72" s="117"/>
      <x:c r="S72" s="117"/>
      <x:c r="T72" s="117"/>
      <x:c r="U72" s="117"/>
      <x:c r="V72" s="117"/>
      <x:c r="W72" s="117"/>
      <x:c r="X72" s="117"/>
      <x:c r="Y72" s="117"/>
      <x:c r="Z72" s="117"/>
    </x:row>
    <x:row r="73">
      <x:c r="A73" s="117"/>
      <x:c r="B73" s="117"/>
      <x:c r="C73" s="117"/>
      <x:c r="D73" s="117"/>
      <x:c r="E73" s="117"/>
      <x:c r="F73" s="117"/>
      <x:c r="G73" s="117"/>
      <x:c r="H73" s="117"/>
      <x:c r="I73" s="117"/>
      <x:c r="J73" s="117"/>
      <x:c r="K73" s="117"/>
      <x:c r="L73" s="117"/>
      <x:c r="M73" s="117"/>
      <x:c r="N73" s="117"/>
      <x:c r="O73" s="117"/>
      <x:c r="P73" s="117"/>
      <x:c r="Q73" s="117"/>
      <x:c r="R73" s="117"/>
      <x:c r="S73" s="117"/>
      <x:c r="T73" s="117"/>
      <x:c r="U73" s="117"/>
      <x:c r="V73" s="117"/>
      <x:c r="W73" s="117"/>
      <x:c r="X73" s="117"/>
      <x:c r="Y73" s="117"/>
      <x:c r="Z73" s="117"/>
    </x:row>
    <x:row r="74">
      <x:c r="A74" s="117"/>
      <x:c r="B74" s="117"/>
      <x:c r="C74" s="117"/>
      <x:c r="D74" s="117"/>
      <x:c r="E74" s="117"/>
      <x:c r="F74" s="117"/>
      <x:c r="G74" s="117"/>
      <x:c r="H74" s="117"/>
      <x:c r="I74" s="117"/>
      <x:c r="J74" s="117"/>
      <x:c r="K74" s="117"/>
      <x:c r="L74" s="117"/>
      <x:c r="M74" s="117"/>
      <x:c r="N74" s="117"/>
      <x:c r="O74" s="117"/>
      <x:c r="P74" s="117"/>
      <x:c r="Q74" s="117"/>
      <x:c r="R74" s="117"/>
      <x:c r="S74" s="117"/>
      <x:c r="T74" s="117"/>
      <x:c r="U74" s="117"/>
      <x:c r="V74" s="117"/>
      <x:c r="W74" s="117"/>
      <x:c r="X74" s="117"/>
      <x:c r="Y74" s="117"/>
      <x:c r="Z74" s="117"/>
    </x:row>
    <x:row r="75">
      <x:c r="A75" s="117"/>
      <x:c r="B75" s="117"/>
      <x:c r="C75" s="117"/>
      <x:c r="D75" s="117"/>
      <x:c r="E75" s="117"/>
      <x:c r="F75" s="117"/>
      <x:c r="G75" s="117"/>
      <x:c r="H75" s="117"/>
      <x:c r="I75" s="117"/>
      <x:c r="J75" s="117"/>
      <x:c r="K75" s="117"/>
      <x:c r="L75" s="117"/>
      <x:c r="M75" s="117"/>
      <x:c r="N75" s="117"/>
      <x:c r="O75" s="117"/>
      <x:c r="P75" s="117"/>
      <x:c r="Q75" s="117"/>
      <x:c r="R75" s="117"/>
      <x:c r="S75" s="117"/>
      <x:c r="T75" s="117"/>
      <x:c r="U75" s="117"/>
      <x:c r="V75" s="117"/>
      <x:c r="W75" s="117"/>
      <x:c r="X75" s="117"/>
      <x:c r="Y75" s="117"/>
      <x:c r="Z75" s="117"/>
    </x:row>
    <x:row r="76">
      <x:c r="A76" s="117"/>
      <x:c r="B76" s="117"/>
      <x:c r="C76" s="117"/>
      <x:c r="D76" s="117"/>
      <x:c r="E76" s="117"/>
      <x:c r="F76" s="117"/>
      <x:c r="G76" s="117"/>
      <x:c r="H76" s="117"/>
      <x:c r="I76" s="117"/>
      <x:c r="J76" s="117"/>
      <x:c r="K76" s="117"/>
      <x:c r="L76" s="117"/>
      <x:c r="M76" s="117"/>
      <x:c r="N76" s="117"/>
      <x:c r="O76" s="117"/>
      <x:c r="P76" s="117"/>
      <x:c r="Q76" s="117"/>
      <x:c r="R76" s="117"/>
      <x:c r="S76" s="117"/>
      <x:c r="T76" s="117"/>
      <x:c r="U76" s="117"/>
      <x:c r="V76" s="117"/>
      <x:c r="W76" s="117"/>
      <x:c r="X76" s="117"/>
      <x:c r="Y76" s="117"/>
      <x:c r="Z76" s="117"/>
    </x:row>
    <x:row r="77">
      <x:c r="A77" s="117"/>
      <x:c r="B77" s="117"/>
      <x:c r="C77" s="117"/>
      <x:c r="D77" s="117"/>
      <x:c r="E77" s="117"/>
      <x:c r="F77" s="117"/>
      <x:c r="G77" s="117"/>
      <x:c r="H77" s="117"/>
      <x:c r="I77" s="117"/>
      <x:c r="J77" s="117"/>
      <x:c r="K77" s="117"/>
      <x:c r="L77" s="117"/>
      <x:c r="M77" s="117"/>
      <x:c r="N77" s="117"/>
      <x:c r="O77" s="117"/>
      <x:c r="P77" s="117"/>
      <x:c r="Q77" s="117"/>
      <x:c r="R77" s="117"/>
      <x:c r="S77" s="117"/>
      <x:c r="T77" s="117"/>
      <x:c r="U77" s="117"/>
      <x:c r="V77" s="117"/>
      <x:c r="W77" s="117"/>
      <x:c r="X77" s="117"/>
      <x:c r="Y77" s="117"/>
      <x:c r="Z77" s="117"/>
    </x:row>
    <x:row r="78">
      <x:c r="A78" s="117"/>
      <x:c r="B78" s="117"/>
      <x:c r="C78" s="117"/>
      <x:c r="D78" s="117"/>
      <x:c r="E78" s="117"/>
      <x:c r="F78" s="117"/>
      <x:c r="G78" s="117"/>
      <x:c r="H78" s="117"/>
      <x:c r="I78" s="117"/>
      <x:c r="J78" s="117"/>
      <x:c r="K78" s="117"/>
      <x:c r="L78" s="117"/>
      <x:c r="M78" s="117"/>
      <x:c r="N78" s="117"/>
      <x:c r="O78" s="117"/>
      <x:c r="P78" s="117"/>
      <x:c r="Q78" s="117"/>
      <x:c r="R78" s="117"/>
      <x:c r="S78" s="117"/>
      <x:c r="T78" s="117"/>
      <x:c r="U78" s="117"/>
      <x:c r="V78" s="117"/>
      <x:c r="W78" s="117"/>
      <x:c r="X78" s="117"/>
      <x:c r="Y78" s="117"/>
      <x:c r="Z78" s="117"/>
    </x:row>
    <x:row r="79">
      <x:c r="A79" s="117"/>
      <x:c r="B79" s="117"/>
      <x:c r="C79" s="117"/>
      <x:c r="D79" s="117"/>
      <x:c r="E79" s="117"/>
      <x:c r="F79" s="117"/>
      <x:c r="G79" s="117"/>
      <x:c r="H79" s="117"/>
      <x:c r="I79" s="117"/>
      <x:c r="J79" s="117"/>
      <x:c r="K79" s="117"/>
      <x:c r="L79" s="117"/>
      <x:c r="M79" s="117"/>
      <x:c r="N79" s="117"/>
      <x:c r="O79" s="117"/>
      <x:c r="P79" s="117"/>
      <x:c r="Q79" s="117"/>
      <x:c r="R79" s="117"/>
      <x:c r="S79" s="117"/>
      <x:c r="T79" s="117"/>
      <x:c r="U79" s="117"/>
      <x:c r="V79" s="117"/>
      <x:c r="W79" s="117"/>
      <x:c r="X79" s="117"/>
      <x:c r="Y79" s="117"/>
      <x:c r="Z79" s="117"/>
    </x:row>
    <x:row r="80">
      <x:c r="A80" s="117"/>
      <x:c r="B80" s="117"/>
      <x:c r="C80" s="117"/>
      <x:c r="D80" s="117"/>
      <x:c r="E80" s="117"/>
      <x:c r="F80" s="117"/>
      <x:c r="G80" s="117"/>
      <x:c r="H80" s="117"/>
      <x:c r="I80" s="117"/>
      <x:c r="J80" s="117"/>
      <x:c r="K80" s="117"/>
      <x:c r="L80" s="117"/>
      <x:c r="M80" s="117"/>
      <x:c r="N80" s="117"/>
      <x:c r="O80" s="117"/>
      <x:c r="P80" s="117"/>
      <x:c r="Q80" s="117"/>
      <x:c r="R80" s="117"/>
      <x:c r="S80" s="117"/>
      <x:c r="T80" s="117"/>
      <x:c r="U80" s="117"/>
      <x:c r="V80" s="117"/>
      <x:c r="W80" s="117"/>
      <x:c r="X80" s="117"/>
      <x:c r="Y80" s="117"/>
      <x:c r="Z80" s="117"/>
    </x:row>
    <x:row r="81">
      <x:c r="A81" s="117"/>
      <x:c r="B81" s="117"/>
      <x:c r="C81" s="117"/>
      <x:c r="D81" s="117"/>
      <x:c r="E81" s="117"/>
      <x:c r="F81" s="117"/>
      <x:c r="G81" s="117"/>
      <x:c r="H81" s="117"/>
      <x:c r="I81" s="117"/>
      <x:c r="J81" s="117"/>
      <x:c r="K81" s="117"/>
      <x:c r="L81" s="117"/>
      <x:c r="M81" s="117"/>
      <x:c r="N81" s="117"/>
      <x:c r="O81" s="117"/>
      <x:c r="P81" s="117"/>
      <x:c r="Q81" s="117"/>
      <x:c r="R81" s="117"/>
      <x:c r="S81" s="117"/>
      <x:c r="T81" s="117"/>
      <x:c r="U81" s="117"/>
      <x:c r="V81" s="117"/>
      <x:c r="W81" s="117"/>
      <x:c r="X81" s="117"/>
      <x:c r="Y81" s="117"/>
      <x:c r="Z81" s="117"/>
    </x:row>
    <x:row r="82">
      <x:c r="A82" s="117"/>
      <x:c r="B82" s="117"/>
      <x:c r="C82" s="117"/>
      <x:c r="D82" s="117"/>
      <x:c r="E82" s="117"/>
      <x:c r="F82" s="117"/>
      <x:c r="G82" s="117"/>
      <x:c r="H82" s="117"/>
      <x:c r="I82" s="117"/>
      <x:c r="J82" s="117"/>
      <x:c r="K82" s="117"/>
      <x:c r="L82" s="117"/>
      <x:c r="M82" s="117"/>
      <x:c r="N82" s="117"/>
      <x:c r="O82" s="117"/>
      <x:c r="P82" s="117"/>
      <x:c r="Q82" s="117"/>
      <x:c r="R82" s="117"/>
      <x:c r="S82" s="117"/>
      <x:c r="T82" s="117"/>
      <x:c r="U82" s="117"/>
      <x:c r="V82" s="117"/>
      <x:c r="W82" s="117"/>
      <x:c r="X82" s="117"/>
      <x:c r="Y82" s="117"/>
      <x:c r="Z82" s="117"/>
    </x:row>
    <x:row r="83">
      <x:c r="A83" s="117"/>
      <x:c r="B83" s="117"/>
      <x:c r="C83" s="117"/>
      <x:c r="D83" s="117"/>
      <x:c r="E83" s="117"/>
      <x:c r="F83" s="117"/>
      <x:c r="G83" s="117"/>
      <x:c r="H83" s="117"/>
      <x:c r="I83" s="117"/>
      <x:c r="J83" s="117"/>
      <x:c r="K83" s="117"/>
      <x:c r="L83" s="117"/>
      <x:c r="M83" s="117"/>
      <x:c r="N83" s="117"/>
      <x:c r="O83" s="117"/>
      <x:c r="P83" s="117"/>
      <x:c r="Q83" s="117"/>
      <x:c r="R83" s="117"/>
      <x:c r="S83" s="117"/>
      <x:c r="T83" s="117"/>
      <x:c r="U83" s="117"/>
      <x:c r="V83" s="117"/>
      <x:c r="W83" s="117"/>
      <x:c r="X83" s="117"/>
      <x:c r="Y83" s="117"/>
      <x:c r="Z83" s="117"/>
    </x:row>
    <x:row r="84">
      <x:c r="A84" s="117"/>
      <x:c r="B84" s="117"/>
      <x:c r="C84" s="117"/>
      <x:c r="D84" s="117"/>
      <x:c r="E84" s="117"/>
      <x:c r="F84" s="117"/>
      <x:c r="G84" s="117"/>
      <x:c r="H84" s="117"/>
      <x:c r="I84" s="117"/>
      <x:c r="J84" s="117"/>
      <x:c r="K84" s="117"/>
      <x:c r="L84" s="117"/>
      <x:c r="M84" s="117"/>
      <x:c r="N84" s="117"/>
      <x:c r="O84" s="117"/>
      <x:c r="P84" s="117"/>
      <x:c r="Q84" s="117"/>
      <x:c r="R84" s="117"/>
      <x:c r="S84" s="117"/>
      <x:c r="T84" s="117"/>
      <x:c r="U84" s="117"/>
      <x:c r="V84" s="117"/>
      <x:c r="W84" s="117"/>
      <x:c r="X84" s="117"/>
      <x:c r="Y84" s="117"/>
      <x:c r="Z84" s="117"/>
    </x:row>
    <x:row r="85">
      <x:c r="A85" s="117"/>
      <x:c r="B85" s="117"/>
      <x:c r="C85" s="117"/>
      <x:c r="D85" s="117"/>
      <x:c r="E85" s="117"/>
      <x:c r="F85" s="117"/>
      <x:c r="G85" s="117"/>
      <x:c r="H85" s="117"/>
      <x:c r="I85" s="117"/>
      <x:c r="J85" s="117"/>
      <x:c r="K85" s="117"/>
      <x:c r="L85" s="117"/>
      <x:c r="M85" s="117"/>
      <x:c r="N85" s="117"/>
      <x:c r="O85" s="117"/>
      <x:c r="P85" s="117"/>
      <x:c r="Q85" s="117"/>
      <x:c r="R85" s="117"/>
      <x:c r="S85" s="117"/>
      <x:c r="T85" s="117"/>
      <x:c r="U85" s="117"/>
      <x:c r="V85" s="117"/>
      <x:c r="W85" s="117"/>
      <x:c r="X85" s="117"/>
      <x:c r="Y85" s="117"/>
      <x:c r="Z85" s="117"/>
    </x:row>
    <x:row r="86">
      <x:c r="A86" s="117"/>
      <x:c r="B86" s="117"/>
      <x:c r="C86" s="117"/>
      <x:c r="D86" s="117"/>
      <x:c r="E86" s="117"/>
      <x:c r="F86" s="117"/>
      <x:c r="G86" s="117"/>
      <x:c r="H86" s="117"/>
      <x:c r="I86" s="117"/>
      <x:c r="J86" s="117"/>
      <x:c r="K86" s="117"/>
      <x:c r="L86" s="117"/>
      <x:c r="M86" s="117"/>
      <x:c r="N86" s="117"/>
      <x:c r="O86" s="117"/>
      <x:c r="P86" s="117"/>
      <x:c r="Q86" s="117"/>
      <x:c r="R86" s="117"/>
      <x:c r="S86" s="117"/>
      <x:c r="T86" s="117"/>
      <x:c r="U86" s="117"/>
      <x:c r="V86" s="117"/>
      <x:c r="W86" s="117"/>
      <x:c r="X86" s="117"/>
      <x:c r="Y86" s="117"/>
      <x:c r="Z86" s="117"/>
    </x:row>
    <x:row r="87">
      <x:c r="A87" s="117"/>
      <x:c r="B87" s="117"/>
      <x:c r="C87" s="117"/>
      <x:c r="D87" s="117"/>
      <x:c r="E87" s="117"/>
      <x:c r="F87" s="117"/>
      <x:c r="G87" s="117"/>
      <x:c r="H87" s="117"/>
      <x:c r="I87" s="117"/>
      <x:c r="J87" s="117"/>
      <x:c r="K87" s="117"/>
      <x:c r="L87" s="117"/>
      <x:c r="M87" s="117"/>
      <x:c r="N87" s="117"/>
      <x:c r="O87" s="117"/>
      <x:c r="P87" s="117"/>
      <x:c r="Q87" s="117"/>
      <x:c r="R87" s="117"/>
      <x:c r="S87" s="117"/>
      <x:c r="T87" s="117"/>
      <x:c r="U87" s="117"/>
      <x:c r="V87" s="117"/>
      <x:c r="W87" s="117"/>
      <x:c r="X87" s="117"/>
      <x:c r="Y87" s="117"/>
      <x:c r="Z87" s="117"/>
    </x:row>
    <x:row r="88">
      <x:c r="A88" s="117"/>
      <x:c r="B88" s="117"/>
      <x:c r="C88" s="117"/>
      <x:c r="D88" s="117"/>
      <x:c r="E88" s="117"/>
      <x:c r="F88" s="117"/>
      <x:c r="G88" s="117"/>
      <x:c r="H88" s="117"/>
      <x:c r="I88" s="117"/>
      <x:c r="J88" s="117"/>
      <x:c r="K88" s="117"/>
      <x:c r="L88" s="117"/>
      <x:c r="M88" s="117"/>
      <x:c r="N88" s="117"/>
      <x:c r="O88" s="117"/>
      <x:c r="P88" s="117"/>
      <x:c r="Q88" s="117"/>
      <x:c r="R88" s="117"/>
      <x:c r="S88" s="117"/>
      <x:c r="T88" s="117"/>
      <x:c r="U88" s="117"/>
      <x:c r="V88" s="117"/>
      <x:c r="W88" s="117"/>
      <x:c r="X88" s="117"/>
      <x:c r="Y88" s="117"/>
      <x:c r="Z88" s="117"/>
    </x:row>
    <x:row r="89">
      <x:c r="A89" s="117"/>
      <x:c r="B89" s="117"/>
      <x:c r="C89" s="117"/>
      <x:c r="D89" s="117"/>
      <x:c r="E89" s="117"/>
      <x:c r="F89" s="117"/>
      <x:c r="G89" s="117"/>
      <x:c r="H89" s="117"/>
      <x:c r="I89" s="117"/>
      <x:c r="J89" s="117"/>
      <x:c r="K89" s="117"/>
      <x:c r="L89" s="117"/>
      <x:c r="M89" s="117"/>
      <x:c r="N89" s="117"/>
      <x:c r="O89" s="117"/>
      <x:c r="P89" s="117"/>
      <x:c r="Q89" s="117"/>
      <x:c r="R89" s="117"/>
      <x:c r="S89" s="117"/>
      <x:c r="T89" s="117"/>
      <x:c r="U89" s="117"/>
      <x:c r="V89" s="117"/>
      <x:c r="W89" s="117"/>
      <x:c r="X89" s="117"/>
      <x:c r="Y89" s="117"/>
      <x:c r="Z89" s="117"/>
    </x:row>
    <x:row r="90">
      <x:c r="A90" s="117"/>
      <x:c r="B90" s="117"/>
      <x:c r="C90" s="117"/>
      <x:c r="D90" s="117"/>
      <x:c r="E90" s="117"/>
      <x:c r="F90" s="117"/>
      <x:c r="G90" s="117"/>
      <x:c r="H90" s="117"/>
      <x:c r="I90" s="117"/>
      <x:c r="J90" s="117"/>
      <x:c r="K90" s="117"/>
      <x:c r="L90" s="117"/>
      <x:c r="M90" s="117"/>
      <x:c r="N90" s="117"/>
      <x:c r="O90" s="117"/>
      <x:c r="P90" s="117"/>
      <x:c r="Q90" s="117"/>
      <x:c r="R90" s="117"/>
      <x:c r="S90" s="117"/>
      <x:c r="T90" s="117"/>
      <x:c r="U90" s="117"/>
      <x:c r="V90" s="117"/>
      <x:c r="W90" s="117"/>
      <x:c r="X90" s="117"/>
      <x:c r="Y90" s="117"/>
      <x:c r="Z90" s="117"/>
    </x:row>
    <x:row r="91">
      <x:c r="A91" s="117"/>
      <x:c r="B91" s="117"/>
      <x:c r="C91" s="117"/>
      <x:c r="D91" s="117"/>
      <x:c r="E91" s="117"/>
      <x:c r="F91" s="117"/>
      <x:c r="G91" s="117"/>
      <x:c r="H91" s="117"/>
      <x:c r="I91" s="117"/>
      <x:c r="J91" s="117"/>
      <x:c r="K91" s="117"/>
      <x:c r="L91" s="117"/>
      <x:c r="M91" s="117"/>
      <x:c r="N91" s="117"/>
      <x:c r="O91" s="117"/>
      <x:c r="P91" s="117"/>
      <x:c r="Q91" s="117"/>
      <x:c r="R91" s="117"/>
      <x:c r="S91" s="117"/>
      <x:c r="T91" s="117"/>
      <x:c r="U91" s="117"/>
      <x:c r="V91" s="117"/>
      <x:c r="W91" s="117"/>
      <x:c r="X91" s="117"/>
      <x:c r="Y91" s="117"/>
      <x:c r="Z91" s="117"/>
    </x:row>
    <x:row r="92">
      <x:c r="A92" s="117"/>
      <x:c r="B92" s="117"/>
      <x:c r="C92" s="117"/>
      <x:c r="D92" s="117"/>
      <x:c r="E92" s="117"/>
      <x:c r="F92" s="117"/>
      <x:c r="G92" s="117"/>
      <x:c r="H92" s="117"/>
      <x:c r="I92" s="117"/>
      <x:c r="J92" s="117"/>
      <x:c r="K92" s="117"/>
      <x:c r="L92" s="117"/>
      <x:c r="M92" s="117"/>
      <x:c r="N92" s="117"/>
      <x:c r="O92" s="117"/>
      <x:c r="P92" s="117"/>
      <x:c r="Q92" s="117"/>
      <x:c r="R92" s="117"/>
      <x:c r="S92" s="117"/>
      <x:c r="T92" s="117"/>
      <x:c r="U92" s="117"/>
      <x:c r="V92" s="117"/>
      <x:c r="W92" s="117"/>
      <x:c r="X92" s="117"/>
      <x:c r="Y92" s="117"/>
      <x:c r="Z92" s="117"/>
    </x:row>
    <x:row r="93">
      <x:c r="A93" s="117"/>
      <x:c r="B93" s="117"/>
      <x:c r="C93" s="117"/>
      <x:c r="D93" s="117"/>
      <x:c r="E93" s="117"/>
      <x:c r="F93" s="117"/>
      <x:c r="G93" s="117"/>
      <x:c r="H93" s="117"/>
      <x:c r="I93" s="117"/>
      <x:c r="J93" s="117"/>
      <x:c r="K93" s="117"/>
      <x:c r="L93" s="117"/>
      <x:c r="M93" s="117"/>
      <x:c r="N93" s="117"/>
      <x:c r="O93" s="117"/>
      <x:c r="P93" s="117"/>
      <x:c r="Q93" s="117"/>
      <x:c r="R93" s="117"/>
      <x:c r="S93" s="117"/>
      <x:c r="T93" s="117"/>
      <x:c r="U93" s="117"/>
      <x:c r="V93" s="117"/>
      <x:c r="W93" s="117"/>
      <x:c r="X93" s="117"/>
      <x:c r="Y93" s="117"/>
      <x:c r="Z93" s="117"/>
    </x:row>
    <x:row r="94">
      <x:c r="A94" s="117"/>
      <x:c r="B94" s="117"/>
      <x:c r="C94" s="117"/>
      <x:c r="D94" s="117"/>
      <x:c r="E94" s="117"/>
      <x:c r="F94" s="117"/>
      <x:c r="G94" s="117"/>
      <x:c r="H94" s="117"/>
      <x:c r="I94" s="117"/>
      <x:c r="J94" s="117"/>
      <x:c r="K94" s="117"/>
      <x:c r="L94" s="117"/>
      <x:c r="M94" s="117"/>
      <x:c r="N94" s="117"/>
      <x:c r="O94" s="117"/>
      <x:c r="P94" s="117"/>
      <x:c r="Q94" s="117"/>
      <x:c r="R94" s="117"/>
      <x:c r="S94" s="117"/>
      <x:c r="T94" s="117"/>
      <x:c r="U94" s="117"/>
      <x:c r="V94" s="117"/>
      <x:c r="W94" s="117"/>
      <x:c r="X94" s="117"/>
      <x:c r="Y94" s="117"/>
      <x:c r="Z94" s="117"/>
    </x:row>
    <x:row r="95">
      <x:c r="A95" s="117"/>
      <x:c r="B95" s="117"/>
      <x:c r="C95" s="117"/>
      <x:c r="D95" s="117"/>
      <x:c r="E95" s="117"/>
      <x:c r="F95" s="117"/>
      <x:c r="G95" s="117"/>
      <x:c r="H95" s="117"/>
      <x:c r="I95" s="117"/>
      <x:c r="J95" s="117"/>
      <x:c r="K95" s="117"/>
      <x:c r="L95" s="117"/>
      <x:c r="M95" s="117"/>
      <x:c r="N95" s="117"/>
      <x:c r="O95" s="117"/>
      <x:c r="P95" s="117"/>
      <x:c r="Q95" s="117"/>
      <x:c r="R95" s="117"/>
      <x:c r="S95" s="117"/>
      <x:c r="T95" s="117"/>
      <x:c r="U95" s="117"/>
      <x:c r="V95" s="117"/>
      <x:c r="W95" s="117"/>
      <x:c r="X95" s="117"/>
      <x:c r="Y95" s="117"/>
      <x:c r="Z95" s="117"/>
    </x:row>
    <x:row r="96">
      <x:c r="A96" s="117"/>
      <x:c r="B96" s="117"/>
      <x:c r="C96" s="117"/>
      <x:c r="D96" s="117"/>
      <x:c r="E96" s="117"/>
      <x:c r="F96" s="117"/>
      <x:c r="G96" s="117"/>
      <x:c r="H96" s="117"/>
      <x:c r="I96" s="117"/>
      <x:c r="J96" s="117"/>
      <x:c r="K96" s="117"/>
      <x:c r="L96" s="117"/>
      <x:c r="M96" s="117"/>
      <x:c r="N96" s="117"/>
      <x:c r="O96" s="117"/>
      <x:c r="P96" s="117"/>
      <x:c r="Q96" s="117"/>
      <x:c r="R96" s="117"/>
      <x:c r="S96" s="117"/>
      <x:c r="T96" s="117"/>
      <x:c r="U96" s="117"/>
      <x:c r="V96" s="117"/>
      <x:c r="W96" s="117"/>
      <x:c r="X96" s="117"/>
      <x:c r="Y96" s="117"/>
      <x:c r="Z96" s="117"/>
    </x:row>
    <x:row r="97">
      <x:c r="A97" s="117"/>
      <x:c r="B97" s="117"/>
      <x:c r="C97" s="117"/>
      <x:c r="D97" s="117"/>
      <x:c r="E97" s="117"/>
      <x:c r="F97" s="117"/>
      <x:c r="G97" s="117"/>
      <x:c r="H97" s="117"/>
      <x:c r="I97" s="117"/>
      <x:c r="J97" s="117"/>
      <x:c r="K97" s="117"/>
      <x:c r="L97" s="117"/>
      <x:c r="M97" s="117"/>
      <x:c r="N97" s="117"/>
      <x:c r="O97" s="117"/>
      <x:c r="P97" s="117"/>
      <x:c r="Q97" s="117"/>
      <x:c r="R97" s="117"/>
      <x:c r="S97" s="117"/>
      <x:c r="T97" s="117"/>
      <x:c r="U97" s="117"/>
      <x:c r="V97" s="117"/>
      <x:c r="W97" s="117"/>
      <x:c r="X97" s="117"/>
      <x:c r="Y97" s="117"/>
      <x:c r="Z97" s="117"/>
    </x:row>
    <x:row r="98">
      <x:c r="A98" s="117"/>
      <x:c r="B98" s="117"/>
      <x:c r="C98" s="117"/>
      <x:c r="D98" s="117"/>
      <x:c r="E98" s="117"/>
      <x:c r="F98" s="117"/>
      <x:c r="G98" s="117"/>
      <x:c r="H98" s="117"/>
      <x:c r="I98" s="117"/>
      <x:c r="J98" s="117"/>
      <x:c r="K98" s="117"/>
      <x:c r="L98" s="117"/>
      <x:c r="M98" s="117"/>
      <x:c r="N98" s="117"/>
      <x:c r="O98" s="117"/>
      <x:c r="P98" s="117"/>
      <x:c r="Q98" s="117"/>
      <x:c r="R98" s="117"/>
      <x:c r="S98" s="117"/>
      <x:c r="T98" s="117"/>
      <x:c r="U98" s="117"/>
      <x:c r="V98" s="117"/>
      <x:c r="W98" s="117"/>
      <x:c r="X98" s="117"/>
      <x:c r="Y98" s="117"/>
      <x:c r="Z98" s="117"/>
    </x:row>
    <x:row r="99">
      <x:c r="A99" s="117"/>
      <x:c r="B99" s="117"/>
      <x:c r="C99" s="117"/>
      <x:c r="D99" s="117"/>
      <x:c r="E99" s="117"/>
      <x:c r="F99" s="117"/>
      <x:c r="G99" s="117"/>
      <x:c r="H99" s="117"/>
      <x:c r="I99" s="117"/>
      <x:c r="J99" s="117"/>
      <x:c r="K99" s="117"/>
      <x:c r="L99" s="117"/>
      <x:c r="M99" s="117"/>
      <x:c r="N99" s="117"/>
      <x:c r="O99" s="117"/>
      <x:c r="P99" s="117"/>
      <x:c r="Q99" s="117"/>
      <x:c r="R99" s="117"/>
      <x:c r="S99" s="117"/>
      <x:c r="T99" s="117"/>
      <x:c r="U99" s="117"/>
      <x:c r="V99" s="117"/>
      <x:c r="W99" s="117"/>
      <x:c r="X99" s="117"/>
      <x:c r="Y99" s="117"/>
      <x:c r="Z99" s="117"/>
    </x:row>
    <x:row r="100">
      <x:c r="A100" s="117"/>
      <x:c r="B100" s="117"/>
      <x:c r="C100" s="117"/>
      <x:c r="D100" s="117"/>
      <x:c r="E100" s="117"/>
      <x:c r="F100" s="117"/>
      <x:c r="G100" s="117"/>
      <x:c r="H100" s="117"/>
      <x:c r="I100" s="117"/>
      <x:c r="J100" s="117"/>
      <x:c r="K100" s="117"/>
      <x:c r="L100" s="117"/>
      <x:c r="M100" s="117"/>
      <x:c r="N100" s="117"/>
      <x:c r="O100" s="117"/>
      <x:c r="P100" s="117"/>
      <x:c r="Q100" s="117"/>
      <x:c r="R100" s="117"/>
      <x:c r="S100" s="117"/>
      <x:c r="T100" s="117"/>
      <x:c r="U100" s="117"/>
      <x:c r="V100" s="117"/>
      <x:c r="W100" s="117"/>
      <x:c r="X100" s="117"/>
      <x:c r="Y100" s="117"/>
      <x:c r="Z100" s="117"/>
    </x:row>
    <x:row r="101">
      <x:c r="A101" s="117"/>
      <x:c r="B101" s="117"/>
      <x:c r="C101" s="117"/>
      <x:c r="D101" s="117"/>
      <x:c r="E101" s="117"/>
      <x:c r="F101" s="117"/>
      <x:c r="G101" s="117"/>
      <x:c r="H101" s="117"/>
      <x:c r="I101" s="117"/>
      <x:c r="J101" s="117"/>
      <x:c r="K101" s="117"/>
      <x:c r="L101" s="117"/>
      <x:c r="M101" s="117"/>
      <x:c r="N101" s="117"/>
      <x:c r="O101" s="117"/>
      <x:c r="P101" s="117"/>
      <x:c r="Q101" s="117"/>
      <x:c r="R101" s="117"/>
      <x:c r="S101" s="117"/>
      <x:c r="T101" s="117"/>
      <x:c r="U101" s="117"/>
      <x:c r="V101" s="117"/>
      <x:c r="W101" s="117"/>
      <x:c r="X101" s="117"/>
      <x:c r="Y101" s="117"/>
      <x:c r="Z101" s="117"/>
    </x:row>
    <x:row r="102">
      <x:c r="A102" s="117"/>
      <x:c r="B102" s="117"/>
      <x:c r="C102" s="117"/>
      <x:c r="D102" s="117"/>
      <x:c r="E102" s="117"/>
      <x:c r="F102" s="117"/>
      <x:c r="G102" s="117"/>
      <x:c r="H102" s="117"/>
      <x:c r="I102" s="117"/>
      <x:c r="J102" s="117"/>
      <x:c r="K102" s="117"/>
      <x:c r="L102" s="117"/>
      <x:c r="M102" s="117"/>
      <x:c r="N102" s="117"/>
      <x:c r="O102" s="117"/>
      <x:c r="P102" s="117"/>
      <x:c r="Q102" s="117"/>
      <x:c r="R102" s="117"/>
      <x:c r="S102" s="117"/>
      <x:c r="T102" s="117"/>
      <x:c r="U102" s="117"/>
      <x:c r="V102" s="117"/>
      <x:c r="W102" s="117"/>
      <x:c r="X102" s="117"/>
      <x:c r="Y102" s="117"/>
      <x:c r="Z102" s="117"/>
    </x:row>
    <x:row r="103">
      <x:c r="A103" s="117"/>
      <x:c r="B103" s="117"/>
      <x:c r="C103" s="117"/>
      <x:c r="D103" s="117"/>
      <x:c r="E103" s="117"/>
      <x:c r="F103" s="117"/>
      <x:c r="G103" s="117"/>
      <x:c r="H103" s="117"/>
      <x:c r="I103" s="117"/>
      <x:c r="J103" s="117"/>
      <x:c r="K103" s="117"/>
      <x:c r="L103" s="117"/>
      <x:c r="M103" s="117"/>
      <x:c r="N103" s="117"/>
      <x:c r="O103" s="117"/>
      <x:c r="P103" s="117"/>
      <x:c r="Q103" s="117"/>
      <x:c r="R103" s="117"/>
      <x:c r="S103" s="117"/>
      <x:c r="T103" s="117"/>
      <x:c r="U103" s="117"/>
      <x:c r="V103" s="117"/>
      <x:c r="W103" s="117"/>
      <x:c r="X103" s="117"/>
      <x:c r="Y103" s="117"/>
      <x:c r="Z103" s="117"/>
    </x:row>
    <x:row r="104">
      <x:c r="A104" s="117"/>
      <x:c r="B104" s="117"/>
      <x:c r="C104" s="117"/>
      <x:c r="D104" s="117"/>
      <x:c r="E104" s="117"/>
      <x:c r="F104" s="117"/>
      <x:c r="G104" s="117"/>
      <x:c r="H104" s="117"/>
      <x:c r="I104" s="117"/>
      <x:c r="J104" s="117"/>
      <x:c r="K104" s="117"/>
      <x:c r="L104" s="117"/>
      <x:c r="M104" s="117"/>
      <x:c r="N104" s="117"/>
      <x:c r="O104" s="117"/>
      <x:c r="P104" s="117"/>
      <x:c r="Q104" s="117"/>
      <x:c r="R104" s="117"/>
      <x:c r="S104" s="117"/>
      <x:c r="T104" s="117"/>
      <x:c r="U104" s="117"/>
      <x:c r="V104" s="117"/>
      <x:c r="W104" s="117"/>
      <x:c r="X104" s="117"/>
      <x:c r="Y104" s="117"/>
      <x:c r="Z104" s="117"/>
    </x:row>
    <x:row r="105">
      <x:c r="A105" s="117"/>
      <x:c r="B105" s="117"/>
      <x:c r="C105" s="117"/>
      <x:c r="D105" s="117"/>
      <x:c r="E105" s="117"/>
      <x:c r="F105" s="117"/>
      <x:c r="G105" s="117"/>
      <x:c r="H105" s="117"/>
      <x:c r="I105" s="117"/>
      <x:c r="J105" s="117"/>
      <x:c r="K105" s="117"/>
      <x:c r="L105" s="117"/>
      <x:c r="M105" s="117"/>
      <x:c r="N105" s="117"/>
      <x:c r="O105" s="117"/>
      <x:c r="P105" s="117"/>
      <x:c r="Q105" s="117"/>
      <x:c r="R105" s="117"/>
      <x:c r="S105" s="117"/>
      <x:c r="T105" s="117"/>
      <x:c r="U105" s="117"/>
      <x:c r="V105" s="117"/>
      <x:c r="W105" s="117"/>
      <x:c r="X105" s="117"/>
      <x:c r="Y105" s="117"/>
      <x:c r="Z105" s="117"/>
    </x:row>
    <x:row r="106">
      <x:c r="A106" s="117"/>
      <x:c r="B106" s="117"/>
      <x:c r="C106" s="117"/>
      <x:c r="D106" s="117"/>
      <x:c r="E106" s="117"/>
      <x:c r="F106" s="117"/>
      <x:c r="G106" s="117"/>
      <x:c r="H106" s="117"/>
      <x:c r="I106" s="117"/>
      <x:c r="J106" s="117"/>
      <x:c r="K106" s="117"/>
      <x:c r="L106" s="117"/>
      <x:c r="M106" s="117"/>
      <x:c r="N106" s="117"/>
      <x:c r="O106" s="117"/>
      <x:c r="P106" s="117"/>
      <x:c r="Q106" s="117"/>
      <x:c r="R106" s="117"/>
      <x:c r="S106" s="117"/>
      <x:c r="T106" s="117"/>
      <x:c r="U106" s="117"/>
      <x:c r="V106" s="117"/>
      <x:c r="W106" s="117"/>
      <x:c r="X106" s="117"/>
      <x:c r="Y106" s="117"/>
      <x:c r="Z106" s="117"/>
    </x:row>
    <x:row r="107">
      <x:c r="A107" s="117"/>
      <x:c r="B107" s="117"/>
      <x:c r="C107" s="117"/>
      <x:c r="D107" s="117"/>
      <x:c r="E107" s="117"/>
      <x:c r="F107" s="117"/>
      <x:c r="G107" s="117"/>
      <x:c r="H107" s="117"/>
      <x:c r="I107" s="117"/>
      <x:c r="J107" s="117"/>
      <x:c r="K107" s="117"/>
      <x:c r="L107" s="117"/>
      <x:c r="M107" s="117"/>
      <x:c r="N107" s="117"/>
      <x:c r="O107" s="117"/>
      <x:c r="P107" s="117"/>
      <x:c r="Q107" s="117"/>
      <x:c r="R107" s="117"/>
      <x:c r="S107" s="117"/>
      <x:c r="T107" s="117"/>
      <x:c r="U107" s="117"/>
      <x:c r="V107" s="117"/>
      <x:c r="W107" s="117"/>
      <x:c r="X107" s="117"/>
      <x:c r="Y107" s="117"/>
      <x:c r="Z107" s="117"/>
    </x:row>
    <x:row r="108">
      <x:c r="A108" s="117"/>
      <x:c r="B108" s="117"/>
      <x:c r="C108" s="117"/>
      <x:c r="D108" s="117"/>
      <x:c r="E108" s="117"/>
      <x:c r="F108" s="117"/>
      <x:c r="G108" s="117"/>
      <x:c r="H108" s="117"/>
      <x:c r="I108" s="117"/>
      <x:c r="J108" s="117"/>
      <x:c r="K108" s="117"/>
      <x:c r="L108" s="117"/>
      <x:c r="M108" s="117"/>
      <x:c r="N108" s="117"/>
      <x:c r="O108" s="117"/>
      <x:c r="P108" s="117"/>
      <x:c r="Q108" s="117"/>
      <x:c r="R108" s="117"/>
      <x:c r="S108" s="117"/>
      <x:c r="T108" s="117"/>
      <x:c r="U108" s="117"/>
      <x:c r="V108" s="117"/>
      <x:c r="W108" s="117"/>
      <x:c r="X108" s="117"/>
      <x:c r="Y108" s="117"/>
      <x:c r="Z108" s="117"/>
    </x:row>
    <x:row r="109">
      <x:c r="A109" s="117"/>
      <x:c r="B109" s="117"/>
      <x:c r="C109" s="117"/>
      <x:c r="D109" s="117"/>
      <x:c r="E109" s="117"/>
      <x:c r="F109" s="117"/>
      <x:c r="G109" s="117"/>
      <x:c r="H109" s="117"/>
      <x:c r="I109" s="117"/>
      <x:c r="J109" s="117"/>
      <x:c r="K109" s="117"/>
      <x:c r="L109" s="117"/>
      <x:c r="M109" s="117"/>
      <x:c r="N109" s="117"/>
      <x:c r="O109" s="117"/>
      <x:c r="P109" s="117"/>
      <x:c r="Q109" s="117"/>
      <x:c r="R109" s="117"/>
      <x:c r="S109" s="117"/>
      <x:c r="T109" s="117"/>
      <x:c r="U109" s="117"/>
      <x:c r="V109" s="117"/>
      <x:c r="W109" s="117"/>
      <x:c r="X109" s="117"/>
      <x:c r="Y109" s="117"/>
      <x:c r="Z109" s="117"/>
    </x:row>
    <x:row r="110">
      <x:c r="A110" s="117"/>
      <x:c r="B110" s="117"/>
      <x:c r="C110" s="117"/>
      <x:c r="D110" s="117"/>
      <x:c r="E110" s="117"/>
      <x:c r="F110" s="117"/>
      <x:c r="G110" s="117"/>
      <x:c r="H110" s="117"/>
      <x:c r="I110" s="117"/>
      <x:c r="J110" s="117"/>
      <x:c r="K110" s="117"/>
      <x:c r="L110" s="117"/>
      <x:c r="M110" s="117"/>
      <x:c r="N110" s="117"/>
      <x:c r="O110" s="117"/>
      <x:c r="P110" s="117"/>
      <x:c r="Q110" s="117"/>
      <x:c r="R110" s="117"/>
      <x:c r="S110" s="117"/>
      <x:c r="T110" s="117"/>
      <x:c r="U110" s="117"/>
      <x:c r="V110" s="117"/>
      <x:c r="W110" s="117"/>
      <x:c r="X110" s="117"/>
      <x:c r="Y110" s="117"/>
      <x:c r="Z110" s="117"/>
    </x:row>
    <x:row r="111">
      <x:c r="A111" s="117"/>
      <x:c r="B111" s="117"/>
      <x:c r="C111" s="117"/>
      <x:c r="D111" s="117"/>
      <x:c r="E111" s="117"/>
      <x:c r="F111" s="117"/>
      <x:c r="G111" s="117"/>
      <x:c r="H111" s="117"/>
      <x:c r="I111" s="117"/>
      <x:c r="J111" s="117"/>
      <x:c r="K111" s="117"/>
      <x:c r="L111" s="117"/>
      <x:c r="M111" s="117"/>
      <x:c r="N111" s="117"/>
      <x:c r="O111" s="117"/>
      <x:c r="P111" s="117"/>
      <x:c r="Q111" s="117"/>
      <x:c r="R111" s="117"/>
      <x:c r="S111" s="117"/>
      <x:c r="T111" s="117"/>
      <x:c r="U111" s="117"/>
      <x:c r="V111" s="117"/>
      <x:c r="W111" s="117"/>
      <x:c r="X111" s="117"/>
      <x:c r="Y111" s="117"/>
      <x:c r="Z111" s="117"/>
    </x:row>
    <x:row r="112">
      <x:c r="A112" s="117"/>
      <x:c r="B112" s="117"/>
      <x:c r="C112" s="117"/>
      <x:c r="D112" s="117"/>
      <x:c r="E112" s="117"/>
      <x:c r="F112" s="117"/>
      <x:c r="G112" s="117"/>
      <x:c r="H112" s="117"/>
      <x:c r="I112" s="117"/>
      <x:c r="J112" s="117"/>
      <x:c r="K112" s="117"/>
      <x:c r="L112" s="117"/>
      <x:c r="M112" s="117"/>
      <x:c r="N112" s="117"/>
      <x:c r="O112" s="117"/>
      <x:c r="P112" s="117"/>
      <x:c r="Q112" s="117"/>
      <x:c r="R112" s="117"/>
      <x:c r="S112" s="117"/>
      <x:c r="T112" s="117"/>
      <x:c r="U112" s="117"/>
      <x:c r="V112" s="117"/>
      <x:c r="W112" s="117"/>
      <x:c r="X112" s="117"/>
      <x:c r="Y112" s="117"/>
      <x:c r="Z112" s="117"/>
    </x:row>
    <x:row r="113">
      <x:c r="A113" s="117"/>
      <x:c r="B113" s="117"/>
      <x:c r="C113" s="117"/>
      <x:c r="D113" s="117"/>
      <x:c r="E113" s="117"/>
      <x:c r="F113" s="117"/>
      <x:c r="G113" s="117"/>
      <x:c r="H113" s="117"/>
      <x:c r="I113" s="117"/>
      <x:c r="J113" s="117"/>
      <x:c r="K113" s="117"/>
      <x:c r="L113" s="117"/>
      <x:c r="M113" s="117"/>
      <x:c r="N113" s="117"/>
      <x:c r="O113" s="117"/>
      <x:c r="P113" s="117"/>
      <x:c r="Q113" s="117"/>
      <x:c r="R113" s="117"/>
      <x:c r="S113" s="117"/>
      <x:c r="T113" s="117"/>
      <x:c r="U113" s="117"/>
      <x:c r="V113" s="117"/>
      <x:c r="W113" s="117"/>
      <x:c r="X113" s="117"/>
      <x:c r="Y113" s="117"/>
      <x:c r="Z113" s="117"/>
    </x:row>
    <x:row r="114">
      <x:c r="A114" s="117"/>
      <x:c r="B114" s="117"/>
      <x:c r="C114" s="117"/>
      <x:c r="D114" s="117"/>
      <x:c r="E114" s="117"/>
      <x:c r="F114" s="117"/>
      <x:c r="G114" s="117"/>
      <x:c r="H114" s="117"/>
      <x:c r="I114" s="117"/>
      <x:c r="J114" s="117"/>
      <x:c r="K114" s="117"/>
      <x:c r="L114" s="117"/>
      <x:c r="M114" s="117"/>
      <x:c r="N114" s="117"/>
      <x:c r="O114" s="117"/>
      <x:c r="P114" s="117"/>
      <x:c r="Q114" s="117"/>
      <x:c r="R114" s="117"/>
      <x:c r="S114" s="117"/>
      <x:c r="T114" s="117"/>
      <x:c r="U114" s="117"/>
      <x:c r="V114" s="117"/>
      <x:c r="W114" s="117"/>
      <x:c r="X114" s="117"/>
      <x:c r="Y114" s="117"/>
      <x:c r="Z114" s="117"/>
    </x:row>
    <x:row r="115">
      <x:c r="A115" s="117"/>
      <x:c r="B115" s="117"/>
      <x:c r="C115" s="117"/>
      <x:c r="D115" s="117"/>
      <x:c r="E115" s="117"/>
      <x:c r="F115" s="117"/>
      <x:c r="G115" s="117"/>
      <x:c r="H115" s="117"/>
      <x:c r="I115" s="117"/>
      <x:c r="J115" s="117"/>
      <x:c r="K115" s="117"/>
      <x:c r="L115" s="117"/>
      <x:c r="M115" s="117"/>
      <x:c r="N115" s="117"/>
      <x:c r="O115" s="117"/>
      <x:c r="P115" s="117"/>
      <x:c r="Q115" s="117"/>
      <x:c r="R115" s="117"/>
      <x:c r="S115" s="117"/>
      <x:c r="T115" s="117"/>
      <x:c r="U115" s="117"/>
      <x:c r="V115" s="117"/>
      <x:c r="W115" s="117"/>
      <x:c r="X115" s="117"/>
      <x:c r="Y115" s="117"/>
      <x:c r="Z115" s="117"/>
    </x:row>
    <x:row r="116">
      <x:c r="A116" s="117"/>
      <x:c r="B116" s="117"/>
      <x:c r="C116" s="117"/>
      <x:c r="D116" s="117"/>
      <x:c r="E116" s="117"/>
      <x:c r="F116" s="117"/>
      <x:c r="G116" s="117"/>
      <x:c r="H116" s="117"/>
      <x:c r="I116" s="117"/>
      <x:c r="J116" s="117"/>
      <x:c r="K116" s="117"/>
      <x:c r="L116" s="117"/>
      <x:c r="M116" s="117"/>
      <x:c r="N116" s="117"/>
      <x:c r="O116" s="117"/>
      <x:c r="P116" s="117"/>
      <x:c r="Q116" s="117"/>
      <x:c r="R116" s="117"/>
      <x:c r="S116" s="117"/>
      <x:c r="T116" s="117"/>
      <x:c r="U116" s="117"/>
      <x:c r="V116" s="117"/>
      <x:c r="W116" s="117"/>
      <x:c r="X116" s="117"/>
      <x:c r="Y116" s="117"/>
      <x:c r="Z116" s="117"/>
    </x:row>
    <x:row r="117">
      <x:c r="A117" s="117"/>
      <x:c r="B117" s="117"/>
      <x:c r="C117" s="117"/>
      <x:c r="D117" s="117"/>
      <x:c r="E117" s="117"/>
      <x:c r="F117" s="117"/>
      <x:c r="G117" s="117"/>
      <x:c r="H117" s="117"/>
      <x:c r="I117" s="117"/>
      <x:c r="J117" s="117"/>
      <x:c r="K117" s="117"/>
      <x:c r="L117" s="117"/>
      <x:c r="M117" s="117"/>
      <x:c r="N117" s="117"/>
      <x:c r="O117" s="117"/>
      <x:c r="P117" s="117"/>
      <x:c r="Q117" s="117"/>
      <x:c r="R117" s="117"/>
      <x:c r="S117" s="117"/>
      <x:c r="T117" s="117"/>
      <x:c r="U117" s="117"/>
      <x:c r="V117" s="117"/>
      <x:c r="W117" s="117"/>
      <x:c r="X117" s="117"/>
      <x:c r="Y117" s="117"/>
      <x:c r="Z117" s="117"/>
    </x:row>
    <x:row r="118">
      <x:c r="A118" s="117"/>
      <x:c r="B118" s="117"/>
      <x:c r="C118" s="117"/>
      <x:c r="D118" s="117"/>
      <x:c r="E118" s="117"/>
      <x:c r="F118" s="117"/>
      <x:c r="G118" s="117"/>
      <x:c r="H118" s="117"/>
      <x:c r="I118" s="117"/>
      <x:c r="J118" s="117"/>
      <x:c r="K118" s="117"/>
      <x:c r="L118" s="117"/>
      <x:c r="M118" s="117"/>
      <x:c r="N118" s="117"/>
      <x:c r="O118" s="117"/>
      <x:c r="P118" s="117"/>
      <x:c r="Q118" s="117"/>
      <x:c r="R118" s="117"/>
      <x:c r="S118" s="117"/>
      <x:c r="T118" s="117"/>
      <x:c r="U118" s="117"/>
      <x:c r="V118" s="117"/>
      <x:c r="W118" s="117"/>
      <x:c r="X118" s="117"/>
      <x:c r="Y118" s="117"/>
      <x:c r="Z118" s="117"/>
    </x:row>
    <x:row r="119">
      <x:c r="A119" s="117"/>
      <x:c r="B119" s="117"/>
      <x:c r="C119" s="117"/>
      <x:c r="D119" s="117"/>
      <x:c r="E119" s="117"/>
      <x:c r="F119" s="117"/>
      <x:c r="G119" s="117"/>
      <x:c r="H119" s="117"/>
      <x:c r="I119" s="117"/>
      <x:c r="J119" s="117"/>
      <x:c r="K119" s="117"/>
      <x:c r="L119" s="117"/>
      <x:c r="M119" s="117"/>
      <x:c r="N119" s="117"/>
      <x:c r="O119" s="117"/>
      <x:c r="P119" s="117"/>
      <x:c r="Q119" s="117"/>
      <x:c r="R119" s="117"/>
      <x:c r="S119" s="117"/>
      <x:c r="T119" s="117"/>
      <x:c r="U119" s="117"/>
      <x:c r="V119" s="117"/>
      <x:c r="W119" s="117"/>
      <x:c r="X119" s="117"/>
      <x:c r="Y119" s="117"/>
      <x:c r="Z119" s="117"/>
    </x:row>
    <x:row r="120">
      <x:c r="A120" s="117"/>
      <x:c r="B120" s="117"/>
      <x:c r="C120" s="117"/>
      <x:c r="D120" s="117"/>
      <x:c r="E120" s="117"/>
      <x:c r="F120" s="117"/>
      <x:c r="G120" s="117"/>
      <x:c r="H120" s="117"/>
      <x:c r="I120" s="117"/>
      <x:c r="J120" s="117"/>
      <x:c r="K120" s="117"/>
      <x:c r="L120" s="117"/>
      <x:c r="M120" s="117"/>
      <x:c r="N120" s="117"/>
      <x:c r="O120" s="117"/>
      <x:c r="P120" s="117"/>
      <x:c r="Q120" s="117"/>
      <x:c r="R120" s="117"/>
      <x:c r="S120" s="117"/>
      <x:c r="T120" s="117"/>
      <x:c r="U120" s="117"/>
      <x:c r="V120" s="117"/>
      <x:c r="W120" s="117"/>
      <x:c r="X120" s="117"/>
      <x:c r="Y120" s="117"/>
      <x:c r="Z120" s="117"/>
    </x:row>
    <x:row r="121">
      <x:c r="A121" s="117"/>
      <x:c r="B121" s="117"/>
      <x:c r="C121" s="117"/>
      <x:c r="D121" s="117"/>
      <x:c r="E121" s="117"/>
      <x:c r="F121" s="117"/>
      <x:c r="G121" s="117"/>
      <x:c r="H121" s="117"/>
      <x:c r="I121" s="117"/>
      <x:c r="J121" s="117"/>
      <x:c r="K121" s="117"/>
      <x:c r="L121" s="117"/>
      <x:c r="M121" s="117"/>
      <x:c r="N121" s="117"/>
      <x:c r="O121" s="117"/>
      <x:c r="P121" s="117"/>
      <x:c r="Q121" s="117"/>
      <x:c r="R121" s="117"/>
      <x:c r="S121" s="117"/>
      <x:c r="T121" s="117"/>
      <x:c r="U121" s="117"/>
      <x:c r="V121" s="117"/>
      <x:c r="W121" s="117"/>
      <x:c r="X121" s="117"/>
      <x:c r="Y121" s="117"/>
      <x:c r="Z121" s="117"/>
    </x:row>
    <x:row r="122">
      <x:c r="A122" s="117"/>
      <x:c r="B122" s="117"/>
      <x:c r="C122" s="117"/>
      <x:c r="D122" s="117"/>
      <x:c r="E122" s="117"/>
      <x:c r="F122" s="117"/>
      <x:c r="G122" s="117"/>
      <x:c r="H122" s="117"/>
      <x:c r="I122" s="117"/>
      <x:c r="J122" s="117"/>
      <x:c r="K122" s="117"/>
      <x:c r="L122" s="117"/>
      <x:c r="M122" s="117"/>
      <x:c r="N122" s="117"/>
      <x:c r="O122" s="117"/>
      <x:c r="P122" s="117"/>
      <x:c r="Q122" s="117"/>
      <x:c r="R122" s="117"/>
      <x:c r="S122" s="117"/>
      <x:c r="T122" s="117"/>
      <x:c r="U122" s="117"/>
      <x:c r="V122" s="117"/>
      <x:c r="W122" s="117"/>
      <x:c r="X122" s="117"/>
      <x:c r="Y122" s="117"/>
      <x:c r="Z122" s="117"/>
    </x:row>
    <x:row r="123">
      <x:c r="A123" s="117"/>
      <x:c r="B123" s="117"/>
      <x:c r="C123" s="117"/>
      <x:c r="D123" s="117"/>
      <x:c r="E123" s="117"/>
      <x:c r="F123" s="117"/>
      <x:c r="G123" s="117"/>
      <x:c r="H123" s="117"/>
      <x:c r="I123" s="117"/>
      <x:c r="J123" s="117"/>
      <x:c r="K123" s="117"/>
      <x:c r="L123" s="117"/>
      <x:c r="M123" s="117"/>
      <x:c r="N123" s="117"/>
      <x:c r="O123" s="117"/>
      <x:c r="P123" s="117"/>
      <x:c r="Q123" s="117"/>
      <x:c r="R123" s="117"/>
      <x:c r="S123" s="117"/>
      <x:c r="T123" s="117"/>
      <x:c r="U123" s="117"/>
      <x:c r="V123" s="117"/>
      <x:c r="W123" s="117"/>
      <x:c r="X123" s="117"/>
      <x:c r="Y123" s="117"/>
      <x:c r="Z123" s="117"/>
    </x:row>
    <x:row r="124">
      <x:c r="A124" s="117"/>
      <x:c r="B124" s="117"/>
      <x:c r="C124" s="117"/>
      <x:c r="D124" s="117"/>
      <x:c r="E124" s="117"/>
      <x:c r="F124" s="117"/>
      <x:c r="G124" s="117"/>
      <x:c r="H124" s="117"/>
      <x:c r="I124" s="117"/>
      <x:c r="J124" s="117"/>
      <x:c r="K124" s="117"/>
      <x:c r="L124" s="117"/>
      <x:c r="M124" s="117"/>
      <x:c r="N124" s="117"/>
      <x:c r="O124" s="117"/>
      <x:c r="P124" s="117"/>
      <x:c r="Q124" s="117"/>
      <x:c r="R124" s="117"/>
      <x:c r="S124" s="117"/>
      <x:c r="T124" s="117"/>
      <x:c r="U124" s="117"/>
      <x:c r="V124" s="117"/>
      <x:c r="W124" s="117"/>
      <x:c r="X124" s="117"/>
      <x:c r="Y124" s="117"/>
      <x:c r="Z124" s="117"/>
    </x:row>
    <x:row r="125">
      <x:c r="A125" s="117"/>
      <x:c r="B125" s="117"/>
      <x:c r="C125" s="117"/>
      <x:c r="D125" s="117"/>
      <x:c r="E125" s="117"/>
      <x:c r="F125" s="117"/>
      <x:c r="G125" s="117"/>
      <x:c r="H125" s="117"/>
      <x:c r="I125" s="117"/>
      <x:c r="J125" s="117"/>
      <x:c r="K125" s="117"/>
      <x:c r="L125" s="117"/>
      <x:c r="M125" s="117"/>
      <x:c r="N125" s="117"/>
      <x:c r="O125" s="117"/>
      <x:c r="P125" s="117"/>
      <x:c r="Q125" s="117"/>
      <x:c r="R125" s="117"/>
      <x:c r="S125" s="117"/>
      <x:c r="T125" s="117"/>
      <x:c r="U125" s="117"/>
      <x:c r="V125" s="117"/>
      <x:c r="W125" s="117"/>
      <x:c r="X125" s="117"/>
      <x:c r="Y125" s="117"/>
      <x:c r="Z125" s="117"/>
    </x:row>
    <x:row r="126">
      <x:c r="A126" s="117"/>
      <x:c r="B126" s="117"/>
      <x:c r="C126" s="117"/>
      <x:c r="D126" s="117"/>
      <x:c r="E126" s="117"/>
      <x:c r="F126" s="117"/>
      <x:c r="G126" s="117"/>
      <x:c r="H126" s="117"/>
      <x:c r="I126" s="117"/>
      <x:c r="J126" s="117"/>
      <x:c r="K126" s="117"/>
      <x:c r="L126" s="117"/>
      <x:c r="M126" s="117"/>
      <x:c r="N126" s="117"/>
      <x:c r="O126" s="117"/>
      <x:c r="P126" s="117"/>
      <x:c r="Q126" s="117"/>
      <x:c r="R126" s="117"/>
      <x:c r="S126" s="117"/>
      <x:c r="T126" s="117"/>
      <x:c r="U126" s="117"/>
      <x:c r="V126" s="117"/>
      <x:c r="W126" s="117"/>
      <x:c r="X126" s="117"/>
      <x:c r="Y126" s="117"/>
      <x:c r="Z126" s="117"/>
    </x:row>
    <x:row r="127">
      <x:c r="A127" s="117"/>
      <x:c r="B127" s="117"/>
      <x:c r="C127" s="117"/>
      <x:c r="D127" s="117"/>
      <x:c r="E127" s="117"/>
      <x:c r="F127" s="117"/>
      <x:c r="G127" s="117"/>
      <x:c r="H127" s="117"/>
      <x:c r="I127" s="117"/>
      <x:c r="J127" s="117"/>
      <x:c r="K127" s="117"/>
      <x:c r="L127" s="117"/>
      <x:c r="M127" s="117"/>
      <x:c r="N127" s="117"/>
      <x:c r="O127" s="117"/>
      <x:c r="P127" s="117"/>
      <x:c r="Q127" s="117"/>
      <x:c r="R127" s="117"/>
      <x:c r="S127" s="117"/>
      <x:c r="T127" s="117"/>
      <x:c r="U127" s="117"/>
      <x:c r="V127" s="117"/>
      <x:c r="W127" s="117"/>
      <x:c r="X127" s="117"/>
      <x:c r="Y127" s="117"/>
      <x:c r="Z127" s="117"/>
    </x:row>
    <x:row r="128">
      <x:c r="A128" s="117"/>
      <x:c r="B128" s="117"/>
      <x:c r="C128" s="117"/>
      <x:c r="D128" s="117"/>
      <x:c r="E128" s="117"/>
      <x:c r="F128" s="117"/>
      <x:c r="G128" s="117"/>
      <x:c r="H128" s="117"/>
      <x:c r="I128" s="117"/>
      <x:c r="J128" s="117"/>
      <x:c r="K128" s="117"/>
      <x:c r="L128" s="117"/>
      <x:c r="M128" s="117"/>
      <x:c r="N128" s="117"/>
      <x:c r="O128" s="117"/>
      <x:c r="P128" s="117"/>
      <x:c r="Q128" s="117"/>
      <x:c r="R128" s="117"/>
      <x:c r="S128" s="117"/>
      <x:c r="T128" s="117"/>
      <x:c r="U128" s="117"/>
      <x:c r="V128" s="117"/>
      <x:c r="W128" s="117"/>
      <x:c r="X128" s="117"/>
      <x:c r="Y128" s="117"/>
      <x:c r="Z128" s="117"/>
    </x:row>
    <x:row r="129">
      <x:c r="A129" s="117"/>
      <x:c r="B129" s="117"/>
      <x:c r="C129" s="117"/>
      <x:c r="D129" s="117"/>
      <x:c r="E129" s="117"/>
      <x:c r="F129" s="117"/>
      <x:c r="G129" s="117"/>
      <x:c r="H129" s="117"/>
      <x:c r="I129" s="117"/>
      <x:c r="J129" s="117"/>
      <x:c r="K129" s="117"/>
      <x:c r="L129" s="117"/>
      <x:c r="M129" s="117"/>
      <x:c r="N129" s="117"/>
      <x:c r="O129" s="117"/>
      <x:c r="P129" s="117"/>
      <x:c r="Q129" s="117"/>
      <x:c r="R129" s="117"/>
      <x:c r="S129" s="117"/>
      <x:c r="T129" s="117"/>
      <x:c r="U129" s="117"/>
      <x:c r="V129" s="117"/>
      <x:c r="W129" s="117"/>
      <x:c r="X129" s="117"/>
      <x:c r="Y129" s="117"/>
      <x:c r="Z129" s="117"/>
    </x:row>
    <x:row r="130">
      <x:c r="A130" s="117"/>
      <x:c r="B130" s="117"/>
      <x:c r="C130" s="117"/>
      <x:c r="D130" s="117"/>
      <x:c r="E130" s="117"/>
      <x:c r="F130" s="117"/>
      <x:c r="G130" s="117"/>
      <x:c r="H130" s="117"/>
      <x:c r="I130" s="117"/>
      <x:c r="J130" s="117"/>
      <x:c r="K130" s="117"/>
      <x:c r="L130" s="117"/>
      <x:c r="M130" s="117"/>
      <x:c r="N130" s="117"/>
      <x:c r="O130" s="117"/>
      <x:c r="P130" s="117"/>
      <x:c r="Q130" s="117"/>
      <x:c r="R130" s="117"/>
      <x:c r="S130" s="117"/>
      <x:c r="T130" s="117"/>
      <x:c r="U130" s="117"/>
      <x:c r="V130" s="117"/>
      <x:c r="W130" s="117"/>
      <x:c r="X130" s="117"/>
      <x:c r="Y130" s="117"/>
      <x:c r="Z130" s="117"/>
    </x:row>
    <x:row r="131">
      <x:c r="A131" s="117"/>
      <x:c r="B131" s="117"/>
      <x:c r="C131" s="117"/>
      <x:c r="D131" s="117"/>
      <x:c r="E131" s="117"/>
      <x:c r="F131" s="117"/>
      <x:c r="G131" s="117"/>
      <x:c r="H131" s="117"/>
      <x:c r="I131" s="117"/>
      <x:c r="J131" s="117"/>
      <x:c r="K131" s="117"/>
      <x:c r="L131" s="117"/>
      <x:c r="M131" s="117"/>
      <x:c r="N131" s="117"/>
      <x:c r="O131" s="117"/>
      <x:c r="P131" s="117"/>
      <x:c r="Q131" s="117"/>
      <x:c r="R131" s="117"/>
      <x:c r="S131" s="117"/>
      <x:c r="T131" s="117"/>
      <x:c r="U131" s="117"/>
      <x:c r="V131" s="117"/>
      <x:c r="W131" s="117"/>
      <x:c r="X131" s="117"/>
      <x:c r="Y131" s="117"/>
      <x:c r="Z131" s="117"/>
    </x:row>
    <x:row r="132">
      <x:c r="A132" s="117"/>
      <x:c r="B132" s="117"/>
      <x:c r="C132" s="117"/>
      <x:c r="D132" s="117"/>
      <x:c r="E132" s="117"/>
      <x:c r="F132" s="117"/>
      <x:c r="G132" s="117"/>
      <x:c r="H132" s="117"/>
      <x:c r="I132" s="117"/>
      <x:c r="J132" s="117"/>
      <x:c r="K132" s="117"/>
      <x:c r="L132" s="117"/>
      <x:c r="M132" s="117"/>
      <x:c r="N132" s="117"/>
      <x:c r="O132" s="117"/>
      <x:c r="P132" s="117"/>
      <x:c r="Q132" s="117"/>
      <x:c r="R132" s="117"/>
      <x:c r="S132" s="117"/>
      <x:c r="T132" s="117"/>
      <x:c r="U132" s="117"/>
      <x:c r="V132" s="117"/>
      <x:c r="W132" s="117"/>
      <x:c r="X132" s="117"/>
      <x:c r="Y132" s="117"/>
      <x:c r="Z132" s="117"/>
    </x:row>
    <x:row r="133">
      <x:c r="A133" s="117"/>
      <x:c r="B133" s="117"/>
      <x:c r="C133" s="117"/>
      <x:c r="D133" s="117"/>
      <x:c r="E133" s="117"/>
      <x:c r="F133" s="117"/>
      <x:c r="G133" s="117"/>
      <x:c r="H133" s="117"/>
      <x:c r="I133" s="117"/>
      <x:c r="J133" s="117"/>
      <x:c r="K133" s="117"/>
      <x:c r="L133" s="117"/>
      <x:c r="M133" s="117"/>
      <x:c r="N133" s="117"/>
      <x:c r="O133" s="117"/>
      <x:c r="P133" s="117"/>
      <x:c r="Q133" s="117"/>
      <x:c r="R133" s="117"/>
      <x:c r="S133" s="117"/>
      <x:c r="T133" s="117"/>
      <x:c r="U133" s="117"/>
      <x:c r="V133" s="117"/>
      <x:c r="W133" s="117"/>
      <x:c r="X133" s="117"/>
      <x:c r="Y133" s="117"/>
      <x:c r="Z133" s="117"/>
    </x:row>
    <x:row r="134">
      <x:c r="A134" s="117"/>
      <x:c r="B134" s="117"/>
      <x:c r="C134" s="117"/>
      <x:c r="D134" s="117"/>
      <x:c r="E134" s="117"/>
      <x:c r="F134" s="117"/>
      <x:c r="G134" s="117"/>
      <x:c r="H134" s="117"/>
      <x:c r="I134" s="117"/>
      <x:c r="J134" s="117"/>
      <x:c r="K134" s="117"/>
      <x:c r="L134" s="117"/>
      <x:c r="M134" s="117"/>
      <x:c r="N134" s="117"/>
      <x:c r="O134" s="117"/>
      <x:c r="P134" s="117"/>
      <x:c r="Q134" s="117"/>
      <x:c r="R134" s="117"/>
      <x:c r="S134" s="117"/>
      <x:c r="T134" s="117"/>
      <x:c r="U134" s="117"/>
      <x:c r="V134" s="117"/>
      <x:c r="W134" s="117"/>
      <x:c r="X134" s="117"/>
      <x:c r="Y134" s="117"/>
      <x:c r="Z134" s="117"/>
    </x:row>
    <x:row r="135">
      <x:c r="A135" s="117"/>
      <x:c r="B135" s="117"/>
      <x:c r="C135" s="117"/>
      <x:c r="D135" s="117"/>
      <x:c r="E135" s="117"/>
      <x:c r="F135" s="117"/>
      <x:c r="G135" s="117"/>
      <x:c r="H135" s="117"/>
      <x:c r="I135" s="117"/>
      <x:c r="J135" s="117"/>
      <x:c r="K135" s="117"/>
      <x:c r="L135" s="117"/>
      <x:c r="M135" s="117"/>
      <x:c r="N135" s="117"/>
      <x:c r="O135" s="117"/>
      <x:c r="P135" s="117"/>
      <x:c r="Q135" s="117"/>
      <x:c r="R135" s="117"/>
      <x:c r="S135" s="117"/>
      <x:c r="T135" s="117"/>
      <x:c r="U135" s="117"/>
      <x:c r="V135" s="117"/>
      <x:c r="W135" s="117"/>
      <x:c r="X135" s="117"/>
      <x:c r="Y135" s="117"/>
      <x:c r="Z135" s="117"/>
    </x:row>
    <x:row r="136">
      <x:c r="A136" s="117"/>
      <x:c r="B136" s="117"/>
      <x:c r="C136" s="117"/>
      <x:c r="D136" s="117"/>
      <x:c r="E136" s="117"/>
      <x:c r="F136" s="117"/>
      <x:c r="G136" s="117"/>
      <x:c r="H136" s="117"/>
      <x:c r="I136" s="117"/>
      <x:c r="J136" s="117"/>
      <x:c r="K136" s="117"/>
      <x:c r="L136" s="117"/>
      <x:c r="M136" s="117"/>
      <x:c r="N136" s="117"/>
      <x:c r="O136" s="117"/>
      <x:c r="P136" s="117"/>
      <x:c r="Q136" s="117"/>
      <x:c r="R136" s="117"/>
      <x:c r="S136" s="117"/>
      <x:c r="T136" s="117"/>
      <x:c r="U136" s="117"/>
      <x:c r="V136" s="117"/>
      <x:c r="W136" s="117"/>
      <x:c r="X136" s="117"/>
      <x:c r="Y136" s="117"/>
      <x:c r="Z136" s="117"/>
    </x:row>
    <x:row r="137">
      <x:c r="A137" s="117"/>
      <x:c r="B137" s="117"/>
      <x:c r="C137" s="117"/>
      <x:c r="D137" s="117"/>
      <x:c r="E137" s="117"/>
      <x:c r="F137" s="117"/>
      <x:c r="G137" s="117"/>
      <x:c r="H137" s="117"/>
      <x:c r="I137" s="117"/>
      <x:c r="J137" s="117"/>
      <x:c r="K137" s="117"/>
      <x:c r="L137" s="117"/>
      <x:c r="M137" s="117"/>
      <x:c r="N137" s="117"/>
      <x:c r="O137" s="117"/>
      <x:c r="P137" s="117"/>
      <x:c r="Q137" s="117"/>
      <x:c r="R137" s="117"/>
      <x:c r="S137" s="117"/>
      <x:c r="T137" s="117"/>
      <x:c r="U137" s="117"/>
      <x:c r="V137" s="117"/>
      <x:c r="W137" s="117"/>
      <x:c r="X137" s="117"/>
      <x:c r="Y137" s="117"/>
      <x:c r="Z137" s="117"/>
    </x:row>
    <x:row r="138">
      <x:c r="A138" s="117"/>
      <x:c r="B138" s="117"/>
      <x:c r="C138" s="117"/>
      <x:c r="D138" s="117"/>
      <x:c r="E138" s="117"/>
      <x:c r="F138" s="117"/>
      <x:c r="G138" s="117"/>
      <x:c r="H138" s="117"/>
      <x:c r="I138" s="117"/>
      <x:c r="J138" s="117"/>
      <x:c r="K138" s="117"/>
      <x:c r="L138" s="117"/>
      <x:c r="M138" s="117"/>
      <x:c r="N138" s="117"/>
      <x:c r="O138" s="117"/>
      <x:c r="P138" s="117"/>
      <x:c r="Q138" s="117"/>
      <x:c r="R138" s="117"/>
      <x:c r="S138" s="117"/>
      <x:c r="T138" s="117"/>
      <x:c r="U138" s="117"/>
      <x:c r="V138" s="117"/>
      <x:c r="W138" s="117"/>
      <x:c r="X138" s="117"/>
      <x:c r="Y138" s="117"/>
      <x:c r="Z138" s="117"/>
    </x:row>
    <x:row r="139">
      <x:c r="A139" s="117"/>
      <x:c r="B139" s="117"/>
      <x:c r="C139" s="117"/>
      <x:c r="D139" s="117"/>
      <x:c r="E139" s="117"/>
      <x:c r="F139" s="117"/>
      <x:c r="G139" s="117"/>
      <x:c r="H139" s="117"/>
      <x:c r="I139" s="117"/>
      <x:c r="J139" s="117"/>
      <x:c r="K139" s="117"/>
      <x:c r="L139" s="117"/>
      <x:c r="M139" s="117"/>
      <x:c r="N139" s="117"/>
      <x:c r="O139" s="117"/>
      <x:c r="P139" s="117"/>
      <x:c r="Q139" s="117"/>
      <x:c r="R139" s="117"/>
      <x:c r="S139" s="117"/>
      <x:c r="T139" s="117"/>
      <x:c r="U139" s="117"/>
      <x:c r="V139" s="117"/>
      <x:c r="W139" s="117"/>
      <x:c r="X139" s="117"/>
      <x:c r="Y139" s="117"/>
      <x:c r="Z139" s="117"/>
    </x:row>
    <x:row r="140">
      <x:c r="A140" s="117"/>
      <x:c r="B140" s="117"/>
      <x:c r="C140" s="117"/>
      <x:c r="D140" s="117"/>
      <x:c r="E140" s="117"/>
      <x:c r="F140" s="117"/>
      <x:c r="G140" s="117"/>
      <x:c r="H140" s="117"/>
      <x:c r="I140" s="117"/>
      <x:c r="J140" s="117"/>
      <x:c r="K140" s="117"/>
      <x:c r="L140" s="117"/>
      <x:c r="M140" s="117"/>
      <x:c r="N140" s="117"/>
      <x:c r="O140" s="117"/>
      <x:c r="P140" s="117"/>
      <x:c r="Q140" s="117"/>
      <x:c r="R140" s="117"/>
      <x:c r="S140" s="117"/>
      <x:c r="T140" s="117"/>
      <x:c r="U140" s="117"/>
      <x:c r="V140" s="117"/>
      <x:c r="W140" s="117"/>
      <x:c r="X140" s="117"/>
      <x:c r="Y140" s="117"/>
      <x:c r="Z140" s="117"/>
    </x:row>
    <x:row r="141">
      <x:c r="A141" s="117"/>
      <x:c r="B141" s="117"/>
      <x:c r="C141" s="117"/>
      <x:c r="D141" s="117"/>
      <x:c r="E141" s="117"/>
      <x:c r="F141" s="117"/>
      <x:c r="G141" s="117"/>
      <x:c r="H141" s="117"/>
      <x:c r="I141" s="117"/>
      <x:c r="J141" s="117"/>
      <x:c r="K141" s="117"/>
      <x:c r="L141" s="117"/>
      <x:c r="M141" s="117"/>
      <x:c r="N141" s="117"/>
      <x:c r="O141" s="117"/>
      <x:c r="P141" s="117"/>
      <x:c r="Q141" s="117"/>
      <x:c r="R141" s="117"/>
      <x:c r="S141" s="117"/>
      <x:c r="T141" s="117"/>
      <x:c r="U141" s="117"/>
      <x:c r="V141" s="117"/>
      <x:c r="W141" s="117"/>
      <x:c r="X141" s="117"/>
      <x:c r="Y141" s="117"/>
      <x:c r="Z141" s="117"/>
    </x:row>
    <x:row r="142">
      <x:c r="A142" s="117"/>
      <x:c r="B142" s="117"/>
      <x:c r="C142" s="117"/>
      <x:c r="D142" s="117"/>
      <x:c r="E142" s="117"/>
      <x:c r="F142" s="117"/>
      <x:c r="G142" s="117"/>
      <x:c r="H142" s="117"/>
      <x:c r="I142" s="117"/>
      <x:c r="J142" s="117"/>
      <x:c r="K142" s="117"/>
      <x:c r="L142" s="117"/>
      <x:c r="M142" s="117"/>
      <x:c r="N142" s="117"/>
      <x:c r="O142" s="117"/>
      <x:c r="P142" s="117"/>
      <x:c r="Q142" s="117"/>
      <x:c r="R142" s="117"/>
      <x:c r="S142" s="117"/>
      <x:c r="T142" s="117"/>
      <x:c r="U142" s="117"/>
      <x:c r="V142" s="117"/>
      <x:c r="W142" s="117"/>
      <x:c r="X142" s="117"/>
      <x:c r="Y142" s="117"/>
      <x:c r="Z142" s="117"/>
    </x:row>
    <x:row r="143">
      <x:c r="A143" s="117"/>
      <x:c r="B143" s="117"/>
      <x:c r="C143" s="117"/>
      <x:c r="D143" s="117"/>
      <x:c r="E143" s="117"/>
      <x:c r="F143" s="117"/>
      <x:c r="G143" s="117"/>
      <x:c r="H143" s="117"/>
      <x:c r="I143" s="117"/>
      <x:c r="J143" s="117"/>
      <x:c r="K143" s="117"/>
      <x:c r="L143" s="117"/>
      <x:c r="M143" s="117"/>
      <x:c r="N143" s="117"/>
      <x:c r="O143" s="117"/>
      <x:c r="P143" s="117"/>
      <x:c r="Q143" s="117"/>
      <x:c r="R143" s="117"/>
      <x:c r="S143" s="117"/>
      <x:c r="T143" s="117"/>
      <x:c r="U143" s="117"/>
      <x:c r="V143" s="117"/>
      <x:c r="W143" s="117"/>
      <x:c r="X143" s="117"/>
      <x:c r="Y143" s="117"/>
      <x:c r="Z143" s="117"/>
    </x:row>
    <x:row r="144">
      <x:c r="A144" s="117"/>
      <x:c r="B144" s="117"/>
      <x:c r="C144" s="117"/>
      <x:c r="D144" s="117"/>
      <x:c r="E144" s="117"/>
      <x:c r="F144" s="117"/>
      <x:c r="G144" s="117"/>
      <x:c r="H144" s="117"/>
      <x:c r="I144" s="117"/>
      <x:c r="J144" s="117"/>
      <x:c r="K144" s="117"/>
      <x:c r="L144" s="117"/>
      <x:c r="M144" s="117"/>
      <x:c r="N144" s="117"/>
      <x:c r="O144" s="117"/>
      <x:c r="P144" s="117"/>
      <x:c r="Q144" s="117"/>
      <x:c r="R144" s="117"/>
      <x:c r="S144" s="117"/>
      <x:c r="T144" s="117"/>
      <x:c r="U144" s="117"/>
      <x:c r="V144" s="117"/>
      <x:c r="W144" s="117"/>
      <x:c r="X144" s="117"/>
      <x:c r="Y144" s="117"/>
      <x:c r="Z144" s="117"/>
    </x:row>
    <x:row r="145">
      <x:c r="A145" s="117"/>
      <x:c r="B145" s="117"/>
      <x:c r="C145" s="117"/>
      <x:c r="D145" s="117"/>
      <x:c r="E145" s="117"/>
      <x:c r="F145" s="117"/>
      <x:c r="G145" s="117"/>
      <x:c r="H145" s="117"/>
      <x:c r="I145" s="117"/>
      <x:c r="J145" s="117"/>
      <x:c r="K145" s="117"/>
      <x:c r="L145" s="117"/>
      <x:c r="M145" s="117"/>
      <x:c r="N145" s="117"/>
      <x:c r="O145" s="117"/>
      <x:c r="P145" s="117"/>
      <x:c r="Q145" s="117"/>
      <x:c r="R145" s="117"/>
      <x:c r="S145" s="117"/>
      <x:c r="T145" s="117"/>
      <x:c r="U145" s="117"/>
      <x:c r="V145" s="117"/>
      <x:c r="W145" s="117"/>
      <x:c r="X145" s="117"/>
      <x:c r="Y145" s="117"/>
      <x:c r="Z145" s="117"/>
    </x:row>
    <x:row r="146">
      <x:c r="A146" s="117"/>
      <x:c r="B146" s="117"/>
      <x:c r="C146" s="117"/>
      <x:c r="D146" s="117"/>
      <x:c r="E146" s="117"/>
      <x:c r="F146" s="117"/>
      <x:c r="G146" s="117"/>
      <x:c r="H146" s="117"/>
      <x:c r="I146" s="117"/>
      <x:c r="J146" s="117"/>
      <x:c r="K146" s="117"/>
      <x:c r="L146" s="117"/>
      <x:c r="M146" s="117"/>
      <x:c r="N146" s="117"/>
      <x:c r="O146" s="117"/>
      <x:c r="P146" s="117"/>
      <x:c r="Q146" s="117"/>
      <x:c r="R146" s="117"/>
      <x:c r="S146" s="117"/>
      <x:c r="T146" s="117"/>
      <x:c r="U146" s="117"/>
      <x:c r="V146" s="117"/>
      <x:c r="W146" s="117"/>
      <x:c r="X146" s="117"/>
      <x:c r="Y146" s="117"/>
      <x:c r="Z146" s="117"/>
    </x:row>
    <x:row r="147">
      <x:c r="A147" s="117"/>
      <x:c r="B147" s="117"/>
      <x:c r="C147" s="117"/>
      <x:c r="D147" s="117"/>
      <x:c r="E147" s="117"/>
      <x:c r="F147" s="117"/>
      <x:c r="G147" s="117"/>
      <x:c r="H147" s="117"/>
      <x:c r="I147" s="117"/>
      <x:c r="J147" s="117"/>
      <x:c r="K147" s="117"/>
      <x:c r="L147" s="117"/>
      <x:c r="M147" s="117"/>
      <x:c r="N147" s="117"/>
      <x:c r="O147" s="117"/>
      <x:c r="P147" s="117"/>
      <x:c r="Q147" s="117"/>
      <x:c r="R147" s="117"/>
      <x:c r="S147" s="117"/>
      <x:c r="T147" s="117"/>
      <x:c r="U147" s="117"/>
      <x:c r="V147" s="117"/>
      <x:c r="W147" s="117"/>
      <x:c r="X147" s="117"/>
      <x:c r="Y147" s="117"/>
      <x:c r="Z147" s="117"/>
    </x:row>
    <x:row r="148">
      <x:c r="A148" s="117"/>
      <x:c r="B148" s="117"/>
      <x:c r="C148" s="117"/>
      <x:c r="D148" s="117"/>
      <x:c r="E148" s="117"/>
      <x:c r="F148" s="117"/>
      <x:c r="G148" s="117"/>
      <x:c r="H148" s="117"/>
      <x:c r="I148" s="117"/>
      <x:c r="J148" s="117"/>
      <x:c r="K148" s="117"/>
      <x:c r="L148" s="117"/>
      <x:c r="M148" s="117"/>
      <x:c r="N148" s="117"/>
      <x:c r="O148" s="117"/>
      <x:c r="P148" s="117"/>
      <x:c r="Q148" s="117"/>
      <x:c r="R148" s="117"/>
      <x:c r="S148" s="117"/>
      <x:c r="T148" s="117"/>
      <x:c r="U148" s="117"/>
      <x:c r="V148" s="117"/>
      <x:c r="W148" s="117"/>
      <x:c r="X148" s="117"/>
      <x:c r="Y148" s="117"/>
      <x:c r="Z148" s="117"/>
    </x:row>
    <x:row r="149">
      <x:c r="A149" s="117"/>
      <x:c r="B149" s="117"/>
      <x:c r="C149" s="117"/>
      <x:c r="D149" s="117"/>
      <x:c r="E149" s="117"/>
      <x:c r="F149" s="117"/>
      <x:c r="G149" s="117"/>
      <x:c r="H149" s="117"/>
      <x:c r="I149" s="117"/>
      <x:c r="J149" s="117"/>
      <x:c r="K149" s="117"/>
      <x:c r="L149" s="117"/>
      <x:c r="M149" s="117"/>
      <x:c r="N149" s="117"/>
      <x:c r="O149" s="117"/>
      <x:c r="P149" s="117"/>
      <x:c r="Q149" s="117"/>
      <x:c r="R149" s="117"/>
      <x:c r="S149" s="117"/>
      <x:c r="T149" s="117"/>
      <x:c r="U149" s="117"/>
      <x:c r="V149" s="117"/>
      <x:c r="W149" s="117"/>
      <x:c r="X149" s="117"/>
      <x:c r="Y149" s="117"/>
      <x:c r="Z149" s="117"/>
    </x:row>
    <x:row r="150">
      <x:c r="A150" s="117"/>
      <x:c r="B150" s="117"/>
      <x:c r="C150" s="117"/>
      <x:c r="D150" s="117"/>
      <x:c r="E150" s="117"/>
      <x:c r="F150" s="117"/>
      <x:c r="G150" s="117"/>
      <x:c r="H150" s="117"/>
      <x:c r="I150" s="117"/>
      <x:c r="J150" s="117"/>
      <x:c r="K150" s="117"/>
      <x:c r="L150" s="117"/>
      <x:c r="M150" s="117"/>
      <x:c r="N150" s="117"/>
      <x:c r="O150" s="117"/>
      <x:c r="P150" s="117"/>
      <x:c r="Q150" s="117"/>
      <x:c r="R150" s="117"/>
      <x:c r="S150" s="117"/>
      <x:c r="T150" s="117"/>
      <x:c r="U150" s="117"/>
      <x:c r="V150" s="117"/>
      <x:c r="W150" s="117"/>
      <x:c r="X150" s="117"/>
      <x:c r="Y150" s="117"/>
      <x:c r="Z150" s="117"/>
    </x:row>
    <x:row r="151">
      <x:c r="A151" s="117"/>
      <x:c r="B151" s="117"/>
      <x:c r="C151" s="117"/>
      <x:c r="D151" s="117"/>
      <x:c r="E151" s="117"/>
      <x:c r="F151" s="117"/>
      <x:c r="G151" s="117"/>
      <x:c r="H151" s="117"/>
      <x:c r="I151" s="117"/>
      <x:c r="J151" s="117"/>
      <x:c r="K151" s="117"/>
      <x:c r="L151" s="117"/>
      <x:c r="M151" s="117"/>
      <x:c r="N151" s="117"/>
      <x:c r="O151" s="117"/>
      <x:c r="P151" s="117"/>
      <x:c r="Q151" s="117"/>
      <x:c r="R151" s="117"/>
      <x:c r="S151" s="117"/>
      <x:c r="T151" s="117"/>
      <x:c r="U151" s="117"/>
      <x:c r="V151" s="117"/>
      <x:c r="W151" s="117"/>
      <x:c r="X151" s="117"/>
      <x:c r="Y151" s="117"/>
      <x:c r="Z151" s="117"/>
    </x:row>
    <x:row r="152">
      <x:c r="A152" s="117"/>
      <x:c r="B152" s="117"/>
      <x:c r="C152" s="117"/>
      <x:c r="D152" s="117"/>
      <x:c r="E152" s="117"/>
      <x:c r="F152" s="117"/>
      <x:c r="G152" s="117"/>
      <x:c r="H152" s="117"/>
      <x:c r="I152" s="117"/>
      <x:c r="J152" s="117"/>
      <x:c r="K152" s="117"/>
      <x:c r="L152" s="117"/>
      <x:c r="M152" s="117"/>
      <x:c r="N152" s="117"/>
      <x:c r="O152" s="117"/>
      <x:c r="P152" s="117"/>
      <x:c r="Q152" s="117"/>
      <x:c r="R152" s="117"/>
      <x:c r="S152" s="117"/>
      <x:c r="T152" s="117"/>
      <x:c r="U152" s="117"/>
      <x:c r="V152" s="117"/>
      <x:c r="W152" s="117"/>
      <x:c r="X152" s="117"/>
      <x:c r="Y152" s="117"/>
      <x:c r="Z152" s="117"/>
    </x:row>
    <x:row r="153">
      <x:c r="A153" s="117"/>
      <x:c r="B153" s="117"/>
      <x:c r="C153" s="117"/>
      <x:c r="D153" s="117"/>
      <x:c r="E153" s="117"/>
      <x:c r="F153" s="117"/>
      <x:c r="G153" s="117"/>
      <x:c r="H153" s="117"/>
      <x:c r="I153" s="117"/>
      <x:c r="J153" s="117"/>
      <x:c r="K153" s="117"/>
      <x:c r="L153" s="117"/>
      <x:c r="M153" s="117"/>
      <x:c r="N153" s="117"/>
      <x:c r="O153" s="117"/>
      <x:c r="P153" s="117"/>
      <x:c r="Q153" s="117"/>
      <x:c r="R153" s="117"/>
      <x:c r="S153" s="117"/>
      <x:c r="T153" s="117"/>
      <x:c r="U153" s="117"/>
      <x:c r="V153" s="117"/>
      <x:c r="W153" s="117"/>
      <x:c r="X153" s="117"/>
      <x:c r="Y153" s="117"/>
      <x:c r="Z153" s="117"/>
    </x:row>
    <x:row r="154">
      <x:c r="A154" s="117"/>
      <x:c r="B154" s="117"/>
      <x:c r="C154" s="117"/>
      <x:c r="D154" s="117"/>
      <x:c r="E154" s="117"/>
      <x:c r="F154" s="117"/>
      <x:c r="G154" s="117"/>
      <x:c r="H154" s="117"/>
      <x:c r="I154" s="117"/>
      <x:c r="J154" s="117"/>
      <x:c r="K154" s="117"/>
      <x:c r="L154" s="117"/>
      <x:c r="M154" s="117"/>
      <x:c r="N154" s="117"/>
      <x:c r="O154" s="117"/>
      <x:c r="P154" s="117"/>
      <x:c r="Q154" s="117"/>
      <x:c r="R154" s="117"/>
      <x:c r="S154" s="117"/>
      <x:c r="T154" s="117"/>
      <x:c r="U154" s="117"/>
      <x:c r="V154" s="117"/>
      <x:c r="W154" s="117"/>
      <x:c r="X154" s="117"/>
      <x:c r="Y154" s="117"/>
      <x:c r="Z154" s="117"/>
    </x:row>
    <x:row r="155">
      <x:c r="A155" s="117"/>
      <x:c r="B155" s="117"/>
      <x:c r="C155" s="117"/>
      <x:c r="D155" s="117"/>
      <x:c r="E155" s="117"/>
      <x:c r="F155" s="117"/>
      <x:c r="G155" s="117"/>
      <x:c r="H155" s="117"/>
      <x:c r="I155" s="117"/>
      <x:c r="J155" s="117"/>
      <x:c r="K155" s="117"/>
      <x:c r="L155" s="117"/>
      <x:c r="M155" s="117"/>
      <x:c r="N155" s="117"/>
      <x:c r="O155" s="117"/>
      <x:c r="P155" s="117"/>
      <x:c r="Q155" s="117"/>
      <x:c r="R155" s="117"/>
      <x:c r="S155" s="117"/>
      <x:c r="T155" s="117"/>
      <x:c r="U155" s="117"/>
      <x:c r="V155" s="117"/>
      <x:c r="W155" s="117"/>
      <x:c r="X155" s="117"/>
      <x:c r="Y155" s="117"/>
      <x:c r="Z155" s="117"/>
    </x:row>
    <x:row r="156">
      <x:c r="A156" s="117"/>
      <x:c r="B156" s="117"/>
      <x:c r="C156" s="117"/>
      <x:c r="D156" s="117"/>
      <x:c r="E156" s="117"/>
      <x:c r="F156" s="117"/>
      <x:c r="G156" s="117"/>
      <x:c r="H156" s="117"/>
      <x:c r="I156" s="117"/>
      <x:c r="J156" s="117"/>
      <x:c r="K156" s="117"/>
      <x:c r="L156" s="117"/>
      <x:c r="M156" s="117"/>
      <x:c r="N156" s="117"/>
      <x:c r="O156" s="117"/>
      <x:c r="P156" s="117"/>
      <x:c r="Q156" s="117"/>
      <x:c r="R156" s="117"/>
      <x:c r="S156" s="117"/>
      <x:c r="T156" s="117"/>
      <x:c r="U156" s="117"/>
      <x:c r="V156" s="117"/>
      <x:c r="W156" s="117"/>
      <x:c r="X156" s="117"/>
      <x:c r="Y156" s="117"/>
      <x:c r="Z156" s="117"/>
    </x:row>
    <x:row r="157">
      <x:c r="A157" s="117"/>
      <x:c r="B157" s="117"/>
      <x:c r="C157" s="117"/>
      <x:c r="D157" s="117"/>
      <x:c r="E157" s="117"/>
      <x:c r="F157" s="117"/>
      <x:c r="G157" s="117"/>
      <x:c r="H157" s="117"/>
      <x:c r="I157" s="117"/>
      <x:c r="J157" s="117"/>
      <x:c r="K157" s="117"/>
      <x:c r="L157" s="117"/>
      <x:c r="M157" s="117"/>
      <x:c r="N157" s="117"/>
      <x:c r="O157" s="117"/>
      <x:c r="P157" s="117"/>
      <x:c r="Q157" s="117"/>
      <x:c r="R157" s="117"/>
      <x:c r="S157" s="117"/>
      <x:c r="T157" s="117"/>
      <x:c r="U157" s="117"/>
      <x:c r="V157" s="117"/>
      <x:c r="W157" s="117"/>
      <x:c r="X157" s="117"/>
      <x:c r="Y157" s="117"/>
      <x:c r="Z157" s="117"/>
    </x:row>
    <x:row r="158">
      <x:c r="A158" s="117"/>
      <x:c r="B158" s="117"/>
      <x:c r="C158" s="117"/>
      <x:c r="D158" s="117"/>
      <x:c r="E158" s="117"/>
      <x:c r="F158" s="117"/>
      <x:c r="G158" s="117"/>
      <x:c r="H158" s="117"/>
      <x:c r="I158" s="117"/>
      <x:c r="J158" s="117"/>
      <x:c r="K158" s="117"/>
      <x:c r="L158" s="117"/>
      <x:c r="M158" s="117"/>
      <x:c r="N158" s="117"/>
      <x:c r="O158" s="117"/>
      <x:c r="P158" s="117"/>
      <x:c r="Q158" s="117"/>
      <x:c r="R158" s="117"/>
      <x:c r="S158" s="117"/>
      <x:c r="T158" s="117"/>
      <x:c r="U158" s="117"/>
      <x:c r="V158" s="117"/>
      <x:c r="W158" s="117"/>
      <x:c r="X158" s="117"/>
      <x:c r="Y158" s="117"/>
      <x:c r="Z158" s="117"/>
    </x:row>
    <x:row r="159">
      <x:c r="A159" s="117"/>
      <x:c r="B159" s="117"/>
      <x:c r="C159" s="117"/>
      <x:c r="D159" s="117"/>
      <x:c r="E159" s="117"/>
      <x:c r="F159" s="117"/>
      <x:c r="G159" s="117"/>
      <x:c r="H159" s="117"/>
      <x:c r="I159" s="117"/>
      <x:c r="J159" s="117"/>
      <x:c r="K159" s="117"/>
      <x:c r="L159" s="117"/>
      <x:c r="M159" s="117"/>
      <x:c r="N159" s="117"/>
      <x:c r="O159" s="117"/>
      <x:c r="P159" s="117"/>
      <x:c r="Q159" s="117"/>
      <x:c r="R159" s="117"/>
      <x:c r="S159" s="117"/>
      <x:c r="T159" s="117"/>
      <x:c r="U159" s="117"/>
      <x:c r="V159" s="117"/>
      <x:c r="W159" s="117"/>
      <x:c r="X159" s="117"/>
      <x:c r="Y159" s="117"/>
      <x:c r="Z159" s="117"/>
    </x:row>
    <x:row r="160">
      <x:c r="A160" s="117"/>
      <x:c r="B160" s="117"/>
      <x:c r="C160" s="117"/>
      <x:c r="D160" s="117"/>
      <x:c r="E160" s="117"/>
      <x:c r="F160" s="117"/>
      <x:c r="G160" s="117"/>
      <x:c r="H160" s="117"/>
      <x:c r="I160" s="117"/>
      <x:c r="J160" s="117"/>
      <x:c r="K160" s="117"/>
      <x:c r="L160" s="117"/>
      <x:c r="M160" s="117"/>
      <x:c r="N160" s="117"/>
      <x:c r="O160" s="117"/>
      <x:c r="P160" s="117"/>
      <x:c r="Q160" s="117"/>
      <x:c r="R160" s="117"/>
      <x:c r="S160" s="117"/>
      <x:c r="T160" s="117"/>
      <x:c r="U160" s="117"/>
      <x:c r="V160" s="117"/>
      <x:c r="W160" s="117"/>
      <x:c r="X160" s="117"/>
      <x:c r="Y160" s="117"/>
      <x:c r="Z160" s="117"/>
    </x:row>
    <x:row r="161">
      <x:c r="A161" s="117"/>
      <x:c r="B161" s="117"/>
      <x:c r="C161" s="117"/>
      <x:c r="D161" s="117"/>
      <x:c r="E161" s="117"/>
      <x:c r="F161" s="117"/>
      <x:c r="G161" s="117"/>
      <x:c r="H161" s="117"/>
      <x:c r="I161" s="117"/>
      <x:c r="J161" s="117"/>
      <x:c r="K161" s="117"/>
      <x:c r="L161" s="117"/>
      <x:c r="M161" s="117"/>
      <x:c r="N161" s="117"/>
      <x:c r="O161" s="117"/>
      <x:c r="P161" s="117"/>
      <x:c r="Q161" s="117"/>
      <x:c r="R161" s="117"/>
      <x:c r="S161" s="117"/>
      <x:c r="T161" s="117"/>
      <x:c r="U161" s="117"/>
      <x:c r="V161" s="117"/>
      <x:c r="W161" s="117"/>
      <x:c r="X161" s="117"/>
      <x:c r="Y161" s="117"/>
      <x:c r="Z161" s="117"/>
    </x:row>
    <x:row r="162">
      <x:c r="A162" s="117"/>
      <x:c r="B162" s="117"/>
      <x:c r="C162" s="117"/>
      <x:c r="D162" s="117"/>
      <x:c r="E162" s="117"/>
      <x:c r="F162" s="117"/>
      <x:c r="G162" s="117"/>
      <x:c r="H162" s="117"/>
      <x:c r="I162" s="117"/>
      <x:c r="J162" s="117"/>
      <x:c r="K162" s="117"/>
      <x:c r="L162" s="117"/>
      <x:c r="M162" s="117"/>
      <x:c r="N162" s="117"/>
      <x:c r="O162" s="117"/>
      <x:c r="P162" s="117"/>
      <x:c r="Q162" s="117"/>
      <x:c r="R162" s="117"/>
      <x:c r="S162" s="117"/>
      <x:c r="T162" s="117"/>
      <x:c r="U162" s="117"/>
      <x:c r="V162" s="117"/>
      <x:c r="W162" s="117"/>
      <x:c r="X162" s="117"/>
      <x:c r="Y162" s="117"/>
      <x:c r="Z162" s="117"/>
    </x:row>
    <x:row r="163">
      <x:c r="A163" s="117"/>
      <x:c r="B163" s="117"/>
      <x:c r="C163" s="117"/>
      <x:c r="D163" s="117"/>
      <x:c r="E163" s="117"/>
      <x:c r="F163" s="117"/>
      <x:c r="G163" s="117"/>
      <x:c r="H163" s="117"/>
      <x:c r="I163" s="117"/>
      <x:c r="J163" s="117"/>
      <x:c r="K163" s="117"/>
      <x:c r="L163" s="117"/>
      <x:c r="M163" s="117"/>
      <x:c r="N163" s="117"/>
      <x:c r="O163" s="117"/>
      <x:c r="P163" s="117"/>
      <x:c r="Q163" s="117"/>
      <x:c r="R163" s="117"/>
      <x:c r="S163" s="117"/>
      <x:c r="T163" s="117"/>
      <x:c r="U163" s="117"/>
      <x:c r="V163" s="117"/>
      <x:c r="W163" s="117"/>
      <x:c r="X163" s="117"/>
      <x:c r="Y163" s="117"/>
      <x:c r="Z163" s="117"/>
    </x:row>
    <x:row r="164">
      <x:c r="A164" s="117"/>
      <x:c r="B164" s="117"/>
      <x:c r="C164" s="117"/>
      <x:c r="D164" s="117"/>
      <x:c r="E164" s="117"/>
      <x:c r="F164" s="117"/>
      <x:c r="G164" s="117"/>
      <x:c r="H164" s="117"/>
      <x:c r="I164" s="117"/>
      <x:c r="J164" s="117"/>
      <x:c r="K164" s="117"/>
      <x:c r="L164" s="117"/>
      <x:c r="M164" s="117"/>
      <x:c r="N164" s="117"/>
      <x:c r="O164" s="117"/>
      <x:c r="P164" s="117"/>
      <x:c r="Q164" s="117"/>
      <x:c r="R164" s="117"/>
      <x:c r="S164" s="117"/>
      <x:c r="T164" s="117"/>
      <x:c r="U164" s="117"/>
      <x:c r="V164" s="117"/>
      <x:c r="W164" s="117"/>
      <x:c r="X164" s="117"/>
      <x:c r="Y164" s="117"/>
      <x:c r="Z164" s="117"/>
    </x:row>
    <x:row r="165">
      <x:c r="A165" s="117"/>
      <x:c r="B165" s="117"/>
      <x:c r="C165" s="117"/>
      <x:c r="D165" s="117"/>
      <x:c r="E165" s="117"/>
      <x:c r="F165" s="117"/>
      <x:c r="G165" s="117"/>
      <x:c r="H165" s="117"/>
      <x:c r="I165" s="117"/>
      <x:c r="J165" s="117"/>
      <x:c r="K165" s="117"/>
      <x:c r="L165" s="117"/>
      <x:c r="M165" s="117"/>
      <x:c r="N165" s="117"/>
      <x:c r="O165" s="117"/>
      <x:c r="P165" s="117"/>
      <x:c r="Q165" s="117"/>
      <x:c r="R165" s="117"/>
      <x:c r="S165" s="117"/>
      <x:c r="T165" s="117"/>
      <x:c r="U165" s="117"/>
      <x:c r="V165" s="117"/>
      <x:c r="W165" s="117"/>
      <x:c r="X165" s="117"/>
      <x:c r="Y165" s="117"/>
      <x:c r="Z165" s="117"/>
    </x:row>
    <x:row r="166">
      <x:c r="A166" s="117"/>
      <x:c r="B166" s="117"/>
      <x:c r="C166" s="117"/>
      <x:c r="D166" s="117"/>
      <x:c r="E166" s="117"/>
      <x:c r="F166" s="117"/>
      <x:c r="G166" s="117"/>
      <x:c r="H166" s="117"/>
      <x:c r="I166" s="117"/>
      <x:c r="J166" s="117"/>
      <x:c r="K166" s="117"/>
      <x:c r="L166" s="117"/>
      <x:c r="M166" s="117"/>
      <x:c r="N166" s="117"/>
      <x:c r="O166" s="117"/>
      <x:c r="P166" s="117"/>
      <x:c r="Q166" s="117"/>
      <x:c r="R166" s="117"/>
      <x:c r="S166" s="117"/>
      <x:c r="T166" s="117"/>
      <x:c r="U166" s="117"/>
      <x:c r="V166" s="117"/>
      <x:c r="W166" s="117"/>
      <x:c r="X166" s="117"/>
      <x:c r="Y166" s="117"/>
      <x:c r="Z166" s="117"/>
    </x:row>
    <x:row r="167">
      <x:c r="A167" s="117"/>
      <x:c r="B167" s="117"/>
      <x:c r="C167" s="117"/>
      <x:c r="D167" s="117"/>
      <x:c r="E167" s="117"/>
      <x:c r="F167" s="117"/>
      <x:c r="G167" s="117"/>
      <x:c r="H167" s="117"/>
      <x:c r="I167" s="117"/>
      <x:c r="J167" s="117"/>
      <x:c r="K167" s="117"/>
      <x:c r="L167" s="117"/>
      <x:c r="M167" s="117"/>
      <x:c r="N167" s="117"/>
      <x:c r="O167" s="117"/>
      <x:c r="P167" s="117"/>
      <x:c r="Q167" s="117"/>
      <x:c r="R167" s="117"/>
      <x:c r="S167" s="117"/>
      <x:c r="T167" s="117"/>
      <x:c r="U167" s="117"/>
      <x:c r="V167" s="117"/>
      <x:c r="W167" s="117"/>
      <x:c r="X167" s="117"/>
      <x:c r="Y167" s="117"/>
      <x:c r="Z167" s="117"/>
    </x:row>
    <x:row r="168">
      <x:c r="A168" s="117"/>
      <x:c r="B168" s="117"/>
      <x:c r="C168" s="117"/>
      <x:c r="D168" s="117"/>
      <x:c r="E168" s="117"/>
      <x:c r="F168" s="117"/>
      <x:c r="G168" s="117"/>
      <x:c r="H168" s="117"/>
      <x:c r="I168" s="117"/>
      <x:c r="J168" s="117"/>
      <x:c r="K168" s="117"/>
      <x:c r="L168" s="117"/>
      <x:c r="M168" s="117"/>
      <x:c r="N168" s="117"/>
      <x:c r="O168" s="117"/>
      <x:c r="P168" s="117"/>
      <x:c r="Q168" s="117"/>
      <x:c r="R168" s="117"/>
      <x:c r="S168" s="117"/>
      <x:c r="T168" s="117"/>
      <x:c r="U168" s="117"/>
      <x:c r="V168" s="117"/>
      <x:c r="W168" s="117"/>
      <x:c r="X168" s="117"/>
      <x:c r="Y168" s="117"/>
      <x:c r="Z168" s="117"/>
    </x:row>
    <x:row r="169">
      <x:c r="A169" s="117"/>
      <x:c r="B169" s="117"/>
      <x:c r="C169" s="117"/>
      <x:c r="D169" s="117"/>
      <x:c r="E169" s="117"/>
      <x:c r="F169" s="117"/>
      <x:c r="G169" s="117"/>
      <x:c r="H169" s="117"/>
      <x:c r="I169" s="117"/>
      <x:c r="J169" s="117"/>
      <x:c r="K169" s="117"/>
      <x:c r="L169" s="117"/>
      <x:c r="M169" s="117"/>
      <x:c r="N169" s="117"/>
      <x:c r="O169" s="117"/>
      <x:c r="P169" s="117"/>
      <x:c r="Q169" s="117"/>
      <x:c r="R169" s="117"/>
      <x:c r="S169" s="117"/>
      <x:c r="T169" s="117"/>
      <x:c r="U169" s="117"/>
      <x:c r="V169" s="117"/>
      <x:c r="W169" s="117"/>
      <x:c r="X169" s="117"/>
      <x:c r="Y169" s="117"/>
      <x:c r="Z169" s="117"/>
    </x:row>
    <x:row r="170">
      <x:c r="A170" s="117"/>
      <x:c r="B170" s="117"/>
      <x:c r="C170" s="117"/>
      <x:c r="D170" s="117"/>
      <x:c r="E170" s="117"/>
      <x:c r="F170" s="117"/>
      <x:c r="G170" s="117"/>
      <x:c r="H170" s="117"/>
      <x:c r="I170" s="117"/>
      <x:c r="J170" s="117"/>
      <x:c r="K170" s="117"/>
      <x:c r="L170" s="117"/>
      <x:c r="M170" s="117"/>
      <x:c r="N170" s="117"/>
      <x:c r="O170" s="117"/>
      <x:c r="P170" s="117"/>
      <x:c r="Q170" s="117"/>
      <x:c r="R170" s="117"/>
      <x:c r="S170" s="117"/>
      <x:c r="T170" s="117"/>
      <x:c r="U170" s="117"/>
      <x:c r="V170" s="117"/>
      <x:c r="W170" s="117"/>
      <x:c r="X170" s="117"/>
      <x:c r="Y170" s="117"/>
      <x:c r="Z170" s="117"/>
    </x:row>
    <x:row r="171">
      <x:c r="A171" s="117"/>
      <x:c r="B171" s="117"/>
      <x:c r="C171" s="117"/>
      <x:c r="D171" s="117"/>
      <x:c r="E171" s="117"/>
      <x:c r="F171" s="117"/>
      <x:c r="G171" s="117"/>
      <x:c r="H171" s="117"/>
      <x:c r="I171" s="117"/>
      <x:c r="J171" s="117"/>
      <x:c r="K171" s="117"/>
      <x:c r="L171" s="117"/>
      <x:c r="M171" s="117"/>
      <x:c r="N171" s="117"/>
      <x:c r="O171" s="117"/>
      <x:c r="P171" s="117"/>
      <x:c r="Q171" s="117"/>
      <x:c r="R171" s="117"/>
      <x:c r="S171" s="117"/>
      <x:c r="T171" s="117"/>
      <x:c r="U171" s="117"/>
      <x:c r="V171" s="117"/>
      <x:c r="W171" s="117"/>
      <x:c r="X171" s="117"/>
      <x:c r="Y171" s="117"/>
      <x:c r="Z171" s="117"/>
    </x:row>
    <x:row r="172">
      <x:c r="A172" s="117"/>
      <x:c r="B172" s="117"/>
      <x:c r="C172" s="117"/>
      <x:c r="D172" s="117"/>
      <x:c r="E172" s="117"/>
      <x:c r="F172" s="117"/>
      <x:c r="G172" s="117"/>
      <x:c r="H172" s="117"/>
      <x:c r="I172" s="117"/>
      <x:c r="J172" s="117"/>
      <x:c r="K172" s="117"/>
      <x:c r="L172" s="117"/>
      <x:c r="M172" s="117"/>
      <x:c r="N172" s="117"/>
      <x:c r="O172" s="117"/>
      <x:c r="P172" s="117"/>
      <x:c r="Q172" s="117"/>
      <x:c r="R172" s="117"/>
      <x:c r="S172" s="117"/>
      <x:c r="T172" s="117"/>
      <x:c r="U172" s="117"/>
      <x:c r="V172" s="117"/>
      <x:c r="W172" s="117"/>
      <x:c r="X172" s="117"/>
      <x:c r="Y172" s="117"/>
      <x:c r="Z172" s="117"/>
    </x:row>
    <x:row r="173">
      <x:c r="A173" s="117"/>
      <x:c r="B173" s="117"/>
      <x:c r="C173" s="117"/>
      <x:c r="D173" s="117"/>
      <x:c r="E173" s="117"/>
      <x:c r="F173" s="117"/>
      <x:c r="G173" s="117"/>
      <x:c r="H173" s="117"/>
      <x:c r="I173" s="117"/>
      <x:c r="J173" s="117"/>
      <x:c r="K173" s="117"/>
      <x:c r="L173" s="117"/>
      <x:c r="M173" s="117"/>
      <x:c r="N173" s="117"/>
      <x:c r="O173" s="117"/>
      <x:c r="P173" s="117"/>
      <x:c r="Q173" s="117"/>
      <x:c r="R173" s="117"/>
      <x:c r="S173" s="117"/>
      <x:c r="T173" s="117"/>
      <x:c r="U173" s="117"/>
      <x:c r="V173" s="117"/>
      <x:c r="W173" s="117"/>
      <x:c r="X173" s="117"/>
      <x:c r="Y173" s="117"/>
      <x:c r="Z173" s="117"/>
    </x:row>
    <x:row r="174">
      <x:c r="A174" s="117"/>
      <x:c r="B174" s="117"/>
      <x:c r="C174" s="117"/>
      <x:c r="D174" s="117"/>
      <x:c r="E174" s="117"/>
      <x:c r="F174" s="117"/>
      <x:c r="G174" s="117"/>
      <x:c r="H174" s="117"/>
      <x:c r="I174" s="117"/>
      <x:c r="J174" s="117"/>
      <x:c r="K174" s="117"/>
      <x:c r="L174" s="117"/>
      <x:c r="M174" s="117"/>
      <x:c r="N174" s="117"/>
      <x:c r="O174" s="117"/>
      <x:c r="P174" s="117"/>
      <x:c r="Q174" s="117"/>
      <x:c r="R174" s="117"/>
      <x:c r="S174" s="117"/>
      <x:c r="T174" s="117"/>
      <x:c r="U174" s="117"/>
      <x:c r="V174" s="117"/>
      <x:c r="W174" s="117"/>
      <x:c r="X174" s="117"/>
      <x:c r="Y174" s="117"/>
      <x:c r="Z174" s="117"/>
    </x:row>
    <x:row r="175">
      <x:c r="A175" s="117"/>
      <x:c r="B175" s="117"/>
      <x:c r="C175" s="117"/>
      <x:c r="D175" s="117"/>
      <x:c r="E175" s="117"/>
      <x:c r="F175" s="117"/>
      <x:c r="G175" s="117"/>
      <x:c r="H175" s="117"/>
      <x:c r="I175" s="117"/>
      <x:c r="J175" s="117"/>
      <x:c r="K175" s="117"/>
      <x:c r="L175" s="117"/>
      <x:c r="M175" s="117"/>
      <x:c r="N175" s="117"/>
      <x:c r="O175" s="117"/>
      <x:c r="P175" s="117"/>
      <x:c r="Q175" s="117"/>
      <x:c r="R175" s="117"/>
      <x:c r="S175" s="117"/>
      <x:c r="T175" s="117"/>
      <x:c r="U175" s="117"/>
      <x:c r="V175" s="117"/>
      <x:c r="W175" s="117"/>
      <x:c r="X175" s="117"/>
      <x:c r="Y175" s="117"/>
      <x:c r="Z175" s="117"/>
    </x:row>
    <x:row r="176">
      <x:c r="A176" s="117"/>
      <x:c r="B176" s="117"/>
      <x:c r="C176" s="117"/>
      <x:c r="D176" s="117"/>
      <x:c r="E176" s="117"/>
      <x:c r="F176" s="117"/>
      <x:c r="G176" s="117"/>
      <x:c r="H176" s="117"/>
      <x:c r="I176" s="117"/>
      <x:c r="J176" s="117"/>
      <x:c r="K176" s="117"/>
      <x:c r="L176" s="117"/>
      <x:c r="M176" s="117"/>
      <x:c r="N176" s="117"/>
      <x:c r="O176" s="117"/>
      <x:c r="P176" s="117"/>
      <x:c r="Q176" s="117"/>
      <x:c r="R176" s="117"/>
      <x:c r="S176" s="117"/>
      <x:c r="T176" s="117"/>
      <x:c r="U176" s="117"/>
      <x:c r="V176" s="117"/>
      <x:c r="W176" s="117"/>
      <x:c r="X176" s="117"/>
      <x:c r="Y176" s="117"/>
      <x:c r="Z176" s="117"/>
    </x:row>
    <x:row r="177">
      <x:c r="A177" s="117"/>
      <x:c r="B177" s="117"/>
      <x:c r="C177" s="117"/>
      <x:c r="D177" s="117"/>
      <x:c r="E177" s="117"/>
      <x:c r="F177" s="117"/>
      <x:c r="G177" s="117"/>
      <x:c r="H177" s="117"/>
      <x:c r="I177" s="117"/>
      <x:c r="J177" s="117"/>
      <x:c r="K177" s="117"/>
      <x:c r="L177" s="117"/>
      <x:c r="M177" s="117"/>
      <x:c r="N177" s="117"/>
      <x:c r="O177" s="117"/>
      <x:c r="P177" s="117"/>
      <x:c r="Q177" s="117"/>
      <x:c r="R177" s="117"/>
      <x:c r="S177" s="117"/>
      <x:c r="T177" s="117"/>
      <x:c r="U177" s="117"/>
      <x:c r="V177" s="117"/>
      <x:c r="W177" s="117"/>
      <x:c r="X177" s="117"/>
      <x:c r="Y177" s="117"/>
      <x:c r="Z177" s="117"/>
    </x:row>
    <x:row r="178">
      <x:c r="A178" s="117"/>
      <x:c r="B178" s="117"/>
      <x:c r="C178" s="117"/>
      <x:c r="D178" s="117"/>
      <x:c r="E178" s="117"/>
      <x:c r="F178" s="117"/>
      <x:c r="G178" s="117"/>
      <x:c r="H178" s="117"/>
      <x:c r="I178" s="117"/>
      <x:c r="J178" s="117"/>
      <x:c r="K178" s="117"/>
      <x:c r="L178" s="117"/>
      <x:c r="M178" s="117"/>
      <x:c r="N178" s="117"/>
      <x:c r="O178" s="117"/>
      <x:c r="P178" s="117"/>
      <x:c r="Q178" s="117"/>
      <x:c r="R178" s="117"/>
      <x:c r="S178" s="117"/>
      <x:c r="T178" s="117"/>
      <x:c r="U178" s="117"/>
      <x:c r="V178" s="117"/>
      <x:c r="W178" s="117"/>
      <x:c r="X178" s="117"/>
      <x:c r="Y178" s="117"/>
      <x:c r="Z178" s="117"/>
    </x:row>
    <x:row r="179">
      <x:c r="A179" s="117"/>
      <x:c r="B179" s="117"/>
      <x:c r="C179" s="117"/>
      <x:c r="D179" s="117"/>
      <x:c r="E179" s="117"/>
      <x:c r="F179" s="117"/>
      <x:c r="G179" s="117"/>
      <x:c r="H179" s="117"/>
      <x:c r="I179" s="117"/>
      <x:c r="J179" s="117"/>
      <x:c r="K179" s="117"/>
      <x:c r="L179" s="117"/>
      <x:c r="M179" s="117"/>
      <x:c r="N179" s="117"/>
      <x:c r="O179" s="117"/>
      <x:c r="P179" s="117"/>
      <x:c r="Q179" s="117"/>
      <x:c r="R179" s="117"/>
      <x:c r="S179" s="117"/>
      <x:c r="T179" s="117"/>
      <x:c r="U179" s="117"/>
      <x:c r="V179" s="117"/>
      <x:c r="W179" s="117"/>
      <x:c r="X179" s="117"/>
      <x:c r="Y179" s="117"/>
      <x:c r="Z179" s="117"/>
    </x:row>
    <x:row r="180">
      <x:c r="A180" s="117"/>
      <x:c r="B180" s="117"/>
      <x:c r="C180" s="117"/>
      <x:c r="D180" s="117"/>
      <x:c r="E180" s="117"/>
      <x:c r="F180" s="117"/>
      <x:c r="G180" s="117"/>
      <x:c r="H180" s="117"/>
      <x:c r="I180" s="117"/>
      <x:c r="J180" s="117"/>
      <x:c r="K180" s="117"/>
      <x:c r="L180" s="117"/>
      <x:c r="M180" s="117"/>
      <x:c r="N180" s="117"/>
      <x:c r="O180" s="117"/>
      <x:c r="P180" s="117"/>
      <x:c r="Q180" s="117"/>
      <x:c r="R180" s="117"/>
      <x:c r="S180" s="117"/>
      <x:c r="T180" s="117"/>
      <x:c r="U180" s="117"/>
      <x:c r="V180" s="117"/>
      <x:c r="W180" s="117"/>
      <x:c r="X180" s="117"/>
      <x:c r="Y180" s="117"/>
      <x:c r="Z180" s="117"/>
    </x:row>
    <x:row r="181">
      <x:c r="A181" s="117"/>
      <x:c r="B181" s="117"/>
      <x:c r="C181" s="117"/>
      <x:c r="D181" s="117"/>
      <x:c r="E181" s="117"/>
      <x:c r="F181" s="117"/>
      <x:c r="G181" s="117"/>
      <x:c r="H181" s="117"/>
      <x:c r="I181" s="117"/>
      <x:c r="J181" s="117"/>
      <x:c r="K181" s="117"/>
      <x:c r="L181" s="117"/>
      <x:c r="M181" s="117"/>
      <x:c r="N181" s="117"/>
      <x:c r="O181" s="117"/>
      <x:c r="P181" s="117"/>
      <x:c r="Q181" s="117"/>
      <x:c r="R181" s="117"/>
      <x:c r="S181" s="117"/>
      <x:c r="T181" s="117"/>
      <x:c r="U181" s="117"/>
      <x:c r="V181" s="117"/>
      <x:c r="W181" s="117"/>
      <x:c r="X181" s="117"/>
      <x:c r="Y181" s="117"/>
      <x:c r="Z181" s="117"/>
    </x:row>
    <x:row r="182">
      <x:c r="A182" s="117"/>
      <x:c r="B182" s="117"/>
      <x:c r="C182" s="117"/>
      <x:c r="D182" s="117"/>
      <x:c r="E182" s="117"/>
      <x:c r="F182" s="117"/>
      <x:c r="G182" s="117"/>
      <x:c r="H182" s="117"/>
      <x:c r="I182" s="117"/>
      <x:c r="J182" s="117"/>
      <x:c r="K182" s="117"/>
      <x:c r="L182" s="117"/>
      <x:c r="M182" s="117"/>
      <x:c r="N182" s="117"/>
      <x:c r="O182" s="117"/>
      <x:c r="P182" s="117"/>
      <x:c r="Q182" s="117"/>
      <x:c r="R182" s="117"/>
      <x:c r="S182" s="117"/>
      <x:c r="T182" s="117"/>
      <x:c r="U182" s="117"/>
      <x:c r="V182" s="117"/>
      <x:c r="W182" s="117"/>
      <x:c r="X182" s="117"/>
      <x:c r="Y182" s="117"/>
      <x:c r="Z182" s="117"/>
    </x:row>
    <x:row r="183">
      <x:c r="A183" s="117"/>
      <x:c r="B183" s="117"/>
      <x:c r="C183" s="117"/>
      <x:c r="D183" s="117"/>
      <x:c r="E183" s="117"/>
      <x:c r="F183" s="117"/>
      <x:c r="G183" s="117"/>
      <x:c r="H183" s="117"/>
      <x:c r="I183" s="117"/>
      <x:c r="J183" s="117"/>
      <x:c r="K183" s="117"/>
      <x:c r="L183" s="117"/>
      <x:c r="M183" s="117"/>
      <x:c r="N183" s="117"/>
      <x:c r="O183" s="117"/>
      <x:c r="P183" s="117"/>
      <x:c r="Q183" s="117"/>
      <x:c r="R183" s="117"/>
      <x:c r="S183" s="117"/>
      <x:c r="T183" s="117"/>
      <x:c r="U183" s="117"/>
      <x:c r="V183" s="117"/>
      <x:c r="W183" s="117"/>
      <x:c r="X183" s="117"/>
      <x:c r="Y183" s="117"/>
      <x:c r="Z183" s="117"/>
    </x:row>
    <x:row r="184">
      <x:c r="A184" s="117"/>
      <x:c r="B184" s="117"/>
      <x:c r="C184" s="117"/>
      <x:c r="D184" s="117"/>
      <x:c r="E184" s="117"/>
      <x:c r="F184" s="117"/>
      <x:c r="G184" s="117"/>
      <x:c r="H184" s="117"/>
      <x:c r="I184" s="117"/>
      <x:c r="J184" s="117"/>
      <x:c r="K184" s="117"/>
      <x:c r="L184" s="117"/>
      <x:c r="M184" s="117"/>
      <x:c r="N184" s="117"/>
      <x:c r="O184" s="117"/>
      <x:c r="P184" s="117"/>
      <x:c r="Q184" s="117"/>
      <x:c r="R184" s="117"/>
      <x:c r="S184" s="117"/>
      <x:c r="T184" s="117"/>
      <x:c r="U184" s="117"/>
      <x:c r="V184" s="117"/>
      <x:c r="W184" s="117"/>
      <x:c r="X184" s="117"/>
      <x:c r="Y184" s="117"/>
      <x:c r="Z184" s="117"/>
    </x:row>
    <x:row r="185">
      <x:c r="A185" s="117"/>
      <x:c r="B185" s="117"/>
      <x:c r="C185" s="117"/>
      <x:c r="D185" s="117"/>
      <x:c r="E185" s="117"/>
      <x:c r="F185" s="117"/>
      <x:c r="G185" s="117"/>
      <x:c r="H185" s="117"/>
      <x:c r="I185" s="117"/>
      <x:c r="J185" s="117"/>
      <x:c r="K185" s="117"/>
      <x:c r="L185" s="117"/>
      <x:c r="M185" s="117"/>
      <x:c r="N185" s="117"/>
      <x:c r="O185" s="117"/>
      <x:c r="P185" s="117"/>
      <x:c r="Q185" s="117"/>
      <x:c r="R185" s="117"/>
      <x:c r="S185" s="117"/>
      <x:c r="T185" s="117"/>
      <x:c r="U185" s="117"/>
      <x:c r="V185" s="117"/>
      <x:c r="W185" s="117"/>
      <x:c r="X185" s="117"/>
      <x:c r="Y185" s="117"/>
      <x:c r="Z185" s="117"/>
    </x:row>
    <x:row r="186">
      <x:c r="A186" s="117"/>
      <x:c r="B186" s="117"/>
      <x:c r="C186" s="117"/>
      <x:c r="D186" s="117"/>
      <x:c r="E186" s="117"/>
      <x:c r="F186" s="117"/>
      <x:c r="G186" s="117"/>
      <x:c r="H186" s="117"/>
      <x:c r="I186" s="117"/>
      <x:c r="J186" s="117"/>
      <x:c r="K186" s="117"/>
      <x:c r="L186" s="117"/>
      <x:c r="M186" s="117"/>
      <x:c r="N186" s="117"/>
      <x:c r="O186" s="117"/>
      <x:c r="P186" s="117"/>
      <x:c r="Q186" s="117"/>
      <x:c r="R186" s="117"/>
      <x:c r="S186" s="117"/>
      <x:c r="T186" s="117"/>
      <x:c r="U186" s="117"/>
      <x:c r="V186" s="117"/>
      <x:c r="W186" s="117"/>
      <x:c r="X186" s="117"/>
      <x:c r="Y186" s="117"/>
      <x:c r="Z186" s="117"/>
    </x:row>
    <x:row r="187">
      <x:c r="A187" s="117"/>
      <x:c r="B187" s="117"/>
      <x:c r="C187" s="117"/>
      <x:c r="D187" s="117"/>
      <x:c r="E187" s="117"/>
      <x:c r="F187" s="117"/>
      <x:c r="G187" s="117"/>
      <x:c r="H187" s="117"/>
      <x:c r="I187" s="117"/>
      <x:c r="J187" s="117"/>
      <x:c r="K187" s="117"/>
      <x:c r="L187" s="117"/>
      <x:c r="M187" s="117"/>
      <x:c r="N187" s="117"/>
      <x:c r="O187" s="117"/>
      <x:c r="P187" s="117"/>
      <x:c r="Q187" s="117"/>
      <x:c r="R187" s="117"/>
      <x:c r="S187" s="117"/>
      <x:c r="T187" s="117"/>
      <x:c r="U187" s="117"/>
      <x:c r="V187" s="117"/>
      <x:c r="W187" s="117"/>
      <x:c r="X187" s="117"/>
      <x:c r="Y187" s="117"/>
      <x:c r="Z187" s="117"/>
    </x:row>
    <x:row r="188">
      <x:c r="A188" s="117"/>
      <x:c r="B188" s="117"/>
      <x:c r="C188" s="117"/>
      <x:c r="D188" s="117"/>
      <x:c r="E188" s="117"/>
      <x:c r="F188" s="117"/>
      <x:c r="G188" s="117"/>
      <x:c r="H188" s="117"/>
      <x:c r="I188" s="117"/>
      <x:c r="J188" s="117"/>
      <x:c r="K188" s="117"/>
      <x:c r="L188" s="117"/>
      <x:c r="M188" s="117"/>
      <x:c r="N188" s="117"/>
      <x:c r="O188" s="117"/>
      <x:c r="P188" s="117"/>
      <x:c r="Q188" s="117"/>
      <x:c r="R188" s="117"/>
      <x:c r="S188" s="117"/>
      <x:c r="T188" s="117"/>
      <x:c r="U188" s="117"/>
      <x:c r="V188" s="117"/>
      <x:c r="W188" s="117"/>
      <x:c r="X188" s="117"/>
      <x:c r="Y188" s="117"/>
      <x:c r="Z188" s="117"/>
    </x:row>
    <x:row r="189">
      <x:c r="A189" s="117"/>
      <x:c r="B189" s="117"/>
      <x:c r="C189" s="117"/>
      <x:c r="D189" s="117"/>
      <x:c r="E189" s="117"/>
      <x:c r="F189" s="117"/>
      <x:c r="G189" s="117"/>
      <x:c r="H189" s="117"/>
      <x:c r="I189" s="117"/>
      <x:c r="J189" s="117"/>
      <x:c r="K189" s="117"/>
      <x:c r="L189" s="117"/>
      <x:c r="M189" s="117"/>
      <x:c r="N189" s="117"/>
      <x:c r="O189" s="117"/>
      <x:c r="P189" s="117"/>
      <x:c r="Q189" s="117"/>
      <x:c r="R189" s="117"/>
      <x:c r="S189" s="117"/>
      <x:c r="T189" s="117"/>
      <x:c r="U189" s="117"/>
      <x:c r="V189" s="117"/>
      <x:c r="W189" s="117"/>
      <x:c r="X189" s="117"/>
      <x:c r="Y189" s="117"/>
      <x:c r="Z189" s="117"/>
    </x:row>
    <x:row r="190">
      <x:c r="A190" s="117"/>
      <x:c r="B190" s="117"/>
      <x:c r="C190" s="117"/>
      <x:c r="D190" s="117"/>
      <x:c r="E190" s="117"/>
      <x:c r="F190" s="117"/>
      <x:c r="G190" s="117"/>
      <x:c r="H190" s="117"/>
      <x:c r="I190" s="117"/>
      <x:c r="J190" s="117"/>
      <x:c r="K190" s="117"/>
      <x:c r="L190" s="117"/>
      <x:c r="M190" s="117"/>
      <x:c r="N190" s="117"/>
      <x:c r="O190" s="117"/>
      <x:c r="P190" s="117"/>
      <x:c r="Q190" s="117"/>
      <x:c r="R190" s="117"/>
      <x:c r="S190" s="117"/>
      <x:c r="T190" s="117"/>
      <x:c r="U190" s="117"/>
      <x:c r="V190" s="117"/>
      <x:c r="W190" s="117"/>
      <x:c r="X190" s="117"/>
      <x:c r="Y190" s="117"/>
      <x:c r="Z190" s="117"/>
    </x:row>
    <x:row r="191">
      <x:c r="A191" s="117"/>
      <x:c r="B191" s="117"/>
      <x:c r="C191" s="117"/>
      <x:c r="D191" s="117"/>
      <x:c r="E191" s="117"/>
      <x:c r="F191" s="117"/>
      <x:c r="G191" s="117"/>
      <x:c r="H191" s="117"/>
      <x:c r="I191" s="117"/>
      <x:c r="J191" s="117"/>
      <x:c r="K191" s="117"/>
      <x:c r="L191" s="117"/>
      <x:c r="M191" s="117"/>
      <x:c r="N191" s="117"/>
      <x:c r="O191" s="117"/>
      <x:c r="P191" s="117"/>
      <x:c r="Q191" s="117"/>
      <x:c r="R191" s="117"/>
      <x:c r="S191" s="117"/>
      <x:c r="T191" s="117"/>
      <x:c r="U191" s="117"/>
      <x:c r="V191" s="117"/>
      <x:c r="W191" s="117"/>
      <x:c r="X191" s="117"/>
      <x:c r="Y191" s="117"/>
      <x:c r="Z191" s="117"/>
    </x:row>
    <x:row r="192">
      <x:c r="A192" s="117"/>
      <x:c r="B192" s="117"/>
      <x:c r="C192" s="117"/>
      <x:c r="D192" s="117"/>
      <x:c r="E192" s="117"/>
      <x:c r="F192" s="117"/>
      <x:c r="G192" s="117"/>
      <x:c r="H192" s="117"/>
      <x:c r="I192" s="117"/>
      <x:c r="J192" s="117"/>
      <x:c r="K192" s="117"/>
      <x:c r="L192" s="117"/>
      <x:c r="M192" s="117"/>
      <x:c r="N192" s="117"/>
      <x:c r="O192" s="117"/>
      <x:c r="P192" s="117"/>
      <x:c r="Q192" s="117"/>
      <x:c r="R192" s="117"/>
      <x:c r="S192" s="117"/>
      <x:c r="T192" s="117"/>
      <x:c r="U192" s="117"/>
      <x:c r="V192" s="117"/>
      <x:c r="W192" s="117"/>
      <x:c r="X192" s="117"/>
      <x:c r="Y192" s="117"/>
      <x:c r="Z192" s="117"/>
    </x:row>
    <x:row r="193">
      <x:c r="A193" s="117"/>
      <x:c r="B193" s="117"/>
      <x:c r="C193" s="117"/>
      <x:c r="D193" s="117"/>
      <x:c r="E193" s="117"/>
      <x:c r="F193" s="117"/>
      <x:c r="G193" s="117"/>
      <x:c r="H193" s="117"/>
      <x:c r="I193" s="117"/>
      <x:c r="J193" s="117"/>
      <x:c r="K193" s="117"/>
      <x:c r="L193" s="117"/>
      <x:c r="M193" s="117"/>
      <x:c r="N193" s="117"/>
      <x:c r="O193" s="117"/>
      <x:c r="P193" s="117"/>
      <x:c r="Q193" s="117"/>
      <x:c r="R193" s="117"/>
      <x:c r="S193" s="117"/>
      <x:c r="T193" s="117"/>
      <x:c r="U193" s="117"/>
      <x:c r="V193" s="117"/>
      <x:c r="W193" s="117"/>
      <x:c r="X193" s="117"/>
      <x:c r="Y193" s="117"/>
      <x:c r="Z193" s="117"/>
    </x:row>
    <x:row r="194">
      <x:c r="A194" s="117"/>
      <x:c r="B194" s="117"/>
      <x:c r="C194" s="117"/>
      <x:c r="D194" s="117"/>
      <x:c r="E194" s="117"/>
      <x:c r="F194" s="117"/>
      <x:c r="G194" s="117"/>
      <x:c r="H194" s="117"/>
      <x:c r="I194" s="117"/>
      <x:c r="J194" s="117"/>
      <x:c r="K194" s="117"/>
      <x:c r="L194" s="117"/>
      <x:c r="M194" s="117"/>
      <x:c r="N194" s="117"/>
      <x:c r="O194" s="117"/>
      <x:c r="P194" s="117"/>
      <x:c r="Q194" s="117"/>
      <x:c r="R194" s="117"/>
      <x:c r="S194" s="117"/>
      <x:c r="T194" s="117"/>
      <x:c r="U194" s="117"/>
      <x:c r="V194" s="117"/>
      <x:c r="W194" s="117"/>
      <x:c r="X194" s="117"/>
      <x:c r="Y194" s="117"/>
      <x:c r="Z194" s="117"/>
    </x:row>
    <x:row r="195">
      <x:c r="A195" s="117"/>
      <x:c r="B195" s="117"/>
      <x:c r="C195" s="117"/>
      <x:c r="D195" s="117"/>
      <x:c r="E195" s="117"/>
      <x:c r="F195" s="117"/>
      <x:c r="G195" s="117"/>
      <x:c r="H195" s="117"/>
      <x:c r="I195" s="117"/>
      <x:c r="J195" s="117"/>
      <x:c r="K195" s="117"/>
      <x:c r="L195" s="117"/>
      <x:c r="M195" s="117"/>
      <x:c r="N195" s="117"/>
      <x:c r="O195" s="117"/>
      <x:c r="P195" s="117"/>
      <x:c r="Q195" s="117"/>
      <x:c r="R195" s="117"/>
      <x:c r="S195" s="117"/>
      <x:c r="T195" s="117"/>
      <x:c r="U195" s="117"/>
      <x:c r="V195" s="117"/>
      <x:c r="W195" s="117"/>
      <x:c r="X195" s="117"/>
      <x:c r="Y195" s="117"/>
      <x:c r="Z195" s="117"/>
    </x:row>
    <x:row r="196">
      <x:c r="A196" s="117"/>
      <x:c r="B196" s="117"/>
      <x:c r="C196" s="117"/>
      <x:c r="D196" s="117"/>
      <x:c r="E196" s="117"/>
      <x:c r="F196" s="117"/>
      <x:c r="G196" s="117"/>
      <x:c r="H196" s="117"/>
      <x:c r="I196" s="117"/>
      <x:c r="J196" s="117"/>
      <x:c r="K196" s="117"/>
      <x:c r="L196" s="117"/>
      <x:c r="M196" s="117"/>
      <x:c r="N196" s="117"/>
      <x:c r="O196" s="117"/>
      <x:c r="P196" s="117"/>
      <x:c r="Q196" s="117"/>
      <x:c r="R196" s="117"/>
      <x:c r="S196" s="117"/>
      <x:c r="T196" s="117"/>
      <x:c r="U196" s="117"/>
      <x:c r="V196" s="117"/>
      <x:c r="W196" s="117"/>
      <x:c r="X196" s="117"/>
      <x:c r="Y196" s="117"/>
      <x:c r="Z196" s="117"/>
    </x:row>
    <x:row r="197">
      <x:c r="A197" s="117"/>
      <x:c r="B197" s="117"/>
      <x:c r="C197" s="117"/>
      <x:c r="D197" s="117"/>
      <x:c r="E197" s="117"/>
      <x:c r="F197" s="117"/>
      <x:c r="G197" s="117"/>
      <x:c r="H197" s="117"/>
      <x:c r="I197" s="117"/>
      <x:c r="J197" s="117"/>
      <x:c r="K197" s="117"/>
      <x:c r="L197" s="117"/>
      <x:c r="M197" s="117"/>
      <x:c r="N197" s="117"/>
      <x:c r="O197" s="117"/>
      <x:c r="P197" s="117"/>
      <x:c r="Q197" s="117"/>
      <x:c r="R197" s="117"/>
      <x:c r="S197" s="117"/>
      <x:c r="T197" s="117"/>
      <x:c r="U197" s="117"/>
      <x:c r="V197" s="117"/>
      <x:c r="W197" s="117"/>
      <x:c r="X197" s="117"/>
      <x:c r="Y197" s="117"/>
      <x:c r="Z197" s="117"/>
    </x:row>
    <x:row r="198">
      <x:c r="A198" s="117"/>
      <x:c r="B198" s="117"/>
      <x:c r="C198" s="117"/>
      <x:c r="D198" s="117"/>
      <x:c r="E198" s="117"/>
      <x:c r="F198" s="117"/>
      <x:c r="G198" s="117"/>
      <x:c r="H198" s="117"/>
      <x:c r="I198" s="117"/>
      <x:c r="J198" s="117"/>
      <x:c r="K198" s="117"/>
      <x:c r="L198" s="117"/>
      <x:c r="M198" s="117"/>
      <x:c r="N198" s="117"/>
      <x:c r="O198" s="117"/>
      <x:c r="P198" s="117"/>
      <x:c r="Q198" s="117"/>
      <x:c r="R198" s="117"/>
      <x:c r="S198" s="117"/>
      <x:c r="T198" s="117"/>
      <x:c r="U198" s="117"/>
      <x:c r="V198" s="117"/>
      <x:c r="W198" s="117"/>
      <x:c r="X198" s="117"/>
      <x:c r="Y198" s="117"/>
      <x:c r="Z198" s="117"/>
    </x:row>
    <x:row r="199">
      <x:c r="A199" s="117"/>
      <x:c r="B199" s="117"/>
      <x:c r="C199" s="117"/>
      <x:c r="D199" s="117"/>
      <x:c r="E199" s="117"/>
      <x:c r="F199" s="117"/>
      <x:c r="G199" s="117"/>
      <x:c r="H199" s="117"/>
      <x:c r="I199" s="117"/>
      <x:c r="J199" s="117"/>
      <x:c r="K199" s="117"/>
      <x:c r="L199" s="117"/>
      <x:c r="M199" s="117"/>
      <x:c r="N199" s="117"/>
      <x:c r="O199" s="117"/>
      <x:c r="P199" s="117"/>
      <x:c r="Q199" s="117"/>
      <x:c r="R199" s="117"/>
      <x:c r="S199" s="117"/>
      <x:c r="T199" s="117"/>
      <x:c r="U199" s="117"/>
      <x:c r="V199" s="117"/>
      <x:c r="W199" s="117"/>
      <x:c r="X199" s="117"/>
      <x:c r="Y199" s="117"/>
      <x:c r="Z199" s="117"/>
    </x:row>
    <x:row r="200">
      <x:c r="A200" s="117"/>
      <x:c r="B200" s="117"/>
      <x:c r="C200" s="117"/>
      <x:c r="D200" s="117"/>
      <x:c r="E200" s="117"/>
      <x:c r="F200" s="117"/>
      <x:c r="G200" s="117"/>
      <x:c r="H200" s="117"/>
      <x:c r="I200" s="117"/>
      <x:c r="J200" s="117"/>
      <x:c r="K200" s="117"/>
      <x:c r="L200" s="117"/>
      <x:c r="M200" s="117"/>
      <x:c r="N200" s="117"/>
      <x:c r="O200" s="117"/>
      <x:c r="P200" s="117"/>
      <x:c r="Q200" s="117"/>
      <x:c r="R200" s="117"/>
      <x:c r="S200" s="117"/>
      <x:c r="T200" s="117"/>
      <x:c r="U200" s="117"/>
      <x:c r="V200" s="117"/>
      <x:c r="W200" s="117"/>
      <x:c r="X200" s="117"/>
      <x:c r="Y200" s="117"/>
      <x:c r="Z200" s="117"/>
    </x:row>
  </x:sheetData>
  <x:mergeCells>
    <x:mergeCell ref="A1:K1"/>
    <x:mergeCell ref="A2:K2"/>
  </x:mergeCells>
  <x:pageMargins left="0.7" right="0.7" top="0.75" bottom="0.75" header="0.3" footer="0.3"/>
</x:worksheet>
</file>

<file path=xl/worksheets/sheet6.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s>
  <x:sheetData>
    <x:row r="1" ht="28" customHeight="1">
      <x:c r="A1" s="116" t="str">
        <x:v>05_Evidence判定</x:v>
      </x:c>
      <x:c r="B1" s="116"/>
      <x:c r="C1" s="116"/>
      <x:c r="D1" s="116"/>
      <x:c r="E1" s="116"/>
      <x:c r="F1" s="116"/>
      <x:c r="G1" s="116"/>
      <x:c r="H1" s="116"/>
      <x:c r="I1" s="117"/>
      <x:c r="J1" s="117"/>
      <x:c r="K1" s="117"/>
      <x:c r="L1" s="117"/>
      <x:c r="M1" s="117"/>
      <x:c r="N1" s="117"/>
      <x:c r="O1" s="117"/>
      <x:c r="P1" s="117"/>
      <x:c r="Q1" s="117"/>
      <x:c r="R1" s="117"/>
      <x:c r="S1" s="117"/>
      <x:c r="T1" s="117"/>
      <x:c r="U1" s="117"/>
      <x:c r="V1" s="117"/>
      <x:c r="W1" s="117"/>
      <x:c r="X1" s="117"/>
      <x:c r="Y1" s="117"/>
      <x:c r="Z1" s="117"/>
    </x:row>
    <x:row r="2" ht="34" customHeight="1">
      <x:c r="A2" s="118" t="str">
        <x:v>Version0.1 初期構造。08の逆算結果に従い次工程で詳細化。</x:v>
      </x:c>
      <x:c r="B2" s="118"/>
      <x:c r="C2" s="118"/>
      <x:c r="D2" s="118"/>
      <x:c r="E2" s="118"/>
      <x:c r="F2" s="118"/>
      <x:c r="G2" s="118"/>
      <x:c r="H2" s="118"/>
      <x:c r="I2" s="117"/>
      <x:c r="J2" s="117"/>
      <x:c r="K2" s="117"/>
      <x:c r="L2" s="117"/>
      <x:c r="M2" s="117"/>
      <x:c r="N2" s="117"/>
      <x:c r="O2" s="117"/>
      <x:c r="P2" s="117"/>
      <x:c r="Q2" s="117"/>
      <x:c r="R2" s="117"/>
      <x:c r="S2" s="117"/>
      <x:c r="T2" s="117"/>
      <x:c r="U2" s="117"/>
      <x:c r="V2" s="117"/>
      <x:c r="W2" s="117"/>
      <x:c r="X2" s="117"/>
      <x:c r="Y2" s="117"/>
      <x:c r="Z2" s="117"/>
    </x:row>
    <x:row r="3">
      <x:c r="A3" s="117"/>
      <x:c r="B3" s="117"/>
      <x:c r="C3" s="117"/>
      <x:c r="D3" s="117"/>
      <x:c r="E3" s="117"/>
      <x:c r="F3" s="117"/>
      <x:c r="G3" s="117"/>
      <x:c r="H3" s="117"/>
      <x:c r="I3" s="117"/>
      <x:c r="J3" s="117"/>
      <x:c r="K3" s="117"/>
      <x:c r="L3" s="117"/>
      <x:c r="M3" s="117"/>
      <x:c r="N3" s="117"/>
      <x:c r="O3" s="117"/>
      <x:c r="P3" s="117"/>
      <x:c r="Q3" s="117"/>
      <x:c r="R3" s="117"/>
      <x:c r="S3" s="117"/>
      <x:c r="T3" s="117"/>
      <x:c r="U3" s="117"/>
      <x:c r="V3" s="117"/>
      <x:c r="W3" s="117"/>
      <x:c r="X3" s="117"/>
      <x:c r="Y3" s="117"/>
      <x:c r="Z3" s="117"/>
    </x:row>
    <x:row r="4" ht="38" customHeight="1">
      <x:c r="A4" s="139" t="str">
        <x:v>EvidenceID</x:v>
      </x:c>
      <x:c r="B4" s="140" t="str">
        <x:v>資料種別</x:v>
      </x:c>
      <x:c r="C4" s="140" t="str">
        <x:v>品質基礎点</x:v>
      </x:c>
      <x:c r="D4" s="140" t="str">
        <x:v>L3条件</x:v>
      </x:c>
      <x:c r="E4" s="140" t="str">
        <x:v>L2条件</x:v>
      </x:c>
      <x:c r="F4" s="140" t="str">
        <x:v>L1条件</x:v>
      </x:c>
      <x:c r="G4" s="140" t="str">
        <x:v>鮮度条件</x:v>
      </x:c>
      <x:c r="H4" s="168" t="str">
        <x:v>対象一致条件</x:v>
      </x:c>
      <x:c r="I4" s="140" t="str">
        <x:v>確認者要件</x:v>
      </x:c>
      <x:c r="J4" s="141" t="str">
        <x:v>備考</x:v>
      </x:c>
      <x:c r="K4" s="278" t="str">
        <x:v>対象一致点</x:v>
      </x:c>
      <x:c r="L4" s="279" t="str">
        <x:v>鮮度点</x:v>
      </x:c>
      <x:c r="M4" s="279" t="str">
        <x:v>確認主体点</x:v>
      </x:c>
      <x:c r="N4" s="280" t="str">
        <x:v>診断信頼度への採用ルール</x:v>
      </x:c>
      <x:c r="O4" s="117"/>
      <x:c r="P4" s="117"/>
      <x:c r="Q4" s="117"/>
      <x:c r="R4" s="117"/>
      <x:c r="S4" s="117"/>
      <x:c r="T4" s="117"/>
      <x:c r="U4" s="117"/>
      <x:c r="V4" s="117"/>
      <x:c r="W4" s="117"/>
      <x:c r="X4" s="117"/>
      <x:c r="Y4" s="117"/>
      <x:c r="Z4" s="117"/>
    </x:row>
    <x:row r="5">
      <x:c r="A5" s="144" t="str">
        <x:v>EV-PHOTO</x:v>
      </x:c>
      <x:c r="B5" s="145" t="str">
        <x:v>写真・銘板</x:v>
      </x:c>
      <x:c r="C5" s="145" t="str">
        <x:v>70</x:v>
      </x:c>
      <x:c r="D5" s="145" t="str">
        <x:v>対象設備・日時・箇所が特定でき鮮明</x:v>
      </x:c>
      <x:c r="E5" s="145" t="str">
        <x:v>自己申告に添付されるが対象不明確</x:v>
      </x:c>
      <x:c r="F5" s="145" t="str">
        <x:v>添付なし・不鮮明</x:v>
      </x:c>
      <x:c r="G5" s="145" t="str">
        <x:v>原則2年以内、異常写真は直近</x:v>
      </x:c>
      <x:c r="H5" s="145" t="str">
        <x:v>型式・設備名一致</x:v>
      </x:c>
      <x:c r="I5" s="145" t="str">
        <x:v>正式診断時は担当者確認</x:v>
      </x:c>
      <x:c r="J5" s="146" t="str">
        <x:v>写真だけでメーカー保守終了はL3不可</x:v>
      </x:c>
      <x:c r="K5" s="297" t="n">
        <x:v>100</x:v>
      </x:c>
      <x:c r="L5" s="298" t="n">
        <x:v>100</x:v>
      </x:c>
      <x:c r="M5" s="298" t="n">
        <x:v>70</x:v>
      </x:c>
      <x:c r="N5" s="299" t="str">
        <x:v>写真単独は原則L2上限。現地確認済みでL3可</x:v>
      </x:c>
      <x:c r="O5" s="117"/>
      <x:c r="P5" s="117"/>
      <x:c r="Q5" s="117"/>
      <x:c r="R5" s="117"/>
      <x:c r="S5" s="117"/>
      <x:c r="T5" s="117"/>
      <x:c r="U5" s="117"/>
      <x:c r="V5" s="117"/>
      <x:c r="W5" s="117"/>
      <x:c r="X5" s="117"/>
      <x:c r="Y5" s="117"/>
      <x:c r="Z5" s="117"/>
    </x:row>
    <x:row r="6">
      <x:c r="A6" s="147" t="str">
        <x:v>EV-DRAWING</x:v>
      </x:c>
      <x:c r="B6" s="148" t="str">
        <x:v>図面</x:v>
      </x:c>
      <x:c r="C6" s="148" t="str">
        <x:v>85</x:v>
      </x:c>
      <x:c r="D6" s="148" t="str">
        <x:v>現行版・改造反映・対象範囲一致</x:v>
      </x:c>
      <x:c r="E6" s="148" t="str">
        <x:v>旧版または一部のみ</x:v>
      </x:c>
      <x:c r="F6" s="148" t="str">
        <x:v>なし・版不明</x:v>
      </x:c>
      <x:c r="G6" s="148" t="str">
        <x:v>改造後更新済み</x:v>
      </x:c>
      <x:c r="H6" s="148" t="str">
        <x:v>設備名・回路一致</x:v>
      </x:c>
      <x:c r="I6" s="148" t="str">
        <x:v>技術者確認</x:v>
      </x:c>
      <x:c r="J6" s="149" t="str"/>
      <x:c r="K6" s="300" t="n">
        <x:v>100</x:v>
      </x:c>
      <x:c r="L6" s="148" t="n">
        <x:v>100</x:v>
      </x:c>
      <x:c r="M6" s="148" t="n">
        <x:v>100</x:v>
      </x:c>
      <x:c r="N6" s="301" t="str">
        <x:v>現行図かつ改造反映確認時に高信頼</x:v>
      </x:c>
      <x:c r="O6" s="117"/>
      <x:c r="P6" s="117"/>
      <x:c r="Q6" s="117"/>
      <x:c r="R6" s="117"/>
      <x:c r="S6" s="117"/>
      <x:c r="T6" s="117"/>
      <x:c r="U6" s="117"/>
      <x:c r="V6" s="117"/>
      <x:c r="W6" s="117"/>
      <x:c r="X6" s="117"/>
      <x:c r="Y6" s="117"/>
      <x:c r="Z6" s="117"/>
    </x:row>
    <x:row r="7">
      <x:c r="A7" s="147" t="str">
        <x:v>EV-INSPECT</x:v>
      </x:c>
      <x:c r="B7" s="148" t="str">
        <x:v>点検報告書</x:v>
      </x:c>
      <x:c r="C7" s="148" t="str">
        <x:v>95</x:v>
      </x:c>
      <x:c r="D7" s="148" t="str">
        <x:v>正式報告書・日付・対象・判定明記</x:v>
      </x:c>
      <x:c r="E7" s="148" t="str">
        <x:v>抜粋・口頭転記</x:v>
      </x:c>
      <x:c r="F7" s="148" t="str">
        <x:v>なし・期限切れ</x:v>
      </x:c>
      <x:c r="G7" s="148" t="str">
        <x:v>法定周期内または2年以内</x:v>
      </x:c>
      <x:c r="H7" s="148" t="str">
        <x:v>対象設備一致</x:v>
      </x:c>
      <x:c r="I7" s="148" t="str">
        <x:v>点検者・会社明記</x:v>
      </x:c>
      <x:c r="J7" s="149" t="str"/>
      <x:c r="K7" s="300" t="n">
        <x:v>100</x:v>
      </x:c>
      <x:c r="L7" s="148" t="n">
        <x:v>100</x:v>
      </x:c>
      <x:c r="M7" s="148" t="n">
        <x:v>100</x:v>
      </x:c>
      <x:c r="N7" s="301" t="str">
        <x:v>正式報告書はL3候補</x:v>
      </x:c>
      <x:c r="O7" s="117"/>
      <x:c r="P7" s="117"/>
      <x:c r="Q7" s="117"/>
      <x:c r="R7" s="117"/>
      <x:c r="S7" s="117"/>
      <x:c r="T7" s="117"/>
      <x:c r="U7" s="117"/>
      <x:c r="V7" s="117"/>
      <x:c r="W7" s="117"/>
      <x:c r="X7" s="117"/>
      <x:c r="Y7" s="117"/>
      <x:c r="Z7" s="117"/>
    </x:row>
    <x:row r="8">
      <x:c r="A8" s="147" t="str">
        <x:v>EV-MAKER</x:v>
      </x:c>
      <x:c r="B8" s="148" t="str">
        <x:v>メーカー回答</x:v>
      </x:c>
      <x:c r="C8" s="148" t="str">
        <x:v>100</x:v>
      </x:c>
      <x:c r="D8" s="148" t="str">
        <x:v>正式書面・メール・型式・回答日明記</x:v>
      </x:c>
      <x:c r="E8" s="148" t="str">
        <x:v>代理店口頭・過去情報</x:v>
      </x:c>
      <x:c r="F8" s="148" t="str">
        <x:v>なし・型式不明</x:v>
      </x:c>
      <x:c r="G8" s="148" t="str">
        <x:v>原則1年以内</x:v>
      </x:c>
      <x:c r="H8" s="148" t="str">
        <x:v>完全型式一致</x:v>
      </x:c>
      <x:c r="I8" s="148" t="str">
        <x:v>メーカー・正規窓口</x:v>
      </x:c>
      <x:c r="J8" s="149" t="str">
        <x:v>EOL・互換性判定の最優先</x:v>
      </x:c>
      <x:c r="K8" s="300" t="n">
        <x:v>100</x:v>
      </x:c>
      <x:c r="L8" s="148" t="n">
        <x:v>100</x:v>
      </x:c>
      <x:c r="M8" s="148" t="n">
        <x:v>100</x:v>
      </x:c>
      <x:c r="N8" s="301" t="str">
        <x:v>EOL・互換性の最優先Evidence</x:v>
      </x:c>
      <x:c r="O8" s="117"/>
      <x:c r="P8" s="117"/>
      <x:c r="Q8" s="117"/>
      <x:c r="R8" s="117"/>
      <x:c r="S8" s="117"/>
      <x:c r="T8" s="117"/>
      <x:c r="U8" s="117"/>
      <x:c r="V8" s="117"/>
      <x:c r="W8" s="117"/>
      <x:c r="X8" s="117"/>
      <x:c r="Y8" s="117"/>
      <x:c r="Z8" s="117"/>
    </x:row>
    <x:row r="9">
      <x:c r="A9" s="147" t="str">
        <x:v>EV-ASSET</x:v>
      </x:c>
      <x:c r="B9" s="148" t="str">
        <x:v>設備台帳</x:v>
      </x:c>
      <x:c r="C9" s="148" t="str">
        <x:v>80</x:v>
      </x:c>
      <x:c r="D9" s="148" t="str">
        <x:v>型式・年式・数量・重要度・更新履歴あり</x:v>
      </x:c>
      <x:c r="E9" s="148" t="str">
        <x:v>一部項目欠落</x:v>
      </x:c>
      <x:c r="F9" s="148" t="str">
        <x:v>なし・更新日不明</x:v>
      </x:c>
      <x:c r="G9" s="148" t="str">
        <x:v>原則1年以内更新</x:v>
      </x:c>
      <x:c r="H9" s="148" t="str">
        <x:v>対象設備網羅</x:v>
      </x:c>
      <x:c r="I9" s="148" t="str">
        <x:v>社内責任者確認</x:v>
      </x:c>
      <x:c r="J9" s="149" t="str"/>
      <x:c r="K9" s="300" t="n">
        <x:v>100</x:v>
      </x:c>
      <x:c r="L9" s="148" t="n">
        <x:v>100</x:v>
      </x:c>
      <x:c r="M9" s="148" t="n">
        <x:v>70</x:v>
      </x:c>
      <x:c r="N9" s="301" t="str">
        <x:v>社内管理資料。対象・更新日確認が必要</x:v>
      </x:c>
      <x:c r="O9" s="117"/>
      <x:c r="P9" s="117"/>
      <x:c r="Q9" s="117"/>
      <x:c r="R9" s="117"/>
      <x:c r="S9" s="117"/>
      <x:c r="T9" s="117"/>
      <x:c r="U9" s="117"/>
      <x:c r="V9" s="117"/>
      <x:c r="W9" s="117"/>
      <x:c r="X9" s="117"/>
      <x:c r="Y9" s="117"/>
      <x:c r="Z9" s="117"/>
    </x:row>
    <x:row r="10">
      <x:c r="A10" s="147" t="str">
        <x:v>EV-HISTORY</x:v>
      </x:c>
      <x:c r="B10" s="148" t="str">
        <x:v>故障・修理履歴</x:v>
      </x:c>
      <x:c r="C10" s="148" t="str">
        <x:v>85</x:v>
      </x:c>
      <x:c r="D10" s="148" t="str">
        <x:v>設備別・日付・内容・停止時間あり</x:v>
      </x:c>
      <x:c r="E10" s="148" t="str">
        <x:v>集計のみ</x:v>
      </x:c>
      <x:c r="F10" s="148" t="str">
        <x:v>記録なし</x:v>
      </x:c>
      <x:c r="G10" s="148" t="str">
        <x:v>直近3年</x:v>
      </x:c>
      <x:c r="H10" s="148" t="str">
        <x:v>設備ID一致</x:v>
      </x:c>
      <x:c r="I10" s="148" t="str">
        <x:v>保全担当確認</x:v>
      </x:c>
      <x:c r="J10" s="149" t="str"/>
      <x:c r="K10" s="300" t="n">
        <x:v>100</x:v>
      </x:c>
      <x:c r="L10" s="148" t="n">
        <x:v>100</x:v>
      </x:c>
      <x:c r="M10" s="148" t="n">
        <x:v>70</x:v>
      </x:c>
      <x:c r="N10" s="301" t="str">
        <x:v>設備IDと日付が揃えば高評価</x:v>
      </x:c>
      <x:c r="O10" s="117"/>
      <x:c r="P10" s="117"/>
      <x:c r="Q10" s="117"/>
      <x:c r="R10" s="117"/>
      <x:c r="S10" s="117"/>
      <x:c r="T10" s="117"/>
      <x:c r="U10" s="117"/>
      <x:c r="V10" s="117"/>
      <x:c r="W10" s="117"/>
      <x:c r="X10" s="117"/>
      <x:c r="Y10" s="117"/>
      <x:c r="Z10" s="117"/>
    </x:row>
    <x:row r="11">
      <x:c r="A11" s="147" t="str">
        <x:v>EV-ENERGY</x:v>
      </x:c>
      <x:c r="B11" s="148" t="str">
        <x:v>電力・計測データ</x:v>
      </x:c>
      <x:c r="C11" s="148" t="str">
        <x:v>90</x:v>
      </x:c>
      <x:c r="D11" s="148" t="str">
        <x:v>計測点・期間・単位・生産条件明記</x:v>
      </x:c>
      <x:c r="E11" s="148" t="str">
        <x:v>請求書のみ・期間短い</x:v>
      </x:c>
      <x:c r="F11" s="148" t="str">
        <x:v>口頭・未計測</x:v>
      </x:c>
      <x:c r="G11" s="148" t="str">
        <x:v>直近12か月推奨</x:v>
      </x:c>
      <x:c r="H11" s="148" t="str">
        <x:v>対象工程一致</x:v>
      </x:c>
      <x:c r="I11" s="148" t="str">
        <x:v>担当者確認</x:v>
      </x:c>
      <x:c r="J11" s="149" t="str"/>
      <x:c r="K11" s="300" t="n">
        <x:v>100</x:v>
      </x:c>
      <x:c r="L11" s="148" t="n">
        <x:v>100</x:v>
      </x:c>
      <x:c r="M11" s="148" t="n">
        <x:v>70</x:v>
      </x:c>
      <x:c r="N11" s="301" t="str">
        <x:v>期間・単位・計測点が揃えば高評価</x:v>
      </x:c>
      <x:c r="O11" s="117"/>
      <x:c r="P11" s="117"/>
      <x:c r="Q11" s="117"/>
      <x:c r="R11" s="117"/>
      <x:c r="S11" s="117"/>
      <x:c r="T11" s="117"/>
      <x:c r="U11" s="117"/>
      <x:c r="V11" s="117"/>
      <x:c r="W11" s="117"/>
      <x:c r="X11" s="117"/>
      <x:c r="Y11" s="117"/>
      <x:c r="Z11" s="117"/>
    </x:row>
    <x:row r="12">
      <x:c r="A12" s="147" t="str">
        <x:v>EV-QUOTE</x:v>
      </x:c>
      <x:c r="B12" s="148" t="str">
        <x:v>見積書</x:v>
      </x:c>
      <x:c r="C12" s="148" t="str">
        <x:v>90</x:v>
      </x:c>
      <x:c r="D12" s="148" t="str">
        <x:v>仕様・範囲・有効期限明記</x:v>
      </x:c>
      <x:c r="E12" s="148" t="str">
        <x:v>概算口頭・参考価格</x:v>
      </x:c>
      <x:c r="F12" s="148" t="str">
        <x:v>なし</x:v>
      </x:c>
      <x:c r="G12" s="148" t="str">
        <x:v>有効期限内</x:v>
      </x:c>
      <x:c r="H12" s="148" t="str">
        <x:v>対象範囲一致</x:v>
      </x:c>
      <x:c r="I12" s="148" t="str">
        <x:v>発行元明記</x:v>
      </x:c>
      <x:c r="J12" s="149" t="str">
        <x:v>金額断定は本資料が必要</x:v>
      </x:c>
      <x:c r="K12" s="300" t="n">
        <x:v>100</x:v>
      </x:c>
      <x:c r="L12" s="148" t="n">
        <x:v>100</x:v>
      </x:c>
      <x:c r="M12" s="148" t="n">
        <x:v>100</x:v>
      </x:c>
      <x:c r="N12" s="301" t="str">
        <x:v>金額断定に使用。有効期限内が条件</x:v>
      </x:c>
      <x:c r="O12" s="117"/>
      <x:c r="P12" s="117"/>
      <x:c r="Q12" s="117"/>
      <x:c r="R12" s="117"/>
      <x:c r="S12" s="117"/>
      <x:c r="T12" s="117"/>
      <x:c r="U12" s="117"/>
      <x:c r="V12" s="117"/>
      <x:c r="W12" s="117"/>
      <x:c r="X12" s="117"/>
      <x:c r="Y12" s="117"/>
      <x:c r="Z12" s="117"/>
    </x:row>
    <x:row r="13">
      <x:c r="A13" s="158" t="str">
        <x:v>EV-BCP</x:v>
      </x:c>
      <x:c r="B13" s="159" t="str">
        <x:v>BCP・停止影響</x:v>
      </x:c>
      <x:c r="C13" s="159" t="str">
        <x:v>90</x:v>
      </x:c>
      <x:c r="D13" s="159" t="str">
        <x:v>停止時間・代替・影響額・連絡体制明記</x:v>
      </x:c>
      <x:c r="E13" s="159" t="str">
        <x:v>定性的説明のみ</x:v>
      </x:c>
      <x:c r="F13" s="159" t="str">
        <x:v>なし</x:v>
      </x:c>
      <x:c r="G13" s="159" t="str">
        <x:v>原則1年以内</x:v>
      </x:c>
      <x:c r="H13" s="159" t="str">
        <x:v>対象設備一致</x:v>
      </x:c>
      <x:c r="I13" s="159" t="str">
        <x:v>責任者確認</x:v>
      </x:c>
      <x:c r="J13" s="160" t="str"/>
      <x:c r="K13" s="302" t="n">
        <x:v>100</x:v>
      </x:c>
      <x:c r="L13" s="303" t="n">
        <x:v>100</x:v>
      </x:c>
      <x:c r="M13" s="303" t="n">
        <x:v>100</x:v>
      </x:c>
      <x:c r="N13" s="304" t="str">
        <x:v>停止影響・代替性のL3候補</x:v>
      </x:c>
      <x:c r="O13" s="117"/>
      <x:c r="P13" s="117"/>
      <x:c r="Q13" s="117"/>
      <x:c r="R13" s="117"/>
      <x:c r="S13" s="117"/>
      <x:c r="T13" s="117"/>
      <x:c r="U13" s="117"/>
      <x:c r="V13" s="117"/>
      <x:c r="W13" s="117"/>
      <x:c r="X13" s="117"/>
      <x:c r="Y13" s="117"/>
      <x:c r="Z13" s="117"/>
    </x:row>
    <x:row r="14">
      <x:c r="A14" s="117"/>
      <x:c r="B14" s="117"/>
      <x:c r="C14" s="117"/>
      <x:c r="D14" s="117"/>
      <x:c r="E14" s="117"/>
      <x:c r="F14" s="117"/>
      <x:c r="G14" s="117"/>
      <x:c r="H14" s="117"/>
      <x:c r="I14" s="117"/>
      <x:c r="J14" s="117"/>
      <x:c r="K14" s="117"/>
      <x:c r="L14" s="117"/>
      <x:c r="M14" s="117"/>
      <x:c r="N14" s="117"/>
      <x:c r="O14" s="117"/>
      <x:c r="P14" s="117"/>
      <x:c r="Q14" s="117"/>
      <x:c r="R14" s="117"/>
      <x:c r="S14" s="117"/>
      <x:c r="T14" s="117"/>
      <x:c r="U14" s="117"/>
      <x:c r="V14" s="117"/>
      <x:c r="W14" s="117"/>
      <x:c r="X14" s="117"/>
      <x:c r="Y14" s="117"/>
      <x:c r="Z14" s="117"/>
    </x:row>
    <x:row r="15">
      <x:c r="A15" s="117"/>
      <x:c r="B15" s="117"/>
      <x:c r="C15" s="117"/>
      <x:c r="D15" s="117"/>
      <x:c r="E15" s="117"/>
      <x:c r="F15" s="117"/>
      <x:c r="G15" s="117"/>
      <x:c r="H15" s="117"/>
      <x:c r="I15" s="117"/>
      <x:c r="J15" s="117"/>
      <x:c r="K15" s="117"/>
      <x:c r="L15" s="117"/>
      <x:c r="M15" s="117"/>
      <x:c r="N15" s="117"/>
      <x:c r="O15" s="117"/>
      <x:c r="P15" s="117"/>
      <x:c r="Q15" s="117"/>
      <x:c r="R15" s="117"/>
      <x:c r="S15" s="117"/>
      <x:c r="T15" s="117"/>
      <x:c r="U15" s="117"/>
      <x:c r="V15" s="117"/>
      <x:c r="W15" s="117"/>
      <x:c r="X15" s="117"/>
      <x:c r="Y15" s="117"/>
      <x:c r="Z15" s="117"/>
    </x:row>
    <x:row r="16">
      <x:c r="A16" s="117"/>
      <x:c r="B16" s="117"/>
      <x:c r="C16" s="117"/>
      <x:c r="D16" s="117"/>
      <x:c r="E16" s="117"/>
      <x:c r="F16" s="117"/>
      <x:c r="G16" s="117"/>
      <x:c r="H16" s="117"/>
      <x:c r="I16" s="117"/>
      <x:c r="J16" s="117"/>
      <x:c r="K16" s="117"/>
      <x:c r="L16" s="117"/>
      <x:c r="M16" s="117"/>
      <x:c r="N16" s="117"/>
      <x:c r="O16" s="117"/>
      <x:c r="P16" s="117"/>
      <x:c r="Q16" s="117"/>
      <x:c r="R16" s="117"/>
      <x:c r="S16" s="117"/>
      <x:c r="T16" s="117"/>
      <x:c r="U16" s="117"/>
      <x:c r="V16" s="117"/>
      <x:c r="W16" s="117"/>
      <x:c r="X16" s="117"/>
      <x:c r="Y16" s="117"/>
      <x:c r="Z16" s="117"/>
    </x:row>
    <x:row r="17">
      <x:c r="A17" s="117"/>
      <x:c r="B17" s="117"/>
      <x:c r="C17" s="117"/>
      <x:c r="D17" s="117"/>
      <x:c r="E17" s="117"/>
      <x:c r="F17" s="117"/>
      <x:c r="G17" s="117"/>
      <x:c r="H17" s="117"/>
      <x:c r="I17" s="117"/>
      <x:c r="J17" s="117"/>
      <x:c r="K17" s="117"/>
      <x:c r="L17" s="117"/>
      <x:c r="M17" s="117"/>
      <x:c r="N17" s="117"/>
      <x:c r="O17" s="117"/>
      <x:c r="P17" s="117"/>
      <x:c r="Q17" s="117"/>
      <x:c r="R17" s="117"/>
      <x:c r="S17" s="117"/>
      <x:c r="T17" s="117"/>
      <x:c r="U17" s="117"/>
      <x:c r="V17" s="117"/>
      <x:c r="W17" s="117"/>
      <x:c r="X17" s="117"/>
      <x:c r="Y17" s="117"/>
      <x:c r="Z17" s="117"/>
    </x:row>
    <x:row r="18">
      <x:c r="A18" s="117"/>
      <x:c r="B18" s="117"/>
      <x:c r="C18" s="117"/>
      <x:c r="D18" s="117"/>
      <x:c r="E18" s="117"/>
      <x:c r="F18" s="117"/>
      <x:c r="G18" s="117"/>
      <x:c r="H18" s="117"/>
      <x:c r="I18" s="117"/>
      <x:c r="J18" s="117"/>
      <x:c r="K18" s="117"/>
      <x:c r="L18" s="117"/>
      <x:c r="M18" s="117"/>
      <x:c r="N18" s="117"/>
      <x:c r="O18" s="117"/>
      <x:c r="P18" s="117"/>
      <x:c r="Q18" s="117"/>
      <x:c r="R18" s="117"/>
      <x:c r="S18" s="117"/>
      <x:c r="T18" s="117"/>
      <x:c r="U18" s="117"/>
      <x:c r="V18" s="117"/>
      <x:c r="W18" s="117"/>
      <x:c r="X18" s="117"/>
      <x:c r="Y18" s="117"/>
      <x:c r="Z18" s="117"/>
    </x:row>
    <x:row r="19">
      <x:c r="A19" s="117"/>
      <x:c r="B19" s="117"/>
      <x:c r="C19" s="117"/>
      <x:c r="D19" s="117"/>
      <x:c r="E19" s="117"/>
      <x:c r="F19" s="117"/>
      <x:c r="G19" s="117"/>
      <x:c r="H19" s="117"/>
      <x:c r="I19" s="117"/>
      <x:c r="J19" s="117"/>
      <x:c r="K19" s="117"/>
      <x:c r="L19" s="117"/>
      <x:c r="M19" s="117"/>
      <x:c r="N19" s="117"/>
      <x:c r="O19" s="117"/>
      <x:c r="P19" s="117"/>
      <x:c r="Q19" s="117"/>
      <x:c r="R19" s="117"/>
      <x:c r="S19" s="117"/>
      <x:c r="T19" s="117"/>
      <x:c r="U19" s="117"/>
      <x:c r="V19" s="117"/>
      <x:c r="W19" s="117"/>
      <x:c r="X19" s="117"/>
      <x:c r="Y19" s="117"/>
      <x:c r="Z19" s="117"/>
    </x:row>
    <x:row r="20">
      <x:c r="A20" s="117"/>
      <x:c r="B20" s="117"/>
      <x:c r="C20" s="117"/>
      <x:c r="D20" s="117"/>
      <x:c r="E20" s="117"/>
      <x:c r="F20" s="117"/>
      <x:c r="G20" s="117"/>
      <x:c r="H20" s="117"/>
      <x:c r="I20" s="117"/>
      <x:c r="J20" s="117"/>
      <x:c r="K20" s="117"/>
      <x:c r="L20" s="117"/>
      <x:c r="M20" s="117"/>
      <x:c r="N20" s="117"/>
      <x:c r="O20" s="117"/>
      <x:c r="P20" s="117"/>
      <x:c r="Q20" s="117"/>
      <x:c r="R20" s="117"/>
      <x:c r="S20" s="117"/>
      <x:c r="T20" s="117"/>
      <x:c r="U20" s="117"/>
      <x:c r="V20" s="117"/>
      <x:c r="W20" s="117"/>
      <x:c r="X20" s="117"/>
      <x:c r="Y20" s="117"/>
      <x:c r="Z20" s="117"/>
    </x:row>
    <x:row r="21">
      <x:c r="A21" s="117"/>
      <x:c r="B21" s="117"/>
      <x:c r="C21" s="117"/>
      <x:c r="D21" s="117"/>
      <x:c r="E21" s="117"/>
      <x:c r="F21" s="117"/>
      <x:c r="G21" s="117"/>
      <x:c r="H21" s="117"/>
      <x:c r="I21" s="117"/>
      <x:c r="J21" s="117"/>
      <x:c r="K21" s="117"/>
      <x:c r="L21" s="117"/>
      <x:c r="M21" s="117"/>
      <x:c r="N21" s="117"/>
      <x:c r="O21" s="117"/>
      <x:c r="P21" s="117"/>
      <x:c r="Q21" s="117"/>
      <x:c r="R21" s="117"/>
      <x:c r="S21" s="117"/>
      <x:c r="T21" s="117"/>
      <x:c r="U21" s="117"/>
      <x:c r="V21" s="117"/>
      <x:c r="W21" s="117"/>
      <x:c r="X21" s="117"/>
      <x:c r="Y21" s="117"/>
      <x:c r="Z21" s="117"/>
    </x:row>
    <x:row r="22">
      <x:c r="A22" s="117"/>
      <x:c r="B22" s="117"/>
      <x:c r="C22" s="117"/>
      <x:c r="D22" s="117"/>
      <x:c r="E22" s="117"/>
      <x:c r="F22" s="117"/>
      <x:c r="G22" s="117"/>
      <x:c r="H22" s="117"/>
      <x:c r="I22" s="117"/>
      <x:c r="J22" s="117"/>
      <x:c r="K22" s="117"/>
      <x:c r="L22" s="117"/>
      <x:c r="M22" s="117"/>
      <x:c r="N22" s="117"/>
      <x:c r="O22" s="117"/>
      <x:c r="P22" s="117"/>
      <x:c r="Q22" s="117"/>
      <x:c r="R22" s="117"/>
      <x:c r="S22" s="117"/>
      <x:c r="T22" s="117"/>
      <x:c r="U22" s="117"/>
      <x:c r="V22" s="117"/>
      <x:c r="W22" s="117"/>
      <x:c r="X22" s="117"/>
      <x:c r="Y22" s="117"/>
      <x:c r="Z22" s="117"/>
    </x:row>
    <x:row r="23">
      <x:c r="A23" s="117"/>
      <x:c r="B23" s="117"/>
      <x:c r="C23" s="117"/>
      <x:c r="D23" s="117"/>
      <x:c r="E23" s="117"/>
      <x:c r="F23" s="117"/>
      <x:c r="G23" s="117"/>
      <x:c r="H23" s="117"/>
      <x:c r="I23" s="117"/>
      <x:c r="J23" s="117"/>
      <x:c r="K23" s="117"/>
      <x:c r="L23" s="117"/>
      <x:c r="M23" s="117"/>
      <x:c r="N23" s="117"/>
      <x:c r="O23" s="117"/>
      <x:c r="P23" s="117"/>
      <x:c r="Q23" s="117"/>
      <x:c r="R23" s="117"/>
      <x:c r="S23" s="117"/>
      <x:c r="T23" s="117"/>
      <x:c r="U23" s="117"/>
      <x:c r="V23" s="117"/>
      <x:c r="W23" s="117"/>
      <x:c r="X23" s="117"/>
      <x:c r="Y23" s="117"/>
      <x:c r="Z23" s="117"/>
    </x:row>
    <x:row r="24">
      <x:c r="A24" s="117"/>
      <x:c r="B24" s="117"/>
      <x:c r="C24" s="117"/>
      <x:c r="D24" s="117"/>
      <x:c r="E24" s="117"/>
      <x:c r="F24" s="117"/>
      <x:c r="G24" s="117"/>
      <x:c r="H24" s="117"/>
      <x:c r="I24" s="117"/>
      <x:c r="J24" s="117"/>
      <x:c r="K24" s="117"/>
      <x:c r="L24" s="117"/>
      <x:c r="M24" s="117"/>
      <x:c r="N24" s="117"/>
      <x:c r="O24" s="117"/>
      <x:c r="P24" s="117"/>
      <x:c r="Q24" s="117"/>
      <x:c r="R24" s="117"/>
      <x:c r="S24" s="117"/>
      <x:c r="T24" s="117"/>
      <x:c r="U24" s="117"/>
      <x:c r="V24" s="117"/>
      <x:c r="W24" s="117"/>
      <x:c r="X24" s="117"/>
      <x:c r="Y24" s="117"/>
      <x:c r="Z24" s="117"/>
    </x:row>
    <x:row r="25">
      <x:c r="A25" s="117"/>
      <x:c r="B25" s="117"/>
      <x:c r="C25" s="117"/>
      <x:c r="D25" s="117"/>
      <x:c r="E25" s="117"/>
      <x:c r="F25" s="117"/>
      <x:c r="G25" s="117"/>
      <x:c r="H25" s="117"/>
      <x:c r="I25" s="117"/>
      <x:c r="J25" s="117"/>
      <x:c r="K25" s="117"/>
      <x:c r="L25" s="117"/>
      <x:c r="M25" s="117"/>
      <x:c r="N25" s="117"/>
      <x:c r="O25" s="117"/>
      <x:c r="P25" s="117"/>
      <x:c r="Q25" s="117"/>
      <x:c r="R25" s="117"/>
      <x:c r="S25" s="117"/>
      <x:c r="T25" s="117"/>
      <x:c r="U25" s="117"/>
      <x:c r="V25" s="117"/>
      <x:c r="W25" s="117"/>
      <x:c r="X25" s="117"/>
      <x:c r="Y25" s="117"/>
      <x:c r="Z25" s="117"/>
    </x:row>
    <x:row r="26">
      <x:c r="A26" s="117"/>
      <x:c r="B26" s="117"/>
      <x:c r="C26" s="117"/>
      <x:c r="D26" s="117"/>
      <x:c r="E26" s="117"/>
      <x:c r="F26" s="117"/>
      <x:c r="G26" s="117"/>
      <x:c r="H26" s="117"/>
      <x:c r="I26" s="117"/>
      <x:c r="J26" s="117"/>
      <x:c r="K26" s="117"/>
      <x:c r="L26" s="117"/>
      <x:c r="M26" s="117"/>
      <x:c r="N26" s="117"/>
      <x:c r="O26" s="117"/>
      <x:c r="P26" s="117"/>
      <x:c r="Q26" s="117"/>
      <x:c r="R26" s="117"/>
      <x:c r="S26" s="117"/>
      <x:c r="T26" s="117"/>
      <x:c r="U26" s="117"/>
      <x:c r="V26" s="117"/>
      <x:c r="W26" s="117"/>
      <x:c r="X26" s="117"/>
      <x:c r="Y26" s="117"/>
      <x:c r="Z26" s="117"/>
    </x:row>
    <x:row r="27">
      <x:c r="A27" s="117"/>
      <x:c r="B27" s="117"/>
      <x:c r="C27" s="117"/>
      <x:c r="D27" s="117"/>
      <x:c r="E27" s="117"/>
      <x:c r="F27" s="117"/>
      <x:c r="G27" s="117"/>
      <x:c r="H27" s="117"/>
      <x:c r="I27" s="117"/>
      <x:c r="J27" s="117"/>
      <x:c r="K27" s="117"/>
      <x:c r="L27" s="117"/>
      <x:c r="M27" s="117"/>
      <x:c r="N27" s="117"/>
      <x:c r="O27" s="117"/>
      <x:c r="P27" s="117"/>
      <x:c r="Q27" s="117"/>
      <x:c r="R27" s="117"/>
      <x:c r="S27" s="117"/>
      <x:c r="T27" s="117"/>
      <x:c r="U27" s="117"/>
      <x:c r="V27" s="117"/>
      <x:c r="W27" s="117"/>
      <x:c r="X27" s="117"/>
      <x:c r="Y27" s="117"/>
      <x:c r="Z27" s="117"/>
    </x:row>
    <x:row r="28">
      <x:c r="A28" s="117"/>
      <x:c r="B28" s="117"/>
      <x:c r="C28" s="117"/>
      <x:c r="D28" s="117"/>
      <x:c r="E28" s="117"/>
      <x:c r="F28" s="117"/>
      <x:c r="G28" s="117"/>
      <x:c r="H28" s="117"/>
      <x:c r="I28" s="117"/>
      <x:c r="J28" s="117"/>
      <x:c r="K28" s="117"/>
      <x:c r="L28" s="117"/>
      <x:c r="M28" s="117"/>
      <x:c r="N28" s="117"/>
      <x:c r="O28" s="117"/>
      <x:c r="P28" s="117"/>
      <x:c r="Q28" s="117"/>
      <x:c r="R28" s="117"/>
      <x:c r="S28" s="117"/>
      <x:c r="T28" s="117"/>
      <x:c r="U28" s="117"/>
      <x:c r="V28" s="117"/>
      <x:c r="W28" s="117"/>
      <x:c r="X28" s="117"/>
      <x:c r="Y28" s="117"/>
      <x:c r="Z28" s="117"/>
    </x:row>
    <x:row r="29">
      <x:c r="A29" s="117"/>
      <x:c r="B29" s="117"/>
      <x:c r="C29" s="117"/>
      <x:c r="D29" s="117"/>
      <x:c r="E29" s="117"/>
      <x:c r="F29" s="117"/>
      <x:c r="G29" s="117"/>
      <x:c r="H29" s="117"/>
      <x:c r="I29" s="117"/>
      <x:c r="J29" s="117"/>
      <x:c r="K29" s="117"/>
      <x:c r="L29" s="117"/>
      <x:c r="M29" s="117"/>
      <x:c r="N29" s="117"/>
      <x:c r="O29" s="117"/>
      <x:c r="P29" s="117"/>
      <x:c r="Q29" s="117"/>
      <x:c r="R29" s="117"/>
      <x:c r="S29" s="117"/>
      <x:c r="T29" s="117"/>
      <x:c r="U29" s="117"/>
      <x:c r="V29" s="117"/>
      <x:c r="W29" s="117"/>
      <x:c r="X29" s="117"/>
      <x:c r="Y29" s="117"/>
      <x:c r="Z29" s="117"/>
    </x:row>
    <x:row r="30">
      <x:c r="A30" s="117"/>
      <x:c r="B30" s="117"/>
      <x:c r="C30" s="117"/>
      <x:c r="D30" s="117"/>
      <x:c r="E30" s="117"/>
      <x:c r="F30" s="117"/>
      <x:c r="G30" s="117"/>
      <x:c r="H30" s="117"/>
      <x:c r="I30" s="117"/>
      <x:c r="J30" s="117"/>
      <x:c r="K30" s="117"/>
      <x:c r="L30" s="117"/>
      <x:c r="M30" s="117"/>
      <x:c r="N30" s="117"/>
      <x:c r="O30" s="117"/>
      <x:c r="P30" s="117"/>
      <x:c r="Q30" s="117"/>
      <x:c r="R30" s="117"/>
      <x:c r="S30" s="117"/>
      <x:c r="T30" s="117"/>
      <x:c r="U30" s="117"/>
      <x:c r="V30" s="117"/>
      <x:c r="W30" s="117"/>
      <x:c r="X30" s="117"/>
      <x:c r="Y30" s="117"/>
      <x:c r="Z30" s="117"/>
    </x:row>
    <x:row r="31">
      <x:c r="A31" s="117"/>
      <x:c r="B31" s="117"/>
      <x:c r="C31" s="117"/>
      <x:c r="D31" s="117"/>
      <x:c r="E31" s="117"/>
      <x:c r="F31" s="117"/>
      <x:c r="G31" s="117"/>
      <x:c r="H31" s="117"/>
      <x:c r="I31" s="117"/>
      <x:c r="J31" s="117"/>
      <x:c r="K31" s="117"/>
      <x:c r="L31" s="117"/>
      <x:c r="M31" s="117"/>
      <x:c r="N31" s="117"/>
      <x:c r="O31" s="117"/>
      <x:c r="P31" s="117"/>
      <x:c r="Q31" s="117"/>
      <x:c r="R31" s="117"/>
      <x:c r="S31" s="117"/>
      <x:c r="T31" s="117"/>
      <x:c r="U31" s="117"/>
      <x:c r="V31" s="117"/>
      <x:c r="W31" s="117"/>
      <x:c r="X31" s="117"/>
      <x:c r="Y31" s="117"/>
      <x:c r="Z31" s="117"/>
    </x:row>
    <x:row r="32">
      <x:c r="A32" s="117"/>
      <x:c r="B32" s="117"/>
      <x:c r="C32" s="117"/>
      <x:c r="D32" s="117"/>
      <x:c r="E32" s="117"/>
      <x:c r="F32" s="117"/>
      <x:c r="G32" s="117"/>
      <x:c r="H32" s="117"/>
      <x:c r="I32" s="117"/>
      <x:c r="J32" s="117"/>
      <x:c r="K32" s="117"/>
      <x:c r="L32" s="117"/>
      <x:c r="M32" s="117"/>
      <x:c r="N32" s="117"/>
      <x:c r="O32" s="117"/>
      <x:c r="P32" s="117"/>
      <x:c r="Q32" s="117"/>
      <x:c r="R32" s="117"/>
      <x:c r="S32" s="117"/>
      <x:c r="T32" s="117"/>
      <x:c r="U32" s="117"/>
      <x:c r="V32" s="117"/>
      <x:c r="W32" s="117"/>
      <x:c r="X32" s="117"/>
      <x:c r="Y32" s="117"/>
      <x:c r="Z32" s="117"/>
    </x:row>
    <x:row r="33">
      <x:c r="A33" s="117"/>
      <x:c r="B33" s="117"/>
      <x:c r="C33" s="117"/>
      <x:c r="D33" s="117"/>
      <x:c r="E33" s="117"/>
      <x:c r="F33" s="117"/>
      <x:c r="G33" s="117"/>
      <x:c r="H33" s="117"/>
      <x:c r="I33" s="117"/>
      <x:c r="J33" s="117"/>
      <x:c r="K33" s="117"/>
      <x:c r="L33" s="117"/>
      <x:c r="M33" s="117"/>
      <x:c r="N33" s="117"/>
      <x:c r="O33" s="117"/>
      <x:c r="P33" s="117"/>
      <x:c r="Q33" s="117"/>
      <x:c r="R33" s="117"/>
      <x:c r="S33" s="117"/>
      <x:c r="T33" s="117"/>
      <x:c r="U33" s="117"/>
      <x:c r="V33" s="117"/>
      <x:c r="W33" s="117"/>
      <x:c r="X33" s="117"/>
      <x:c r="Y33" s="117"/>
      <x:c r="Z33" s="117"/>
    </x:row>
    <x:row r="34">
      <x:c r="A34" s="117"/>
      <x:c r="B34" s="117"/>
      <x:c r="C34" s="117"/>
      <x:c r="D34" s="117"/>
      <x:c r="E34" s="117"/>
      <x:c r="F34" s="117"/>
      <x:c r="G34" s="117"/>
      <x:c r="H34" s="117"/>
      <x:c r="I34" s="117"/>
      <x:c r="J34" s="117"/>
      <x:c r="K34" s="117"/>
      <x:c r="L34" s="117"/>
      <x:c r="M34" s="117"/>
      <x:c r="N34" s="117"/>
      <x:c r="O34" s="117"/>
      <x:c r="P34" s="117"/>
      <x:c r="Q34" s="117"/>
      <x:c r="R34" s="117"/>
      <x:c r="S34" s="117"/>
      <x:c r="T34" s="117"/>
      <x:c r="U34" s="117"/>
      <x:c r="V34" s="117"/>
      <x:c r="W34" s="117"/>
      <x:c r="X34" s="117"/>
      <x:c r="Y34" s="117"/>
      <x:c r="Z34" s="117"/>
    </x:row>
    <x:row r="35">
      <x:c r="A35" s="117"/>
      <x:c r="B35" s="117"/>
      <x:c r="C35" s="117"/>
      <x:c r="D35" s="117"/>
      <x:c r="E35" s="117"/>
      <x:c r="F35" s="117"/>
      <x:c r="G35" s="117"/>
      <x:c r="H35" s="117"/>
      <x:c r="I35" s="117"/>
      <x:c r="J35" s="117"/>
      <x:c r="K35" s="117"/>
      <x:c r="L35" s="117"/>
      <x:c r="M35" s="117"/>
      <x:c r="N35" s="117"/>
      <x:c r="O35" s="117"/>
      <x:c r="P35" s="117"/>
      <x:c r="Q35" s="117"/>
      <x:c r="R35" s="117"/>
      <x:c r="S35" s="117"/>
      <x:c r="T35" s="117"/>
      <x:c r="U35" s="117"/>
      <x:c r="V35" s="117"/>
      <x:c r="W35" s="117"/>
      <x:c r="X35" s="117"/>
      <x:c r="Y35" s="117"/>
      <x:c r="Z35" s="117"/>
    </x:row>
    <x:row r="36">
      <x:c r="A36" s="117"/>
      <x:c r="B36" s="117"/>
      <x:c r="C36" s="117"/>
      <x:c r="D36" s="117"/>
      <x:c r="E36" s="117"/>
      <x:c r="F36" s="117"/>
      <x:c r="G36" s="117"/>
      <x:c r="H36" s="117"/>
      <x:c r="I36" s="117"/>
      <x:c r="J36" s="117"/>
      <x:c r="K36" s="117"/>
      <x:c r="L36" s="117"/>
      <x:c r="M36" s="117"/>
      <x:c r="N36" s="117"/>
      <x:c r="O36" s="117"/>
      <x:c r="P36" s="117"/>
      <x:c r="Q36" s="117"/>
      <x:c r="R36" s="117"/>
      <x:c r="S36" s="117"/>
      <x:c r="T36" s="117"/>
      <x:c r="U36" s="117"/>
      <x:c r="V36" s="117"/>
      <x:c r="W36" s="117"/>
      <x:c r="X36" s="117"/>
      <x:c r="Y36" s="117"/>
      <x:c r="Z36" s="117"/>
    </x:row>
    <x:row r="37">
      <x:c r="A37" s="117"/>
      <x:c r="B37" s="117"/>
      <x:c r="C37" s="117"/>
      <x:c r="D37" s="117"/>
      <x:c r="E37" s="117"/>
      <x:c r="F37" s="117"/>
      <x:c r="G37" s="117"/>
      <x:c r="H37" s="117"/>
      <x:c r="I37" s="117"/>
      <x:c r="J37" s="117"/>
      <x:c r="K37" s="117"/>
      <x:c r="L37" s="117"/>
      <x:c r="M37" s="117"/>
      <x:c r="N37" s="117"/>
      <x:c r="O37" s="117"/>
      <x:c r="P37" s="117"/>
      <x:c r="Q37" s="117"/>
      <x:c r="R37" s="117"/>
      <x:c r="S37" s="117"/>
      <x:c r="T37" s="117"/>
      <x:c r="U37" s="117"/>
      <x:c r="V37" s="117"/>
      <x:c r="W37" s="117"/>
      <x:c r="X37" s="117"/>
      <x:c r="Y37" s="117"/>
      <x:c r="Z37" s="117"/>
    </x:row>
    <x:row r="38">
      <x:c r="A38" s="117"/>
      <x:c r="B38" s="117"/>
      <x:c r="C38" s="117"/>
      <x:c r="D38" s="117"/>
      <x:c r="E38" s="117"/>
      <x:c r="F38" s="117"/>
      <x:c r="G38" s="117"/>
      <x:c r="H38" s="117"/>
      <x:c r="I38" s="117"/>
      <x:c r="J38" s="117"/>
      <x:c r="K38" s="117"/>
      <x:c r="L38" s="117"/>
      <x:c r="M38" s="117"/>
      <x:c r="N38" s="117"/>
      <x:c r="O38" s="117"/>
      <x:c r="P38" s="117"/>
      <x:c r="Q38" s="117"/>
      <x:c r="R38" s="117"/>
      <x:c r="S38" s="117"/>
      <x:c r="T38" s="117"/>
      <x:c r="U38" s="117"/>
      <x:c r="V38" s="117"/>
      <x:c r="W38" s="117"/>
      <x:c r="X38" s="117"/>
      <x:c r="Y38" s="117"/>
      <x:c r="Z38" s="117"/>
    </x:row>
    <x:row r="39">
      <x:c r="A39" s="117"/>
      <x:c r="B39" s="117"/>
      <x:c r="C39" s="117"/>
      <x:c r="D39" s="117"/>
      <x:c r="E39" s="117"/>
      <x:c r="F39" s="117"/>
      <x:c r="G39" s="117"/>
      <x:c r="H39" s="117"/>
      <x:c r="I39" s="117"/>
      <x:c r="J39" s="117"/>
      <x:c r="K39" s="117"/>
      <x:c r="L39" s="117"/>
      <x:c r="M39" s="117"/>
      <x:c r="N39" s="117"/>
      <x:c r="O39" s="117"/>
      <x:c r="P39" s="117"/>
      <x:c r="Q39" s="117"/>
      <x:c r="R39" s="117"/>
      <x:c r="S39" s="117"/>
      <x:c r="T39" s="117"/>
      <x:c r="U39" s="117"/>
      <x:c r="V39" s="117"/>
      <x:c r="W39" s="117"/>
      <x:c r="X39" s="117"/>
      <x:c r="Y39" s="117"/>
      <x:c r="Z39" s="117"/>
    </x:row>
    <x:row r="40">
      <x:c r="A40" s="117"/>
      <x:c r="B40" s="117"/>
      <x:c r="C40" s="117"/>
      <x:c r="D40" s="117"/>
      <x:c r="E40" s="117"/>
      <x:c r="F40" s="117"/>
      <x:c r="G40" s="117"/>
      <x:c r="H40" s="117"/>
      <x:c r="I40" s="117"/>
      <x:c r="J40" s="117"/>
      <x:c r="K40" s="117"/>
      <x:c r="L40" s="117"/>
      <x:c r="M40" s="117"/>
      <x:c r="N40" s="117"/>
      <x:c r="O40" s="117"/>
      <x:c r="P40" s="117"/>
      <x:c r="Q40" s="117"/>
      <x:c r="R40" s="117"/>
      <x:c r="S40" s="117"/>
      <x:c r="T40" s="117"/>
      <x:c r="U40" s="117"/>
      <x:c r="V40" s="117"/>
      <x:c r="W40" s="117"/>
      <x:c r="X40" s="117"/>
      <x:c r="Y40" s="117"/>
      <x:c r="Z40" s="117"/>
    </x:row>
    <x:row r="41">
      <x:c r="A41" s="117"/>
      <x:c r="B41" s="117"/>
      <x:c r="C41" s="117"/>
      <x:c r="D41" s="117"/>
      <x:c r="E41" s="117"/>
      <x:c r="F41" s="117"/>
      <x:c r="G41" s="117"/>
      <x:c r="H41" s="117"/>
      <x:c r="I41" s="117"/>
      <x:c r="J41" s="117"/>
      <x:c r="K41" s="117"/>
      <x:c r="L41" s="117"/>
      <x:c r="M41" s="117"/>
      <x:c r="N41" s="117"/>
      <x:c r="O41" s="117"/>
      <x:c r="P41" s="117"/>
      <x:c r="Q41" s="117"/>
      <x:c r="R41" s="117"/>
      <x:c r="S41" s="117"/>
      <x:c r="T41" s="117"/>
      <x:c r="U41" s="117"/>
      <x:c r="V41" s="117"/>
      <x:c r="W41" s="117"/>
      <x:c r="X41" s="117"/>
      <x:c r="Y41" s="117"/>
      <x:c r="Z41" s="117"/>
    </x:row>
    <x:row r="42">
      <x:c r="A42" s="117"/>
      <x:c r="B42" s="117"/>
      <x:c r="C42" s="117"/>
      <x:c r="D42" s="117"/>
      <x:c r="E42" s="117"/>
      <x:c r="F42" s="117"/>
      <x:c r="G42" s="117"/>
      <x:c r="H42" s="117"/>
      <x:c r="I42" s="117"/>
      <x:c r="J42" s="117"/>
      <x:c r="K42" s="117"/>
      <x:c r="L42" s="117"/>
      <x:c r="M42" s="117"/>
      <x:c r="N42" s="117"/>
      <x:c r="O42" s="117"/>
      <x:c r="P42" s="117"/>
      <x:c r="Q42" s="117"/>
      <x:c r="R42" s="117"/>
      <x:c r="S42" s="117"/>
      <x:c r="T42" s="117"/>
      <x:c r="U42" s="117"/>
      <x:c r="V42" s="117"/>
      <x:c r="W42" s="117"/>
      <x:c r="X42" s="117"/>
      <x:c r="Y42" s="117"/>
      <x:c r="Z42" s="117"/>
    </x:row>
    <x:row r="43">
      <x:c r="A43" s="117"/>
      <x:c r="B43" s="117"/>
      <x:c r="C43" s="117"/>
      <x:c r="D43" s="117"/>
      <x:c r="E43" s="117"/>
      <x:c r="F43" s="117"/>
      <x:c r="G43" s="117"/>
      <x:c r="H43" s="117"/>
      <x:c r="I43" s="117"/>
      <x:c r="J43" s="117"/>
      <x:c r="K43" s="117"/>
      <x:c r="L43" s="117"/>
      <x:c r="M43" s="117"/>
      <x:c r="N43" s="117"/>
      <x:c r="O43" s="117"/>
      <x:c r="P43" s="117"/>
      <x:c r="Q43" s="117"/>
      <x:c r="R43" s="117"/>
      <x:c r="S43" s="117"/>
      <x:c r="T43" s="117"/>
      <x:c r="U43" s="117"/>
      <x:c r="V43" s="117"/>
      <x:c r="W43" s="117"/>
      <x:c r="X43" s="117"/>
      <x:c r="Y43" s="117"/>
      <x:c r="Z43" s="117"/>
    </x:row>
    <x:row r="44">
      <x:c r="A44" s="117"/>
      <x:c r="B44" s="117"/>
      <x:c r="C44" s="117"/>
      <x:c r="D44" s="117"/>
      <x:c r="E44" s="117"/>
      <x:c r="F44" s="117"/>
      <x:c r="G44" s="117"/>
      <x:c r="H44" s="117"/>
      <x:c r="I44" s="117"/>
      <x:c r="J44" s="117"/>
      <x:c r="K44" s="117"/>
      <x:c r="L44" s="117"/>
      <x:c r="M44" s="117"/>
      <x:c r="N44" s="117"/>
      <x:c r="O44" s="117"/>
      <x:c r="P44" s="117"/>
      <x:c r="Q44" s="117"/>
      <x:c r="R44" s="117"/>
      <x:c r="S44" s="117"/>
      <x:c r="T44" s="117"/>
      <x:c r="U44" s="117"/>
      <x:c r="V44" s="117"/>
      <x:c r="W44" s="117"/>
      <x:c r="X44" s="117"/>
      <x:c r="Y44" s="117"/>
      <x:c r="Z44" s="117"/>
    </x:row>
    <x:row r="45">
      <x:c r="A45" s="117"/>
      <x:c r="B45" s="117"/>
      <x:c r="C45" s="117"/>
      <x:c r="D45" s="117"/>
      <x:c r="E45" s="117"/>
      <x:c r="F45" s="117"/>
      <x:c r="G45" s="117"/>
      <x:c r="H45" s="117"/>
      <x:c r="I45" s="117"/>
      <x:c r="J45" s="117"/>
      <x:c r="K45" s="117"/>
      <x:c r="L45" s="117"/>
      <x:c r="M45" s="117"/>
      <x:c r="N45" s="117"/>
      <x:c r="O45" s="117"/>
      <x:c r="P45" s="117"/>
      <x:c r="Q45" s="117"/>
      <x:c r="R45" s="117"/>
      <x:c r="S45" s="117"/>
      <x:c r="T45" s="117"/>
      <x:c r="U45" s="117"/>
      <x:c r="V45" s="117"/>
      <x:c r="W45" s="117"/>
      <x:c r="X45" s="117"/>
      <x:c r="Y45" s="117"/>
      <x:c r="Z45" s="117"/>
    </x:row>
    <x:row r="46">
      <x:c r="A46" s="117"/>
      <x:c r="B46" s="117"/>
      <x:c r="C46" s="117"/>
      <x:c r="D46" s="117"/>
      <x:c r="E46" s="117"/>
      <x:c r="F46" s="117"/>
      <x:c r="G46" s="117"/>
      <x:c r="H46" s="117"/>
      <x:c r="I46" s="117"/>
      <x:c r="J46" s="117"/>
      <x:c r="K46" s="117"/>
      <x:c r="L46" s="117"/>
      <x:c r="M46" s="117"/>
      <x:c r="N46" s="117"/>
      <x:c r="O46" s="117"/>
      <x:c r="P46" s="117"/>
      <x:c r="Q46" s="117"/>
      <x:c r="R46" s="117"/>
      <x:c r="S46" s="117"/>
      <x:c r="T46" s="117"/>
      <x:c r="U46" s="117"/>
      <x:c r="V46" s="117"/>
      <x:c r="W46" s="117"/>
      <x:c r="X46" s="117"/>
      <x:c r="Y46" s="117"/>
      <x:c r="Z46" s="117"/>
    </x:row>
    <x:row r="47">
      <x:c r="A47" s="117"/>
      <x:c r="B47" s="117"/>
      <x:c r="C47" s="117"/>
      <x:c r="D47" s="117"/>
      <x:c r="E47" s="117"/>
      <x:c r="F47" s="117"/>
      <x:c r="G47" s="117"/>
      <x:c r="H47" s="117"/>
      <x:c r="I47" s="117"/>
      <x:c r="J47" s="117"/>
      <x:c r="K47" s="117"/>
      <x:c r="L47" s="117"/>
      <x:c r="M47" s="117"/>
      <x:c r="N47" s="117"/>
      <x:c r="O47" s="117"/>
      <x:c r="P47" s="117"/>
      <x:c r="Q47" s="117"/>
      <x:c r="R47" s="117"/>
      <x:c r="S47" s="117"/>
      <x:c r="T47" s="117"/>
      <x:c r="U47" s="117"/>
      <x:c r="V47" s="117"/>
      <x:c r="W47" s="117"/>
      <x:c r="X47" s="117"/>
      <x:c r="Y47" s="117"/>
      <x:c r="Z47" s="117"/>
    </x:row>
    <x:row r="48">
      <x:c r="A48" s="117"/>
      <x:c r="B48" s="117"/>
      <x:c r="C48" s="117"/>
      <x:c r="D48" s="117"/>
      <x:c r="E48" s="117"/>
      <x:c r="F48" s="117"/>
      <x:c r="G48" s="117"/>
      <x:c r="H48" s="117"/>
      <x:c r="I48" s="117"/>
      <x:c r="J48" s="117"/>
      <x:c r="K48" s="117"/>
      <x:c r="L48" s="117"/>
      <x:c r="M48" s="117"/>
      <x:c r="N48" s="117"/>
      <x:c r="O48" s="117"/>
      <x:c r="P48" s="117"/>
      <x:c r="Q48" s="117"/>
      <x:c r="R48" s="117"/>
      <x:c r="S48" s="117"/>
      <x:c r="T48" s="117"/>
      <x:c r="U48" s="117"/>
      <x:c r="V48" s="117"/>
      <x:c r="W48" s="117"/>
      <x:c r="X48" s="117"/>
      <x:c r="Y48" s="117"/>
      <x:c r="Z48" s="117"/>
    </x:row>
    <x:row r="49">
      <x:c r="A49" s="117"/>
      <x:c r="B49" s="117"/>
      <x:c r="C49" s="117"/>
      <x:c r="D49" s="117"/>
      <x:c r="E49" s="117"/>
      <x:c r="F49" s="117"/>
      <x:c r="G49" s="117"/>
      <x:c r="H49" s="117"/>
      <x:c r="I49" s="117"/>
      <x:c r="J49" s="117"/>
      <x:c r="K49" s="117"/>
      <x:c r="L49" s="117"/>
      <x:c r="M49" s="117"/>
      <x:c r="N49" s="117"/>
      <x:c r="O49" s="117"/>
      <x:c r="P49" s="117"/>
      <x:c r="Q49" s="117"/>
      <x:c r="R49" s="117"/>
      <x:c r="S49" s="117"/>
      <x:c r="T49" s="117"/>
      <x:c r="U49" s="117"/>
      <x:c r="V49" s="117"/>
      <x:c r="W49" s="117"/>
      <x:c r="X49" s="117"/>
      <x:c r="Y49" s="117"/>
      <x:c r="Z49" s="117"/>
    </x:row>
    <x:row r="50">
      <x:c r="A50" s="117"/>
      <x:c r="B50" s="117"/>
      <x:c r="C50" s="117"/>
      <x:c r="D50" s="117"/>
      <x:c r="E50" s="117"/>
      <x:c r="F50" s="117"/>
      <x:c r="G50" s="117"/>
      <x:c r="H50" s="117"/>
      <x:c r="I50" s="117"/>
      <x:c r="J50" s="117"/>
      <x:c r="K50" s="117"/>
      <x:c r="L50" s="117"/>
      <x:c r="M50" s="117"/>
      <x:c r="N50" s="117"/>
      <x:c r="O50" s="117"/>
      <x:c r="P50" s="117"/>
      <x:c r="Q50" s="117"/>
      <x:c r="R50" s="117"/>
      <x:c r="S50" s="117"/>
      <x:c r="T50" s="117"/>
      <x:c r="U50" s="117"/>
      <x:c r="V50" s="117"/>
      <x:c r="W50" s="117"/>
      <x:c r="X50" s="117"/>
      <x:c r="Y50" s="117"/>
      <x:c r="Z50" s="117"/>
    </x:row>
    <x:row r="51">
      <x:c r="A51" s="117"/>
      <x:c r="B51" s="117"/>
      <x:c r="C51" s="117"/>
      <x:c r="D51" s="117"/>
      <x:c r="E51" s="117"/>
      <x:c r="F51" s="117"/>
      <x:c r="G51" s="117"/>
      <x:c r="H51" s="117"/>
      <x:c r="I51" s="117"/>
      <x:c r="J51" s="117"/>
      <x:c r="K51" s="117"/>
      <x:c r="L51" s="117"/>
      <x:c r="M51" s="117"/>
      <x:c r="N51" s="117"/>
      <x:c r="O51" s="117"/>
      <x:c r="P51" s="117"/>
      <x:c r="Q51" s="117"/>
      <x:c r="R51" s="117"/>
      <x:c r="S51" s="117"/>
      <x:c r="T51" s="117"/>
      <x:c r="U51" s="117"/>
      <x:c r="V51" s="117"/>
      <x:c r="W51" s="117"/>
      <x:c r="X51" s="117"/>
      <x:c r="Y51" s="117"/>
      <x:c r="Z51" s="117"/>
    </x:row>
    <x:row r="52">
      <x:c r="A52" s="117"/>
      <x:c r="B52" s="117"/>
      <x:c r="C52" s="117"/>
      <x:c r="D52" s="117"/>
      <x:c r="E52" s="117"/>
      <x:c r="F52" s="117"/>
      <x:c r="G52" s="117"/>
      <x:c r="H52" s="117"/>
      <x:c r="I52" s="117"/>
      <x:c r="J52" s="117"/>
      <x:c r="K52" s="117"/>
      <x:c r="L52" s="117"/>
      <x:c r="M52" s="117"/>
      <x:c r="N52" s="117"/>
      <x:c r="O52" s="117"/>
      <x:c r="P52" s="117"/>
      <x:c r="Q52" s="117"/>
      <x:c r="R52" s="117"/>
      <x:c r="S52" s="117"/>
      <x:c r="T52" s="117"/>
      <x:c r="U52" s="117"/>
      <x:c r="V52" s="117"/>
      <x:c r="W52" s="117"/>
      <x:c r="X52" s="117"/>
      <x:c r="Y52" s="117"/>
      <x:c r="Z52" s="117"/>
    </x:row>
    <x:row r="53">
      <x:c r="A53" s="117"/>
      <x:c r="B53" s="117"/>
      <x:c r="C53" s="117"/>
      <x:c r="D53" s="117"/>
      <x:c r="E53" s="117"/>
      <x:c r="F53" s="117"/>
      <x:c r="G53" s="117"/>
      <x:c r="H53" s="117"/>
      <x:c r="I53" s="117"/>
      <x:c r="J53" s="117"/>
      <x:c r="K53" s="117"/>
      <x:c r="L53" s="117"/>
      <x:c r="M53" s="117"/>
      <x:c r="N53" s="117"/>
      <x:c r="O53" s="117"/>
      <x:c r="P53" s="117"/>
      <x:c r="Q53" s="117"/>
      <x:c r="R53" s="117"/>
      <x:c r="S53" s="117"/>
      <x:c r="T53" s="117"/>
      <x:c r="U53" s="117"/>
      <x:c r="V53" s="117"/>
      <x:c r="W53" s="117"/>
      <x:c r="X53" s="117"/>
      <x:c r="Y53" s="117"/>
      <x:c r="Z53" s="117"/>
    </x:row>
    <x:row r="54">
      <x:c r="A54" s="117"/>
      <x:c r="B54" s="117"/>
      <x:c r="C54" s="117"/>
      <x:c r="D54" s="117"/>
      <x:c r="E54" s="117"/>
      <x:c r="F54" s="117"/>
      <x:c r="G54" s="117"/>
      <x:c r="H54" s="117"/>
      <x:c r="I54" s="117"/>
      <x:c r="J54" s="117"/>
      <x:c r="K54" s="117"/>
      <x:c r="L54" s="117"/>
      <x:c r="M54" s="117"/>
      <x:c r="N54" s="117"/>
      <x:c r="O54" s="117"/>
      <x:c r="P54" s="117"/>
      <x:c r="Q54" s="117"/>
      <x:c r="R54" s="117"/>
      <x:c r="S54" s="117"/>
      <x:c r="T54" s="117"/>
      <x:c r="U54" s="117"/>
      <x:c r="V54" s="117"/>
      <x:c r="W54" s="117"/>
      <x:c r="X54" s="117"/>
      <x:c r="Y54" s="117"/>
      <x:c r="Z54" s="117"/>
    </x:row>
    <x:row r="55">
      <x:c r="A55" s="117"/>
      <x:c r="B55" s="117"/>
      <x:c r="C55" s="117"/>
      <x:c r="D55" s="117"/>
      <x:c r="E55" s="117"/>
      <x:c r="F55" s="117"/>
      <x:c r="G55" s="117"/>
      <x:c r="H55" s="117"/>
      <x:c r="I55" s="117"/>
      <x:c r="J55" s="117"/>
      <x:c r="K55" s="117"/>
      <x:c r="L55" s="117"/>
      <x:c r="M55" s="117"/>
      <x:c r="N55" s="117"/>
      <x:c r="O55" s="117"/>
      <x:c r="P55" s="117"/>
      <x:c r="Q55" s="117"/>
      <x:c r="R55" s="117"/>
      <x:c r="S55" s="117"/>
      <x:c r="T55" s="117"/>
      <x:c r="U55" s="117"/>
      <x:c r="V55" s="117"/>
      <x:c r="W55" s="117"/>
      <x:c r="X55" s="117"/>
      <x:c r="Y55" s="117"/>
      <x:c r="Z55" s="117"/>
    </x:row>
    <x:row r="56">
      <x:c r="A56" s="117"/>
      <x:c r="B56" s="117"/>
      <x:c r="C56" s="117"/>
      <x:c r="D56" s="117"/>
      <x:c r="E56" s="117"/>
      <x:c r="F56" s="117"/>
      <x:c r="G56" s="117"/>
      <x:c r="H56" s="117"/>
      <x:c r="I56" s="117"/>
      <x:c r="J56" s="117"/>
      <x:c r="K56" s="117"/>
      <x:c r="L56" s="117"/>
      <x:c r="M56" s="117"/>
      <x:c r="N56" s="117"/>
      <x:c r="O56" s="117"/>
      <x:c r="P56" s="117"/>
      <x:c r="Q56" s="117"/>
      <x:c r="R56" s="117"/>
      <x:c r="S56" s="117"/>
      <x:c r="T56" s="117"/>
      <x:c r="U56" s="117"/>
      <x:c r="V56" s="117"/>
      <x:c r="W56" s="117"/>
      <x:c r="X56" s="117"/>
      <x:c r="Y56" s="117"/>
      <x:c r="Z56" s="117"/>
    </x:row>
    <x:row r="57">
      <x:c r="A57" s="117"/>
      <x:c r="B57" s="117"/>
      <x:c r="C57" s="117"/>
      <x:c r="D57" s="117"/>
      <x:c r="E57" s="117"/>
      <x:c r="F57" s="117"/>
      <x:c r="G57" s="117"/>
      <x:c r="H57" s="117"/>
      <x:c r="I57" s="117"/>
      <x:c r="J57" s="117"/>
      <x:c r="K57" s="117"/>
      <x:c r="L57" s="117"/>
      <x:c r="M57" s="117"/>
      <x:c r="N57" s="117"/>
      <x:c r="O57" s="117"/>
      <x:c r="P57" s="117"/>
      <x:c r="Q57" s="117"/>
      <x:c r="R57" s="117"/>
      <x:c r="S57" s="117"/>
      <x:c r="T57" s="117"/>
      <x:c r="U57" s="117"/>
      <x:c r="V57" s="117"/>
      <x:c r="W57" s="117"/>
      <x:c r="X57" s="117"/>
      <x:c r="Y57" s="117"/>
      <x:c r="Z57" s="117"/>
    </x:row>
    <x:row r="58">
      <x:c r="A58" s="117"/>
      <x:c r="B58" s="117"/>
      <x:c r="C58" s="117"/>
      <x:c r="D58" s="117"/>
      <x:c r="E58" s="117"/>
      <x:c r="F58" s="117"/>
      <x:c r="G58" s="117"/>
      <x:c r="H58" s="117"/>
      <x:c r="I58" s="117"/>
      <x:c r="J58" s="117"/>
      <x:c r="K58" s="117"/>
      <x:c r="L58" s="117"/>
      <x:c r="M58" s="117"/>
      <x:c r="N58" s="117"/>
      <x:c r="O58" s="117"/>
      <x:c r="P58" s="117"/>
      <x:c r="Q58" s="117"/>
      <x:c r="R58" s="117"/>
      <x:c r="S58" s="117"/>
      <x:c r="T58" s="117"/>
      <x:c r="U58" s="117"/>
      <x:c r="V58" s="117"/>
      <x:c r="W58" s="117"/>
      <x:c r="X58" s="117"/>
      <x:c r="Y58" s="117"/>
      <x:c r="Z58" s="117"/>
    </x:row>
    <x:row r="59">
      <x:c r="A59" s="117"/>
      <x:c r="B59" s="117"/>
      <x:c r="C59" s="117"/>
      <x:c r="D59" s="117"/>
      <x:c r="E59" s="117"/>
      <x:c r="F59" s="117"/>
      <x:c r="G59" s="117"/>
      <x:c r="H59" s="117"/>
      <x:c r="I59" s="117"/>
      <x:c r="J59" s="117"/>
      <x:c r="K59" s="117"/>
      <x:c r="L59" s="117"/>
      <x:c r="M59" s="117"/>
      <x:c r="N59" s="117"/>
      <x:c r="O59" s="117"/>
      <x:c r="P59" s="117"/>
      <x:c r="Q59" s="117"/>
      <x:c r="R59" s="117"/>
      <x:c r="S59" s="117"/>
      <x:c r="T59" s="117"/>
      <x:c r="U59" s="117"/>
      <x:c r="V59" s="117"/>
      <x:c r="W59" s="117"/>
      <x:c r="X59" s="117"/>
      <x:c r="Y59" s="117"/>
      <x:c r="Z59" s="117"/>
    </x:row>
    <x:row r="60">
      <x:c r="A60" s="117"/>
      <x:c r="B60" s="117"/>
      <x:c r="C60" s="117"/>
      <x:c r="D60" s="117"/>
      <x:c r="E60" s="117"/>
      <x:c r="F60" s="117"/>
      <x:c r="G60" s="117"/>
      <x:c r="H60" s="117"/>
      <x:c r="I60" s="117"/>
      <x:c r="J60" s="117"/>
      <x:c r="K60" s="117"/>
      <x:c r="L60" s="117"/>
      <x:c r="M60" s="117"/>
      <x:c r="N60" s="117"/>
      <x:c r="O60" s="117"/>
      <x:c r="P60" s="117"/>
      <x:c r="Q60" s="117"/>
      <x:c r="R60" s="117"/>
      <x:c r="S60" s="117"/>
      <x:c r="T60" s="117"/>
      <x:c r="U60" s="117"/>
      <x:c r="V60" s="117"/>
      <x:c r="W60" s="117"/>
      <x:c r="X60" s="117"/>
      <x:c r="Y60" s="117"/>
      <x:c r="Z60" s="117"/>
    </x:row>
    <x:row r="61">
      <x:c r="A61" s="117"/>
      <x:c r="B61" s="117"/>
      <x:c r="C61" s="117"/>
      <x:c r="D61" s="117"/>
      <x:c r="E61" s="117"/>
      <x:c r="F61" s="117"/>
      <x:c r="G61" s="117"/>
      <x:c r="H61" s="117"/>
      <x:c r="I61" s="117"/>
      <x:c r="J61" s="117"/>
      <x:c r="K61" s="117"/>
      <x:c r="L61" s="117"/>
      <x:c r="M61" s="117"/>
      <x:c r="N61" s="117"/>
      <x:c r="O61" s="117"/>
      <x:c r="P61" s="117"/>
      <x:c r="Q61" s="117"/>
      <x:c r="R61" s="117"/>
      <x:c r="S61" s="117"/>
      <x:c r="T61" s="117"/>
      <x:c r="U61" s="117"/>
      <x:c r="V61" s="117"/>
      <x:c r="W61" s="117"/>
      <x:c r="X61" s="117"/>
      <x:c r="Y61" s="117"/>
      <x:c r="Z61" s="117"/>
    </x:row>
    <x:row r="62">
      <x:c r="A62" s="117"/>
      <x:c r="B62" s="117"/>
      <x:c r="C62" s="117"/>
      <x:c r="D62" s="117"/>
      <x:c r="E62" s="117"/>
      <x:c r="F62" s="117"/>
      <x:c r="G62" s="117"/>
      <x:c r="H62" s="117"/>
      <x:c r="I62" s="117"/>
      <x:c r="J62" s="117"/>
      <x:c r="K62" s="117"/>
      <x:c r="L62" s="117"/>
      <x:c r="M62" s="117"/>
      <x:c r="N62" s="117"/>
      <x:c r="O62" s="117"/>
      <x:c r="P62" s="117"/>
      <x:c r="Q62" s="117"/>
      <x:c r="R62" s="117"/>
      <x:c r="S62" s="117"/>
      <x:c r="T62" s="117"/>
      <x:c r="U62" s="117"/>
      <x:c r="V62" s="117"/>
      <x:c r="W62" s="117"/>
      <x:c r="X62" s="117"/>
      <x:c r="Y62" s="117"/>
      <x:c r="Z62" s="117"/>
    </x:row>
    <x:row r="63">
      <x:c r="A63" s="117"/>
      <x:c r="B63" s="117"/>
      <x:c r="C63" s="117"/>
      <x:c r="D63" s="117"/>
      <x:c r="E63" s="117"/>
      <x:c r="F63" s="117"/>
      <x:c r="G63" s="117"/>
      <x:c r="H63" s="117"/>
      <x:c r="I63" s="117"/>
      <x:c r="J63" s="117"/>
      <x:c r="K63" s="117"/>
      <x:c r="L63" s="117"/>
      <x:c r="M63" s="117"/>
      <x:c r="N63" s="117"/>
      <x:c r="O63" s="117"/>
      <x:c r="P63" s="117"/>
      <x:c r="Q63" s="117"/>
      <x:c r="R63" s="117"/>
      <x:c r="S63" s="117"/>
      <x:c r="T63" s="117"/>
      <x:c r="U63" s="117"/>
      <x:c r="V63" s="117"/>
      <x:c r="W63" s="117"/>
      <x:c r="X63" s="117"/>
      <x:c r="Y63" s="117"/>
      <x:c r="Z63" s="117"/>
    </x:row>
    <x:row r="64">
      <x:c r="A64" s="117"/>
      <x:c r="B64" s="117"/>
      <x:c r="C64" s="117"/>
      <x:c r="D64" s="117"/>
      <x:c r="E64" s="117"/>
      <x:c r="F64" s="117"/>
      <x:c r="G64" s="117"/>
      <x:c r="H64" s="117"/>
      <x:c r="I64" s="117"/>
      <x:c r="J64" s="117"/>
      <x:c r="K64" s="117"/>
      <x:c r="L64" s="117"/>
      <x:c r="M64" s="117"/>
      <x:c r="N64" s="117"/>
      <x:c r="O64" s="117"/>
      <x:c r="P64" s="117"/>
      <x:c r="Q64" s="117"/>
      <x:c r="R64" s="117"/>
      <x:c r="S64" s="117"/>
      <x:c r="T64" s="117"/>
      <x:c r="U64" s="117"/>
      <x:c r="V64" s="117"/>
      <x:c r="W64" s="117"/>
      <x:c r="X64" s="117"/>
      <x:c r="Y64" s="117"/>
      <x:c r="Z64" s="117"/>
    </x:row>
    <x:row r="65">
      <x:c r="A65" s="117"/>
      <x:c r="B65" s="117"/>
      <x:c r="C65" s="117"/>
      <x:c r="D65" s="117"/>
      <x:c r="E65" s="117"/>
      <x:c r="F65" s="117"/>
      <x:c r="G65" s="117"/>
      <x:c r="H65" s="117"/>
      <x:c r="I65" s="117"/>
      <x:c r="J65" s="117"/>
      <x:c r="K65" s="117"/>
      <x:c r="L65" s="117"/>
      <x:c r="M65" s="117"/>
      <x:c r="N65" s="117"/>
      <x:c r="O65" s="117"/>
      <x:c r="P65" s="117"/>
      <x:c r="Q65" s="117"/>
      <x:c r="R65" s="117"/>
      <x:c r="S65" s="117"/>
      <x:c r="T65" s="117"/>
      <x:c r="U65" s="117"/>
      <x:c r="V65" s="117"/>
      <x:c r="W65" s="117"/>
      <x:c r="X65" s="117"/>
      <x:c r="Y65" s="117"/>
      <x:c r="Z65" s="117"/>
    </x:row>
    <x:row r="66">
      <x:c r="A66" s="117"/>
      <x:c r="B66" s="117"/>
      <x:c r="C66" s="117"/>
      <x:c r="D66" s="117"/>
      <x:c r="E66" s="117"/>
      <x:c r="F66" s="117"/>
      <x:c r="G66" s="117"/>
      <x:c r="H66" s="117"/>
      <x:c r="I66" s="117"/>
      <x:c r="J66" s="117"/>
      <x:c r="K66" s="117"/>
      <x:c r="L66" s="117"/>
      <x:c r="M66" s="117"/>
      <x:c r="N66" s="117"/>
      <x:c r="O66" s="117"/>
      <x:c r="P66" s="117"/>
      <x:c r="Q66" s="117"/>
      <x:c r="R66" s="117"/>
      <x:c r="S66" s="117"/>
      <x:c r="T66" s="117"/>
      <x:c r="U66" s="117"/>
      <x:c r="V66" s="117"/>
      <x:c r="W66" s="117"/>
      <x:c r="X66" s="117"/>
      <x:c r="Y66" s="117"/>
      <x:c r="Z66" s="117"/>
    </x:row>
    <x:row r="67">
      <x:c r="A67" s="117"/>
      <x:c r="B67" s="117"/>
      <x:c r="C67" s="117"/>
      <x:c r="D67" s="117"/>
      <x:c r="E67" s="117"/>
      <x:c r="F67" s="117"/>
      <x:c r="G67" s="117"/>
      <x:c r="H67" s="117"/>
      <x:c r="I67" s="117"/>
      <x:c r="J67" s="117"/>
      <x:c r="K67" s="117"/>
      <x:c r="L67" s="117"/>
      <x:c r="M67" s="117"/>
      <x:c r="N67" s="117"/>
      <x:c r="O67" s="117"/>
      <x:c r="P67" s="117"/>
      <x:c r="Q67" s="117"/>
      <x:c r="R67" s="117"/>
      <x:c r="S67" s="117"/>
      <x:c r="T67" s="117"/>
      <x:c r="U67" s="117"/>
      <x:c r="V67" s="117"/>
      <x:c r="W67" s="117"/>
      <x:c r="X67" s="117"/>
      <x:c r="Y67" s="117"/>
      <x:c r="Z67" s="117"/>
    </x:row>
    <x:row r="68">
      <x:c r="A68" s="117"/>
      <x:c r="B68" s="117"/>
      <x:c r="C68" s="117"/>
      <x:c r="D68" s="117"/>
      <x:c r="E68" s="117"/>
      <x:c r="F68" s="117"/>
      <x:c r="G68" s="117"/>
      <x:c r="H68" s="117"/>
      <x:c r="I68" s="117"/>
      <x:c r="J68" s="117"/>
      <x:c r="K68" s="117"/>
      <x:c r="L68" s="117"/>
      <x:c r="M68" s="117"/>
      <x:c r="N68" s="117"/>
      <x:c r="O68" s="117"/>
      <x:c r="P68" s="117"/>
      <x:c r="Q68" s="117"/>
      <x:c r="R68" s="117"/>
      <x:c r="S68" s="117"/>
      <x:c r="T68" s="117"/>
      <x:c r="U68" s="117"/>
      <x:c r="V68" s="117"/>
      <x:c r="W68" s="117"/>
      <x:c r="X68" s="117"/>
      <x:c r="Y68" s="117"/>
      <x:c r="Z68" s="117"/>
    </x:row>
    <x:row r="69">
      <x:c r="A69" s="117"/>
      <x:c r="B69" s="117"/>
      <x:c r="C69" s="117"/>
      <x:c r="D69" s="117"/>
      <x:c r="E69" s="117"/>
      <x:c r="F69" s="117"/>
      <x:c r="G69" s="117"/>
      <x:c r="H69" s="117"/>
      <x:c r="I69" s="117"/>
      <x:c r="J69" s="117"/>
      <x:c r="K69" s="117"/>
      <x:c r="L69" s="117"/>
      <x:c r="M69" s="117"/>
      <x:c r="N69" s="117"/>
      <x:c r="O69" s="117"/>
      <x:c r="P69" s="117"/>
      <x:c r="Q69" s="117"/>
      <x:c r="R69" s="117"/>
      <x:c r="S69" s="117"/>
      <x:c r="T69" s="117"/>
      <x:c r="U69" s="117"/>
      <x:c r="V69" s="117"/>
      <x:c r="W69" s="117"/>
      <x:c r="X69" s="117"/>
      <x:c r="Y69" s="117"/>
      <x:c r="Z69" s="117"/>
    </x:row>
    <x:row r="70">
      <x:c r="A70" s="117"/>
      <x:c r="B70" s="117"/>
      <x:c r="C70" s="117"/>
      <x:c r="D70" s="117"/>
      <x:c r="E70" s="117"/>
      <x:c r="F70" s="117"/>
      <x:c r="G70" s="117"/>
      <x:c r="H70" s="117"/>
      <x:c r="I70" s="117"/>
      <x:c r="J70" s="117"/>
      <x:c r="K70" s="117"/>
      <x:c r="L70" s="117"/>
      <x:c r="M70" s="117"/>
      <x:c r="N70" s="117"/>
      <x:c r="O70" s="117"/>
      <x:c r="P70" s="117"/>
      <x:c r="Q70" s="117"/>
      <x:c r="R70" s="117"/>
      <x:c r="S70" s="117"/>
      <x:c r="T70" s="117"/>
      <x:c r="U70" s="117"/>
      <x:c r="V70" s="117"/>
      <x:c r="W70" s="117"/>
      <x:c r="X70" s="117"/>
      <x:c r="Y70" s="117"/>
      <x:c r="Z70" s="117"/>
    </x:row>
    <x:row r="71">
      <x:c r="A71" s="117"/>
      <x:c r="B71" s="117"/>
      <x:c r="C71" s="117"/>
      <x:c r="D71" s="117"/>
      <x:c r="E71" s="117"/>
      <x:c r="F71" s="117"/>
      <x:c r="G71" s="117"/>
      <x:c r="H71" s="117"/>
      <x:c r="I71" s="117"/>
      <x:c r="J71" s="117"/>
      <x:c r="K71" s="117"/>
      <x:c r="L71" s="117"/>
      <x:c r="M71" s="117"/>
      <x:c r="N71" s="117"/>
      <x:c r="O71" s="117"/>
      <x:c r="P71" s="117"/>
      <x:c r="Q71" s="117"/>
      <x:c r="R71" s="117"/>
      <x:c r="S71" s="117"/>
      <x:c r="T71" s="117"/>
      <x:c r="U71" s="117"/>
      <x:c r="V71" s="117"/>
      <x:c r="W71" s="117"/>
      <x:c r="X71" s="117"/>
      <x:c r="Y71" s="117"/>
      <x:c r="Z71" s="117"/>
    </x:row>
    <x:row r="72">
      <x:c r="A72" s="117"/>
      <x:c r="B72" s="117"/>
      <x:c r="C72" s="117"/>
      <x:c r="D72" s="117"/>
      <x:c r="E72" s="117"/>
      <x:c r="F72" s="117"/>
      <x:c r="G72" s="117"/>
      <x:c r="H72" s="117"/>
      <x:c r="I72" s="117"/>
      <x:c r="J72" s="117"/>
      <x:c r="K72" s="117"/>
      <x:c r="L72" s="117"/>
      <x:c r="M72" s="117"/>
      <x:c r="N72" s="117"/>
      <x:c r="O72" s="117"/>
      <x:c r="P72" s="117"/>
      <x:c r="Q72" s="117"/>
      <x:c r="R72" s="117"/>
      <x:c r="S72" s="117"/>
      <x:c r="T72" s="117"/>
      <x:c r="U72" s="117"/>
      <x:c r="V72" s="117"/>
      <x:c r="W72" s="117"/>
      <x:c r="X72" s="117"/>
      <x:c r="Y72" s="117"/>
      <x:c r="Z72" s="117"/>
    </x:row>
    <x:row r="73">
      <x:c r="A73" s="117"/>
      <x:c r="B73" s="117"/>
      <x:c r="C73" s="117"/>
      <x:c r="D73" s="117"/>
      <x:c r="E73" s="117"/>
      <x:c r="F73" s="117"/>
      <x:c r="G73" s="117"/>
      <x:c r="H73" s="117"/>
      <x:c r="I73" s="117"/>
      <x:c r="J73" s="117"/>
      <x:c r="K73" s="117"/>
      <x:c r="L73" s="117"/>
      <x:c r="M73" s="117"/>
      <x:c r="N73" s="117"/>
      <x:c r="O73" s="117"/>
      <x:c r="P73" s="117"/>
      <x:c r="Q73" s="117"/>
      <x:c r="R73" s="117"/>
      <x:c r="S73" s="117"/>
      <x:c r="T73" s="117"/>
      <x:c r="U73" s="117"/>
      <x:c r="V73" s="117"/>
      <x:c r="W73" s="117"/>
      <x:c r="X73" s="117"/>
      <x:c r="Y73" s="117"/>
      <x:c r="Z73" s="117"/>
    </x:row>
    <x:row r="74">
      <x:c r="A74" s="117"/>
      <x:c r="B74" s="117"/>
      <x:c r="C74" s="117"/>
      <x:c r="D74" s="117"/>
      <x:c r="E74" s="117"/>
      <x:c r="F74" s="117"/>
      <x:c r="G74" s="117"/>
      <x:c r="H74" s="117"/>
      <x:c r="I74" s="117"/>
      <x:c r="J74" s="117"/>
      <x:c r="K74" s="117"/>
      <x:c r="L74" s="117"/>
      <x:c r="M74" s="117"/>
      <x:c r="N74" s="117"/>
      <x:c r="O74" s="117"/>
      <x:c r="P74" s="117"/>
      <x:c r="Q74" s="117"/>
      <x:c r="R74" s="117"/>
      <x:c r="S74" s="117"/>
      <x:c r="T74" s="117"/>
      <x:c r="U74" s="117"/>
      <x:c r="V74" s="117"/>
      <x:c r="W74" s="117"/>
      <x:c r="X74" s="117"/>
      <x:c r="Y74" s="117"/>
      <x:c r="Z74" s="117"/>
    </x:row>
    <x:row r="75">
      <x:c r="A75" s="117"/>
      <x:c r="B75" s="117"/>
      <x:c r="C75" s="117"/>
      <x:c r="D75" s="117"/>
      <x:c r="E75" s="117"/>
      <x:c r="F75" s="117"/>
      <x:c r="G75" s="117"/>
      <x:c r="H75" s="117"/>
      <x:c r="I75" s="117"/>
      <x:c r="J75" s="117"/>
      <x:c r="K75" s="117"/>
      <x:c r="L75" s="117"/>
      <x:c r="M75" s="117"/>
      <x:c r="N75" s="117"/>
      <x:c r="O75" s="117"/>
      <x:c r="P75" s="117"/>
      <x:c r="Q75" s="117"/>
      <x:c r="R75" s="117"/>
      <x:c r="S75" s="117"/>
      <x:c r="T75" s="117"/>
      <x:c r="U75" s="117"/>
      <x:c r="V75" s="117"/>
      <x:c r="W75" s="117"/>
      <x:c r="X75" s="117"/>
      <x:c r="Y75" s="117"/>
      <x:c r="Z75" s="117"/>
    </x:row>
    <x:row r="76">
      <x:c r="A76" s="117"/>
      <x:c r="B76" s="117"/>
      <x:c r="C76" s="117"/>
      <x:c r="D76" s="117"/>
      <x:c r="E76" s="117"/>
      <x:c r="F76" s="117"/>
      <x:c r="G76" s="117"/>
      <x:c r="H76" s="117"/>
      <x:c r="I76" s="117"/>
      <x:c r="J76" s="117"/>
      <x:c r="K76" s="117"/>
      <x:c r="L76" s="117"/>
      <x:c r="M76" s="117"/>
      <x:c r="N76" s="117"/>
      <x:c r="O76" s="117"/>
      <x:c r="P76" s="117"/>
      <x:c r="Q76" s="117"/>
      <x:c r="R76" s="117"/>
      <x:c r="S76" s="117"/>
      <x:c r="T76" s="117"/>
      <x:c r="U76" s="117"/>
      <x:c r="V76" s="117"/>
      <x:c r="W76" s="117"/>
      <x:c r="X76" s="117"/>
      <x:c r="Y76" s="117"/>
      <x:c r="Z76" s="117"/>
    </x:row>
    <x:row r="77">
      <x:c r="A77" s="117"/>
      <x:c r="B77" s="117"/>
      <x:c r="C77" s="117"/>
      <x:c r="D77" s="117"/>
      <x:c r="E77" s="117"/>
      <x:c r="F77" s="117"/>
      <x:c r="G77" s="117"/>
      <x:c r="H77" s="117"/>
      <x:c r="I77" s="117"/>
      <x:c r="J77" s="117"/>
      <x:c r="K77" s="117"/>
      <x:c r="L77" s="117"/>
      <x:c r="M77" s="117"/>
      <x:c r="N77" s="117"/>
      <x:c r="O77" s="117"/>
      <x:c r="P77" s="117"/>
      <x:c r="Q77" s="117"/>
      <x:c r="R77" s="117"/>
      <x:c r="S77" s="117"/>
      <x:c r="T77" s="117"/>
      <x:c r="U77" s="117"/>
      <x:c r="V77" s="117"/>
      <x:c r="W77" s="117"/>
      <x:c r="X77" s="117"/>
      <x:c r="Y77" s="117"/>
      <x:c r="Z77" s="117"/>
    </x:row>
    <x:row r="78">
      <x:c r="A78" s="117"/>
      <x:c r="B78" s="117"/>
      <x:c r="C78" s="117"/>
      <x:c r="D78" s="117"/>
      <x:c r="E78" s="117"/>
      <x:c r="F78" s="117"/>
      <x:c r="G78" s="117"/>
      <x:c r="H78" s="117"/>
      <x:c r="I78" s="117"/>
      <x:c r="J78" s="117"/>
      <x:c r="K78" s="117"/>
      <x:c r="L78" s="117"/>
      <x:c r="M78" s="117"/>
      <x:c r="N78" s="117"/>
      <x:c r="O78" s="117"/>
      <x:c r="P78" s="117"/>
      <x:c r="Q78" s="117"/>
      <x:c r="R78" s="117"/>
      <x:c r="S78" s="117"/>
      <x:c r="T78" s="117"/>
      <x:c r="U78" s="117"/>
      <x:c r="V78" s="117"/>
      <x:c r="W78" s="117"/>
      <x:c r="X78" s="117"/>
      <x:c r="Y78" s="117"/>
      <x:c r="Z78" s="117"/>
    </x:row>
    <x:row r="79">
      <x:c r="A79" s="117"/>
      <x:c r="B79" s="117"/>
      <x:c r="C79" s="117"/>
      <x:c r="D79" s="117"/>
      <x:c r="E79" s="117"/>
      <x:c r="F79" s="117"/>
      <x:c r="G79" s="117"/>
      <x:c r="H79" s="117"/>
      <x:c r="I79" s="117"/>
      <x:c r="J79" s="117"/>
      <x:c r="K79" s="117"/>
      <x:c r="L79" s="117"/>
      <x:c r="M79" s="117"/>
      <x:c r="N79" s="117"/>
      <x:c r="O79" s="117"/>
      <x:c r="P79" s="117"/>
      <x:c r="Q79" s="117"/>
      <x:c r="R79" s="117"/>
      <x:c r="S79" s="117"/>
      <x:c r="T79" s="117"/>
      <x:c r="U79" s="117"/>
      <x:c r="V79" s="117"/>
      <x:c r="W79" s="117"/>
      <x:c r="X79" s="117"/>
      <x:c r="Y79" s="117"/>
      <x:c r="Z79" s="117"/>
    </x:row>
    <x:row r="80">
      <x:c r="A80" s="117"/>
      <x:c r="B80" s="117"/>
      <x:c r="C80" s="117"/>
      <x:c r="D80" s="117"/>
      <x:c r="E80" s="117"/>
      <x:c r="F80" s="117"/>
      <x:c r="G80" s="117"/>
      <x:c r="H80" s="117"/>
      <x:c r="I80" s="117"/>
      <x:c r="J80" s="117"/>
      <x:c r="K80" s="117"/>
      <x:c r="L80" s="117"/>
      <x:c r="M80" s="117"/>
      <x:c r="N80" s="117"/>
      <x:c r="O80" s="117"/>
      <x:c r="P80" s="117"/>
      <x:c r="Q80" s="117"/>
      <x:c r="R80" s="117"/>
      <x:c r="S80" s="117"/>
      <x:c r="T80" s="117"/>
      <x:c r="U80" s="117"/>
      <x:c r="V80" s="117"/>
      <x:c r="W80" s="117"/>
      <x:c r="X80" s="117"/>
      <x:c r="Y80" s="117"/>
      <x:c r="Z80" s="117"/>
    </x:row>
    <x:row r="81">
      <x:c r="A81" s="117"/>
      <x:c r="B81" s="117"/>
      <x:c r="C81" s="117"/>
      <x:c r="D81" s="117"/>
      <x:c r="E81" s="117"/>
      <x:c r="F81" s="117"/>
      <x:c r="G81" s="117"/>
      <x:c r="H81" s="117"/>
      <x:c r="I81" s="117"/>
      <x:c r="J81" s="117"/>
      <x:c r="K81" s="117"/>
      <x:c r="L81" s="117"/>
      <x:c r="M81" s="117"/>
      <x:c r="N81" s="117"/>
      <x:c r="O81" s="117"/>
      <x:c r="P81" s="117"/>
      <x:c r="Q81" s="117"/>
      <x:c r="R81" s="117"/>
      <x:c r="S81" s="117"/>
      <x:c r="T81" s="117"/>
      <x:c r="U81" s="117"/>
      <x:c r="V81" s="117"/>
      <x:c r="W81" s="117"/>
      <x:c r="X81" s="117"/>
      <x:c r="Y81" s="117"/>
      <x:c r="Z81" s="117"/>
    </x:row>
    <x:row r="82">
      <x:c r="A82" s="117"/>
      <x:c r="B82" s="117"/>
      <x:c r="C82" s="117"/>
      <x:c r="D82" s="117"/>
      <x:c r="E82" s="117"/>
      <x:c r="F82" s="117"/>
      <x:c r="G82" s="117"/>
      <x:c r="H82" s="117"/>
      <x:c r="I82" s="117"/>
      <x:c r="J82" s="117"/>
      <x:c r="K82" s="117"/>
      <x:c r="L82" s="117"/>
      <x:c r="M82" s="117"/>
      <x:c r="N82" s="117"/>
      <x:c r="O82" s="117"/>
      <x:c r="P82" s="117"/>
      <x:c r="Q82" s="117"/>
      <x:c r="R82" s="117"/>
      <x:c r="S82" s="117"/>
      <x:c r="T82" s="117"/>
      <x:c r="U82" s="117"/>
      <x:c r="V82" s="117"/>
      <x:c r="W82" s="117"/>
      <x:c r="X82" s="117"/>
      <x:c r="Y82" s="117"/>
      <x:c r="Z82" s="117"/>
    </x:row>
    <x:row r="83">
      <x:c r="A83" s="117"/>
      <x:c r="B83" s="117"/>
      <x:c r="C83" s="117"/>
      <x:c r="D83" s="117"/>
      <x:c r="E83" s="117"/>
      <x:c r="F83" s="117"/>
      <x:c r="G83" s="117"/>
      <x:c r="H83" s="117"/>
      <x:c r="I83" s="117"/>
      <x:c r="J83" s="117"/>
      <x:c r="K83" s="117"/>
      <x:c r="L83" s="117"/>
      <x:c r="M83" s="117"/>
      <x:c r="N83" s="117"/>
      <x:c r="O83" s="117"/>
      <x:c r="P83" s="117"/>
      <x:c r="Q83" s="117"/>
      <x:c r="R83" s="117"/>
      <x:c r="S83" s="117"/>
      <x:c r="T83" s="117"/>
      <x:c r="U83" s="117"/>
      <x:c r="V83" s="117"/>
      <x:c r="W83" s="117"/>
      <x:c r="X83" s="117"/>
      <x:c r="Y83" s="117"/>
      <x:c r="Z83" s="117"/>
    </x:row>
    <x:row r="84">
      <x:c r="A84" s="117"/>
      <x:c r="B84" s="117"/>
      <x:c r="C84" s="117"/>
      <x:c r="D84" s="117"/>
      <x:c r="E84" s="117"/>
      <x:c r="F84" s="117"/>
      <x:c r="G84" s="117"/>
      <x:c r="H84" s="117"/>
      <x:c r="I84" s="117"/>
      <x:c r="J84" s="117"/>
      <x:c r="K84" s="117"/>
      <x:c r="L84" s="117"/>
      <x:c r="M84" s="117"/>
      <x:c r="N84" s="117"/>
      <x:c r="O84" s="117"/>
      <x:c r="P84" s="117"/>
      <x:c r="Q84" s="117"/>
      <x:c r="R84" s="117"/>
      <x:c r="S84" s="117"/>
      <x:c r="T84" s="117"/>
      <x:c r="U84" s="117"/>
      <x:c r="V84" s="117"/>
      <x:c r="W84" s="117"/>
      <x:c r="X84" s="117"/>
      <x:c r="Y84" s="117"/>
      <x:c r="Z84" s="117"/>
    </x:row>
    <x:row r="85">
      <x:c r="A85" s="117"/>
      <x:c r="B85" s="117"/>
      <x:c r="C85" s="117"/>
      <x:c r="D85" s="117"/>
      <x:c r="E85" s="117"/>
      <x:c r="F85" s="117"/>
      <x:c r="G85" s="117"/>
      <x:c r="H85" s="117"/>
      <x:c r="I85" s="117"/>
      <x:c r="J85" s="117"/>
      <x:c r="K85" s="117"/>
      <x:c r="L85" s="117"/>
      <x:c r="M85" s="117"/>
      <x:c r="N85" s="117"/>
      <x:c r="O85" s="117"/>
      <x:c r="P85" s="117"/>
      <x:c r="Q85" s="117"/>
      <x:c r="R85" s="117"/>
      <x:c r="S85" s="117"/>
      <x:c r="T85" s="117"/>
      <x:c r="U85" s="117"/>
      <x:c r="V85" s="117"/>
      <x:c r="W85" s="117"/>
      <x:c r="X85" s="117"/>
      <x:c r="Y85" s="117"/>
      <x:c r="Z85" s="117"/>
    </x:row>
    <x:row r="86">
      <x:c r="A86" s="117"/>
      <x:c r="B86" s="117"/>
      <x:c r="C86" s="117"/>
      <x:c r="D86" s="117"/>
      <x:c r="E86" s="117"/>
      <x:c r="F86" s="117"/>
      <x:c r="G86" s="117"/>
      <x:c r="H86" s="117"/>
      <x:c r="I86" s="117"/>
      <x:c r="J86" s="117"/>
      <x:c r="K86" s="117"/>
      <x:c r="L86" s="117"/>
      <x:c r="M86" s="117"/>
      <x:c r="N86" s="117"/>
      <x:c r="O86" s="117"/>
      <x:c r="P86" s="117"/>
      <x:c r="Q86" s="117"/>
      <x:c r="R86" s="117"/>
      <x:c r="S86" s="117"/>
      <x:c r="T86" s="117"/>
      <x:c r="U86" s="117"/>
      <x:c r="V86" s="117"/>
      <x:c r="W86" s="117"/>
      <x:c r="X86" s="117"/>
      <x:c r="Y86" s="117"/>
      <x:c r="Z86" s="117"/>
    </x:row>
    <x:row r="87">
      <x:c r="A87" s="117"/>
      <x:c r="B87" s="117"/>
      <x:c r="C87" s="117"/>
      <x:c r="D87" s="117"/>
      <x:c r="E87" s="117"/>
      <x:c r="F87" s="117"/>
      <x:c r="G87" s="117"/>
      <x:c r="H87" s="117"/>
      <x:c r="I87" s="117"/>
      <x:c r="J87" s="117"/>
      <x:c r="K87" s="117"/>
      <x:c r="L87" s="117"/>
      <x:c r="M87" s="117"/>
      <x:c r="N87" s="117"/>
      <x:c r="O87" s="117"/>
      <x:c r="P87" s="117"/>
      <x:c r="Q87" s="117"/>
      <x:c r="R87" s="117"/>
      <x:c r="S87" s="117"/>
      <x:c r="T87" s="117"/>
      <x:c r="U87" s="117"/>
      <x:c r="V87" s="117"/>
      <x:c r="W87" s="117"/>
      <x:c r="X87" s="117"/>
      <x:c r="Y87" s="117"/>
      <x:c r="Z87" s="117"/>
    </x:row>
    <x:row r="88">
      <x:c r="A88" s="117"/>
      <x:c r="B88" s="117"/>
      <x:c r="C88" s="117"/>
      <x:c r="D88" s="117"/>
      <x:c r="E88" s="117"/>
      <x:c r="F88" s="117"/>
      <x:c r="G88" s="117"/>
      <x:c r="H88" s="117"/>
      <x:c r="I88" s="117"/>
      <x:c r="J88" s="117"/>
      <x:c r="K88" s="117"/>
      <x:c r="L88" s="117"/>
      <x:c r="M88" s="117"/>
      <x:c r="N88" s="117"/>
      <x:c r="O88" s="117"/>
      <x:c r="P88" s="117"/>
      <x:c r="Q88" s="117"/>
      <x:c r="R88" s="117"/>
      <x:c r="S88" s="117"/>
      <x:c r="T88" s="117"/>
      <x:c r="U88" s="117"/>
      <x:c r="V88" s="117"/>
      <x:c r="W88" s="117"/>
      <x:c r="X88" s="117"/>
      <x:c r="Y88" s="117"/>
      <x:c r="Z88" s="117"/>
    </x:row>
    <x:row r="89">
      <x:c r="A89" s="117"/>
      <x:c r="B89" s="117"/>
      <x:c r="C89" s="117"/>
      <x:c r="D89" s="117"/>
      <x:c r="E89" s="117"/>
      <x:c r="F89" s="117"/>
      <x:c r="G89" s="117"/>
      <x:c r="H89" s="117"/>
      <x:c r="I89" s="117"/>
      <x:c r="J89" s="117"/>
      <x:c r="K89" s="117"/>
      <x:c r="L89" s="117"/>
      <x:c r="M89" s="117"/>
      <x:c r="N89" s="117"/>
      <x:c r="O89" s="117"/>
      <x:c r="P89" s="117"/>
      <x:c r="Q89" s="117"/>
      <x:c r="R89" s="117"/>
      <x:c r="S89" s="117"/>
      <x:c r="T89" s="117"/>
      <x:c r="U89" s="117"/>
      <x:c r="V89" s="117"/>
      <x:c r="W89" s="117"/>
      <x:c r="X89" s="117"/>
      <x:c r="Y89" s="117"/>
      <x:c r="Z89" s="117"/>
    </x:row>
    <x:row r="90">
      <x:c r="A90" s="117"/>
      <x:c r="B90" s="117"/>
      <x:c r="C90" s="117"/>
      <x:c r="D90" s="117"/>
      <x:c r="E90" s="117"/>
      <x:c r="F90" s="117"/>
      <x:c r="G90" s="117"/>
      <x:c r="H90" s="117"/>
      <x:c r="I90" s="117"/>
      <x:c r="J90" s="117"/>
      <x:c r="K90" s="117"/>
      <x:c r="L90" s="117"/>
      <x:c r="M90" s="117"/>
      <x:c r="N90" s="117"/>
      <x:c r="O90" s="117"/>
      <x:c r="P90" s="117"/>
      <x:c r="Q90" s="117"/>
      <x:c r="R90" s="117"/>
      <x:c r="S90" s="117"/>
      <x:c r="T90" s="117"/>
      <x:c r="U90" s="117"/>
      <x:c r="V90" s="117"/>
      <x:c r="W90" s="117"/>
      <x:c r="X90" s="117"/>
      <x:c r="Y90" s="117"/>
      <x:c r="Z90" s="117"/>
    </x:row>
    <x:row r="91">
      <x:c r="A91" s="117"/>
      <x:c r="B91" s="117"/>
      <x:c r="C91" s="117"/>
      <x:c r="D91" s="117"/>
      <x:c r="E91" s="117"/>
      <x:c r="F91" s="117"/>
      <x:c r="G91" s="117"/>
      <x:c r="H91" s="117"/>
      <x:c r="I91" s="117"/>
      <x:c r="J91" s="117"/>
      <x:c r="K91" s="117"/>
      <x:c r="L91" s="117"/>
      <x:c r="M91" s="117"/>
      <x:c r="N91" s="117"/>
      <x:c r="O91" s="117"/>
      <x:c r="P91" s="117"/>
      <x:c r="Q91" s="117"/>
      <x:c r="R91" s="117"/>
      <x:c r="S91" s="117"/>
      <x:c r="T91" s="117"/>
      <x:c r="U91" s="117"/>
      <x:c r="V91" s="117"/>
      <x:c r="W91" s="117"/>
      <x:c r="X91" s="117"/>
      <x:c r="Y91" s="117"/>
      <x:c r="Z91" s="117"/>
    </x:row>
    <x:row r="92">
      <x:c r="A92" s="117"/>
      <x:c r="B92" s="117"/>
      <x:c r="C92" s="117"/>
      <x:c r="D92" s="117"/>
      <x:c r="E92" s="117"/>
      <x:c r="F92" s="117"/>
      <x:c r="G92" s="117"/>
      <x:c r="H92" s="117"/>
      <x:c r="I92" s="117"/>
      <x:c r="J92" s="117"/>
      <x:c r="K92" s="117"/>
      <x:c r="L92" s="117"/>
      <x:c r="M92" s="117"/>
      <x:c r="N92" s="117"/>
      <x:c r="O92" s="117"/>
      <x:c r="P92" s="117"/>
      <x:c r="Q92" s="117"/>
      <x:c r="R92" s="117"/>
      <x:c r="S92" s="117"/>
      <x:c r="T92" s="117"/>
      <x:c r="U92" s="117"/>
      <x:c r="V92" s="117"/>
      <x:c r="W92" s="117"/>
      <x:c r="X92" s="117"/>
      <x:c r="Y92" s="117"/>
      <x:c r="Z92" s="117"/>
    </x:row>
    <x:row r="93">
      <x:c r="A93" s="117"/>
      <x:c r="B93" s="117"/>
      <x:c r="C93" s="117"/>
      <x:c r="D93" s="117"/>
      <x:c r="E93" s="117"/>
      <x:c r="F93" s="117"/>
      <x:c r="G93" s="117"/>
      <x:c r="H93" s="117"/>
      <x:c r="I93" s="117"/>
      <x:c r="J93" s="117"/>
      <x:c r="K93" s="117"/>
      <x:c r="L93" s="117"/>
      <x:c r="M93" s="117"/>
      <x:c r="N93" s="117"/>
      <x:c r="O93" s="117"/>
      <x:c r="P93" s="117"/>
      <x:c r="Q93" s="117"/>
      <x:c r="R93" s="117"/>
      <x:c r="S93" s="117"/>
      <x:c r="T93" s="117"/>
      <x:c r="U93" s="117"/>
      <x:c r="V93" s="117"/>
      <x:c r="W93" s="117"/>
      <x:c r="X93" s="117"/>
      <x:c r="Y93" s="117"/>
      <x:c r="Z93" s="117"/>
    </x:row>
    <x:row r="94">
      <x:c r="A94" s="117"/>
      <x:c r="B94" s="117"/>
      <x:c r="C94" s="117"/>
      <x:c r="D94" s="117"/>
      <x:c r="E94" s="117"/>
      <x:c r="F94" s="117"/>
      <x:c r="G94" s="117"/>
      <x:c r="H94" s="117"/>
      <x:c r="I94" s="117"/>
      <x:c r="J94" s="117"/>
      <x:c r="K94" s="117"/>
      <x:c r="L94" s="117"/>
      <x:c r="M94" s="117"/>
      <x:c r="N94" s="117"/>
      <x:c r="O94" s="117"/>
      <x:c r="P94" s="117"/>
      <x:c r="Q94" s="117"/>
      <x:c r="R94" s="117"/>
      <x:c r="S94" s="117"/>
      <x:c r="T94" s="117"/>
      <x:c r="U94" s="117"/>
      <x:c r="V94" s="117"/>
      <x:c r="W94" s="117"/>
      <x:c r="X94" s="117"/>
      <x:c r="Y94" s="117"/>
      <x:c r="Z94" s="117"/>
    </x:row>
    <x:row r="95">
      <x:c r="A95" s="117"/>
      <x:c r="B95" s="117"/>
      <x:c r="C95" s="117"/>
      <x:c r="D95" s="117"/>
      <x:c r="E95" s="117"/>
      <x:c r="F95" s="117"/>
      <x:c r="G95" s="117"/>
      <x:c r="H95" s="117"/>
      <x:c r="I95" s="117"/>
      <x:c r="J95" s="117"/>
      <x:c r="K95" s="117"/>
      <x:c r="L95" s="117"/>
      <x:c r="M95" s="117"/>
      <x:c r="N95" s="117"/>
      <x:c r="O95" s="117"/>
      <x:c r="P95" s="117"/>
      <x:c r="Q95" s="117"/>
      <x:c r="R95" s="117"/>
      <x:c r="S95" s="117"/>
      <x:c r="T95" s="117"/>
      <x:c r="U95" s="117"/>
      <x:c r="V95" s="117"/>
      <x:c r="W95" s="117"/>
      <x:c r="X95" s="117"/>
      <x:c r="Y95" s="117"/>
      <x:c r="Z95" s="117"/>
    </x:row>
    <x:row r="96">
      <x:c r="A96" s="117"/>
      <x:c r="B96" s="117"/>
      <x:c r="C96" s="117"/>
      <x:c r="D96" s="117"/>
      <x:c r="E96" s="117"/>
      <x:c r="F96" s="117"/>
      <x:c r="G96" s="117"/>
      <x:c r="H96" s="117"/>
      <x:c r="I96" s="117"/>
      <x:c r="J96" s="117"/>
      <x:c r="K96" s="117"/>
      <x:c r="L96" s="117"/>
      <x:c r="M96" s="117"/>
      <x:c r="N96" s="117"/>
      <x:c r="O96" s="117"/>
      <x:c r="P96" s="117"/>
      <x:c r="Q96" s="117"/>
      <x:c r="R96" s="117"/>
      <x:c r="S96" s="117"/>
      <x:c r="T96" s="117"/>
      <x:c r="U96" s="117"/>
      <x:c r="V96" s="117"/>
      <x:c r="W96" s="117"/>
      <x:c r="X96" s="117"/>
      <x:c r="Y96" s="117"/>
      <x:c r="Z96" s="117"/>
    </x:row>
    <x:row r="97">
      <x:c r="A97" s="117"/>
      <x:c r="B97" s="117"/>
      <x:c r="C97" s="117"/>
      <x:c r="D97" s="117"/>
      <x:c r="E97" s="117"/>
      <x:c r="F97" s="117"/>
      <x:c r="G97" s="117"/>
      <x:c r="H97" s="117"/>
      <x:c r="I97" s="117"/>
      <x:c r="J97" s="117"/>
      <x:c r="K97" s="117"/>
      <x:c r="L97" s="117"/>
      <x:c r="M97" s="117"/>
      <x:c r="N97" s="117"/>
      <x:c r="O97" s="117"/>
      <x:c r="P97" s="117"/>
      <x:c r="Q97" s="117"/>
      <x:c r="R97" s="117"/>
      <x:c r="S97" s="117"/>
      <x:c r="T97" s="117"/>
      <x:c r="U97" s="117"/>
      <x:c r="V97" s="117"/>
      <x:c r="W97" s="117"/>
      <x:c r="X97" s="117"/>
      <x:c r="Y97" s="117"/>
      <x:c r="Z97" s="117"/>
    </x:row>
    <x:row r="98">
      <x:c r="A98" s="117"/>
      <x:c r="B98" s="117"/>
      <x:c r="C98" s="117"/>
      <x:c r="D98" s="117"/>
      <x:c r="E98" s="117"/>
      <x:c r="F98" s="117"/>
      <x:c r="G98" s="117"/>
      <x:c r="H98" s="117"/>
      <x:c r="I98" s="117"/>
      <x:c r="J98" s="117"/>
      <x:c r="K98" s="117"/>
      <x:c r="L98" s="117"/>
      <x:c r="M98" s="117"/>
      <x:c r="N98" s="117"/>
      <x:c r="O98" s="117"/>
      <x:c r="P98" s="117"/>
      <x:c r="Q98" s="117"/>
      <x:c r="R98" s="117"/>
      <x:c r="S98" s="117"/>
      <x:c r="T98" s="117"/>
      <x:c r="U98" s="117"/>
      <x:c r="V98" s="117"/>
      <x:c r="W98" s="117"/>
      <x:c r="X98" s="117"/>
      <x:c r="Y98" s="117"/>
      <x:c r="Z98" s="117"/>
    </x:row>
    <x:row r="99">
      <x:c r="A99" s="117"/>
      <x:c r="B99" s="117"/>
      <x:c r="C99" s="117"/>
      <x:c r="D99" s="117"/>
      <x:c r="E99" s="117"/>
      <x:c r="F99" s="117"/>
      <x:c r="G99" s="117"/>
      <x:c r="H99" s="117"/>
      <x:c r="I99" s="117"/>
      <x:c r="J99" s="117"/>
      <x:c r="K99" s="117"/>
      <x:c r="L99" s="117"/>
      <x:c r="M99" s="117"/>
      <x:c r="N99" s="117"/>
      <x:c r="O99" s="117"/>
      <x:c r="P99" s="117"/>
      <x:c r="Q99" s="117"/>
      <x:c r="R99" s="117"/>
      <x:c r="S99" s="117"/>
      <x:c r="T99" s="117"/>
      <x:c r="U99" s="117"/>
      <x:c r="V99" s="117"/>
      <x:c r="W99" s="117"/>
      <x:c r="X99" s="117"/>
      <x:c r="Y99" s="117"/>
      <x:c r="Z99" s="117"/>
    </x:row>
    <x:row r="100">
      <x:c r="A100" s="117"/>
      <x:c r="B100" s="117"/>
      <x:c r="C100" s="117"/>
      <x:c r="D100" s="117"/>
      <x:c r="E100" s="117"/>
      <x:c r="F100" s="117"/>
      <x:c r="G100" s="117"/>
      <x:c r="H100" s="117"/>
      <x:c r="I100" s="117"/>
      <x:c r="J100" s="117"/>
      <x:c r="K100" s="117"/>
      <x:c r="L100" s="117"/>
      <x:c r="M100" s="117"/>
      <x:c r="N100" s="117"/>
      <x:c r="O100" s="117"/>
      <x:c r="P100" s="117"/>
      <x:c r="Q100" s="117"/>
      <x:c r="R100" s="117"/>
      <x:c r="S100" s="117"/>
      <x:c r="T100" s="117"/>
      <x:c r="U100" s="117"/>
      <x:c r="V100" s="117"/>
      <x:c r="W100" s="117"/>
      <x:c r="X100" s="117"/>
      <x:c r="Y100" s="117"/>
      <x:c r="Z100" s="117"/>
    </x:row>
    <x:row r="101">
      <x:c r="A101" s="117"/>
      <x:c r="B101" s="117"/>
      <x:c r="C101" s="117"/>
      <x:c r="D101" s="117"/>
      <x:c r="E101" s="117"/>
      <x:c r="F101" s="117"/>
      <x:c r="G101" s="117"/>
      <x:c r="H101" s="117"/>
      <x:c r="I101" s="117"/>
      <x:c r="J101" s="117"/>
      <x:c r="K101" s="117"/>
      <x:c r="L101" s="117"/>
      <x:c r="M101" s="117"/>
      <x:c r="N101" s="117"/>
      <x:c r="O101" s="117"/>
      <x:c r="P101" s="117"/>
      <x:c r="Q101" s="117"/>
      <x:c r="R101" s="117"/>
      <x:c r="S101" s="117"/>
      <x:c r="T101" s="117"/>
      <x:c r="U101" s="117"/>
      <x:c r="V101" s="117"/>
      <x:c r="W101" s="117"/>
      <x:c r="X101" s="117"/>
      <x:c r="Y101" s="117"/>
      <x:c r="Z101" s="117"/>
    </x:row>
    <x:row r="102">
      <x:c r="A102" s="117"/>
      <x:c r="B102" s="117"/>
      <x:c r="C102" s="117"/>
      <x:c r="D102" s="117"/>
      <x:c r="E102" s="117"/>
      <x:c r="F102" s="117"/>
      <x:c r="G102" s="117"/>
      <x:c r="H102" s="117"/>
      <x:c r="I102" s="117"/>
      <x:c r="J102" s="117"/>
      <x:c r="K102" s="117"/>
      <x:c r="L102" s="117"/>
      <x:c r="M102" s="117"/>
      <x:c r="N102" s="117"/>
      <x:c r="O102" s="117"/>
      <x:c r="P102" s="117"/>
      <x:c r="Q102" s="117"/>
      <x:c r="R102" s="117"/>
      <x:c r="S102" s="117"/>
      <x:c r="T102" s="117"/>
      <x:c r="U102" s="117"/>
      <x:c r="V102" s="117"/>
      <x:c r="W102" s="117"/>
      <x:c r="X102" s="117"/>
      <x:c r="Y102" s="117"/>
      <x:c r="Z102" s="117"/>
    </x:row>
    <x:row r="103">
      <x:c r="A103" s="117"/>
      <x:c r="B103" s="117"/>
      <x:c r="C103" s="117"/>
      <x:c r="D103" s="117"/>
      <x:c r="E103" s="117"/>
      <x:c r="F103" s="117"/>
      <x:c r="G103" s="117"/>
      <x:c r="H103" s="117"/>
      <x:c r="I103" s="117"/>
      <x:c r="J103" s="117"/>
      <x:c r="K103" s="117"/>
      <x:c r="L103" s="117"/>
      <x:c r="M103" s="117"/>
      <x:c r="N103" s="117"/>
      <x:c r="O103" s="117"/>
      <x:c r="P103" s="117"/>
      <x:c r="Q103" s="117"/>
      <x:c r="R103" s="117"/>
      <x:c r="S103" s="117"/>
      <x:c r="T103" s="117"/>
      <x:c r="U103" s="117"/>
      <x:c r="V103" s="117"/>
      <x:c r="W103" s="117"/>
      <x:c r="X103" s="117"/>
      <x:c r="Y103" s="117"/>
      <x:c r="Z103" s="117"/>
    </x:row>
    <x:row r="104">
      <x:c r="A104" s="117"/>
      <x:c r="B104" s="117"/>
      <x:c r="C104" s="117"/>
      <x:c r="D104" s="117"/>
      <x:c r="E104" s="117"/>
      <x:c r="F104" s="117"/>
      <x:c r="G104" s="117"/>
      <x:c r="H104" s="117"/>
      <x:c r="I104" s="117"/>
      <x:c r="J104" s="117"/>
      <x:c r="K104" s="117"/>
      <x:c r="L104" s="117"/>
      <x:c r="M104" s="117"/>
      <x:c r="N104" s="117"/>
      <x:c r="O104" s="117"/>
      <x:c r="P104" s="117"/>
      <x:c r="Q104" s="117"/>
      <x:c r="R104" s="117"/>
      <x:c r="S104" s="117"/>
      <x:c r="T104" s="117"/>
      <x:c r="U104" s="117"/>
      <x:c r="V104" s="117"/>
      <x:c r="W104" s="117"/>
      <x:c r="X104" s="117"/>
      <x:c r="Y104" s="117"/>
      <x:c r="Z104" s="117"/>
    </x:row>
    <x:row r="105">
      <x:c r="A105" s="117"/>
      <x:c r="B105" s="117"/>
      <x:c r="C105" s="117"/>
      <x:c r="D105" s="117"/>
      <x:c r="E105" s="117"/>
      <x:c r="F105" s="117"/>
      <x:c r="G105" s="117"/>
      <x:c r="H105" s="117"/>
      <x:c r="I105" s="117"/>
      <x:c r="J105" s="117"/>
      <x:c r="K105" s="117"/>
      <x:c r="L105" s="117"/>
      <x:c r="M105" s="117"/>
      <x:c r="N105" s="117"/>
      <x:c r="O105" s="117"/>
      <x:c r="P105" s="117"/>
      <x:c r="Q105" s="117"/>
      <x:c r="R105" s="117"/>
      <x:c r="S105" s="117"/>
      <x:c r="T105" s="117"/>
      <x:c r="U105" s="117"/>
      <x:c r="V105" s="117"/>
      <x:c r="W105" s="117"/>
      <x:c r="X105" s="117"/>
      <x:c r="Y105" s="117"/>
      <x:c r="Z105" s="117"/>
    </x:row>
    <x:row r="106">
      <x:c r="A106" s="117"/>
      <x:c r="B106" s="117"/>
      <x:c r="C106" s="117"/>
      <x:c r="D106" s="117"/>
      <x:c r="E106" s="117"/>
      <x:c r="F106" s="117"/>
      <x:c r="G106" s="117"/>
      <x:c r="H106" s="117"/>
      <x:c r="I106" s="117"/>
      <x:c r="J106" s="117"/>
      <x:c r="K106" s="117"/>
      <x:c r="L106" s="117"/>
      <x:c r="M106" s="117"/>
      <x:c r="N106" s="117"/>
      <x:c r="O106" s="117"/>
      <x:c r="P106" s="117"/>
      <x:c r="Q106" s="117"/>
      <x:c r="R106" s="117"/>
      <x:c r="S106" s="117"/>
      <x:c r="T106" s="117"/>
      <x:c r="U106" s="117"/>
      <x:c r="V106" s="117"/>
      <x:c r="W106" s="117"/>
      <x:c r="X106" s="117"/>
      <x:c r="Y106" s="117"/>
      <x:c r="Z106" s="117"/>
    </x:row>
    <x:row r="107">
      <x:c r="A107" s="117"/>
      <x:c r="B107" s="117"/>
      <x:c r="C107" s="117"/>
      <x:c r="D107" s="117"/>
      <x:c r="E107" s="117"/>
      <x:c r="F107" s="117"/>
      <x:c r="G107" s="117"/>
      <x:c r="H107" s="117"/>
      <x:c r="I107" s="117"/>
      <x:c r="J107" s="117"/>
      <x:c r="K107" s="117"/>
      <x:c r="L107" s="117"/>
      <x:c r="M107" s="117"/>
      <x:c r="N107" s="117"/>
      <x:c r="O107" s="117"/>
      <x:c r="P107" s="117"/>
      <x:c r="Q107" s="117"/>
      <x:c r="R107" s="117"/>
      <x:c r="S107" s="117"/>
      <x:c r="T107" s="117"/>
      <x:c r="U107" s="117"/>
      <x:c r="V107" s="117"/>
      <x:c r="W107" s="117"/>
      <x:c r="X107" s="117"/>
      <x:c r="Y107" s="117"/>
      <x:c r="Z107" s="117"/>
    </x:row>
    <x:row r="108">
      <x:c r="A108" s="117"/>
      <x:c r="B108" s="117"/>
      <x:c r="C108" s="117"/>
      <x:c r="D108" s="117"/>
      <x:c r="E108" s="117"/>
      <x:c r="F108" s="117"/>
      <x:c r="G108" s="117"/>
      <x:c r="H108" s="117"/>
      <x:c r="I108" s="117"/>
      <x:c r="J108" s="117"/>
      <x:c r="K108" s="117"/>
      <x:c r="L108" s="117"/>
      <x:c r="M108" s="117"/>
      <x:c r="N108" s="117"/>
      <x:c r="O108" s="117"/>
      <x:c r="P108" s="117"/>
      <x:c r="Q108" s="117"/>
      <x:c r="R108" s="117"/>
      <x:c r="S108" s="117"/>
      <x:c r="T108" s="117"/>
      <x:c r="U108" s="117"/>
      <x:c r="V108" s="117"/>
      <x:c r="W108" s="117"/>
      <x:c r="X108" s="117"/>
      <x:c r="Y108" s="117"/>
      <x:c r="Z108" s="117"/>
    </x:row>
    <x:row r="109">
      <x:c r="A109" s="117"/>
      <x:c r="B109" s="117"/>
      <x:c r="C109" s="117"/>
      <x:c r="D109" s="117"/>
      <x:c r="E109" s="117"/>
      <x:c r="F109" s="117"/>
      <x:c r="G109" s="117"/>
      <x:c r="H109" s="117"/>
      <x:c r="I109" s="117"/>
      <x:c r="J109" s="117"/>
      <x:c r="K109" s="117"/>
      <x:c r="L109" s="117"/>
      <x:c r="M109" s="117"/>
      <x:c r="N109" s="117"/>
      <x:c r="O109" s="117"/>
      <x:c r="P109" s="117"/>
      <x:c r="Q109" s="117"/>
      <x:c r="R109" s="117"/>
      <x:c r="S109" s="117"/>
      <x:c r="T109" s="117"/>
      <x:c r="U109" s="117"/>
      <x:c r="V109" s="117"/>
      <x:c r="W109" s="117"/>
      <x:c r="X109" s="117"/>
      <x:c r="Y109" s="117"/>
      <x:c r="Z109" s="117"/>
    </x:row>
    <x:row r="110">
      <x:c r="A110" s="117"/>
      <x:c r="B110" s="117"/>
      <x:c r="C110" s="117"/>
      <x:c r="D110" s="117"/>
      <x:c r="E110" s="117"/>
      <x:c r="F110" s="117"/>
      <x:c r="G110" s="117"/>
      <x:c r="H110" s="117"/>
      <x:c r="I110" s="117"/>
      <x:c r="J110" s="117"/>
      <x:c r="K110" s="117"/>
      <x:c r="L110" s="117"/>
      <x:c r="M110" s="117"/>
      <x:c r="N110" s="117"/>
      <x:c r="O110" s="117"/>
      <x:c r="P110" s="117"/>
      <x:c r="Q110" s="117"/>
      <x:c r="R110" s="117"/>
      <x:c r="S110" s="117"/>
      <x:c r="T110" s="117"/>
      <x:c r="U110" s="117"/>
      <x:c r="V110" s="117"/>
      <x:c r="W110" s="117"/>
      <x:c r="X110" s="117"/>
      <x:c r="Y110" s="117"/>
      <x:c r="Z110" s="117"/>
    </x:row>
    <x:row r="111">
      <x:c r="A111" s="117"/>
      <x:c r="B111" s="117"/>
      <x:c r="C111" s="117"/>
      <x:c r="D111" s="117"/>
      <x:c r="E111" s="117"/>
      <x:c r="F111" s="117"/>
      <x:c r="G111" s="117"/>
      <x:c r="H111" s="117"/>
      <x:c r="I111" s="117"/>
      <x:c r="J111" s="117"/>
      <x:c r="K111" s="117"/>
      <x:c r="L111" s="117"/>
      <x:c r="M111" s="117"/>
      <x:c r="N111" s="117"/>
      <x:c r="O111" s="117"/>
      <x:c r="P111" s="117"/>
      <x:c r="Q111" s="117"/>
      <x:c r="R111" s="117"/>
      <x:c r="S111" s="117"/>
      <x:c r="T111" s="117"/>
      <x:c r="U111" s="117"/>
      <x:c r="V111" s="117"/>
      <x:c r="W111" s="117"/>
      <x:c r="X111" s="117"/>
      <x:c r="Y111" s="117"/>
      <x:c r="Z111" s="117"/>
    </x:row>
    <x:row r="112">
      <x:c r="A112" s="117"/>
      <x:c r="B112" s="117"/>
      <x:c r="C112" s="117"/>
      <x:c r="D112" s="117"/>
      <x:c r="E112" s="117"/>
      <x:c r="F112" s="117"/>
      <x:c r="G112" s="117"/>
      <x:c r="H112" s="117"/>
      <x:c r="I112" s="117"/>
      <x:c r="J112" s="117"/>
      <x:c r="K112" s="117"/>
      <x:c r="L112" s="117"/>
      <x:c r="M112" s="117"/>
      <x:c r="N112" s="117"/>
      <x:c r="O112" s="117"/>
      <x:c r="P112" s="117"/>
      <x:c r="Q112" s="117"/>
      <x:c r="R112" s="117"/>
      <x:c r="S112" s="117"/>
      <x:c r="T112" s="117"/>
      <x:c r="U112" s="117"/>
      <x:c r="V112" s="117"/>
      <x:c r="W112" s="117"/>
      <x:c r="X112" s="117"/>
      <x:c r="Y112" s="117"/>
      <x:c r="Z112" s="117"/>
    </x:row>
    <x:row r="113">
      <x:c r="A113" s="117"/>
      <x:c r="B113" s="117"/>
      <x:c r="C113" s="117"/>
      <x:c r="D113" s="117"/>
      <x:c r="E113" s="117"/>
      <x:c r="F113" s="117"/>
      <x:c r="G113" s="117"/>
      <x:c r="H113" s="117"/>
      <x:c r="I113" s="117"/>
      <x:c r="J113" s="117"/>
      <x:c r="K113" s="117"/>
      <x:c r="L113" s="117"/>
      <x:c r="M113" s="117"/>
      <x:c r="N113" s="117"/>
      <x:c r="O113" s="117"/>
      <x:c r="P113" s="117"/>
      <x:c r="Q113" s="117"/>
      <x:c r="R113" s="117"/>
      <x:c r="S113" s="117"/>
      <x:c r="T113" s="117"/>
      <x:c r="U113" s="117"/>
      <x:c r="V113" s="117"/>
      <x:c r="W113" s="117"/>
      <x:c r="X113" s="117"/>
      <x:c r="Y113" s="117"/>
      <x:c r="Z113" s="117"/>
    </x:row>
    <x:row r="114">
      <x:c r="A114" s="117"/>
      <x:c r="B114" s="117"/>
      <x:c r="C114" s="117"/>
      <x:c r="D114" s="117"/>
      <x:c r="E114" s="117"/>
      <x:c r="F114" s="117"/>
      <x:c r="G114" s="117"/>
      <x:c r="H114" s="117"/>
      <x:c r="I114" s="117"/>
      <x:c r="J114" s="117"/>
      <x:c r="K114" s="117"/>
      <x:c r="L114" s="117"/>
      <x:c r="M114" s="117"/>
      <x:c r="N114" s="117"/>
      <x:c r="O114" s="117"/>
      <x:c r="P114" s="117"/>
      <x:c r="Q114" s="117"/>
      <x:c r="R114" s="117"/>
      <x:c r="S114" s="117"/>
      <x:c r="T114" s="117"/>
      <x:c r="U114" s="117"/>
      <x:c r="V114" s="117"/>
      <x:c r="W114" s="117"/>
      <x:c r="X114" s="117"/>
      <x:c r="Y114" s="117"/>
      <x:c r="Z114" s="117"/>
    </x:row>
    <x:row r="115">
      <x:c r="A115" s="117"/>
      <x:c r="B115" s="117"/>
      <x:c r="C115" s="117"/>
      <x:c r="D115" s="117"/>
      <x:c r="E115" s="117"/>
      <x:c r="F115" s="117"/>
      <x:c r="G115" s="117"/>
      <x:c r="H115" s="117"/>
      <x:c r="I115" s="117"/>
      <x:c r="J115" s="117"/>
      <x:c r="K115" s="117"/>
      <x:c r="L115" s="117"/>
      <x:c r="M115" s="117"/>
      <x:c r="N115" s="117"/>
      <x:c r="O115" s="117"/>
      <x:c r="P115" s="117"/>
      <x:c r="Q115" s="117"/>
      <x:c r="R115" s="117"/>
      <x:c r="S115" s="117"/>
      <x:c r="T115" s="117"/>
      <x:c r="U115" s="117"/>
      <x:c r="V115" s="117"/>
      <x:c r="W115" s="117"/>
      <x:c r="X115" s="117"/>
      <x:c r="Y115" s="117"/>
      <x:c r="Z115" s="117"/>
    </x:row>
    <x:row r="116">
      <x:c r="A116" s="117"/>
      <x:c r="B116" s="117"/>
      <x:c r="C116" s="117"/>
      <x:c r="D116" s="117"/>
      <x:c r="E116" s="117"/>
      <x:c r="F116" s="117"/>
      <x:c r="G116" s="117"/>
      <x:c r="H116" s="117"/>
      <x:c r="I116" s="117"/>
      <x:c r="J116" s="117"/>
      <x:c r="K116" s="117"/>
      <x:c r="L116" s="117"/>
      <x:c r="M116" s="117"/>
      <x:c r="N116" s="117"/>
      <x:c r="O116" s="117"/>
      <x:c r="P116" s="117"/>
      <x:c r="Q116" s="117"/>
      <x:c r="R116" s="117"/>
      <x:c r="S116" s="117"/>
      <x:c r="T116" s="117"/>
      <x:c r="U116" s="117"/>
      <x:c r="V116" s="117"/>
      <x:c r="W116" s="117"/>
      <x:c r="X116" s="117"/>
      <x:c r="Y116" s="117"/>
      <x:c r="Z116" s="117"/>
    </x:row>
    <x:row r="117">
      <x:c r="A117" s="117"/>
      <x:c r="B117" s="117"/>
      <x:c r="C117" s="117"/>
      <x:c r="D117" s="117"/>
      <x:c r="E117" s="117"/>
      <x:c r="F117" s="117"/>
      <x:c r="G117" s="117"/>
      <x:c r="H117" s="117"/>
      <x:c r="I117" s="117"/>
      <x:c r="J117" s="117"/>
      <x:c r="K117" s="117"/>
      <x:c r="L117" s="117"/>
      <x:c r="M117" s="117"/>
      <x:c r="N117" s="117"/>
      <x:c r="O117" s="117"/>
      <x:c r="P117" s="117"/>
      <x:c r="Q117" s="117"/>
      <x:c r="R117" s="117"/>
      <x:c r="S117" s="117"/>
      <x:c r="T117" s="117"/>
      <x:c r="U117" s="117"/>
      <x:c r="V117" s="117"/>
      <x:c r="W117" s="117"/>
      <x:c r="X117" s="117"/>
      <x:c r="Y117" s="117"/>
      <x:c r="Z117" s="117"/>
    </x:row>
    <x:row r="118">
      <x:c r="A118" s="117"/>
      <x:c r="B118" s="117"/>
      <x:c r="C118" s="117"/>
      <x:c r="D118" s="117"/>
      <x:c r="E118" s="117"/>
      <x:c r="F118" s="117"/>
      <x:c r="G118" s="117"/>
      <x:c r="H118" s="117"/>
      <x:c r="I118" s="117"/>
      <x:c r="J118" s="117"/>
      <x:c r="K118" s="117"/>
      <x:c r="L118" s="117"/>
      <x:c r="M118" s="117"/>
      <x:c r="N118" s="117"/>
      <x:c r="O118" s="117"/>
      <x:c r="P118" s="117"/>
      <x:c r="Q118" s="117"/>
      <x:c r="R118" s="117"/>
      <x:c r="S118" s="117"/>
      <x:c r="T118" s="117"/>
      <x:c r="U118" s="117"/>
      <x:c r="V118" s="117"/>
      <x:c r="W118" s="117"/>
      <x:c r="X118" s="117"/>
      <x:c r="Y118" s="117"/>
      <x:c r="Z118" s="117"/>
    </x:row>
    <x:row r="119">
      <x:c r="A119" s="117"/>
      <x:c r="B119" s="117"/>
      <x:c r="C119" s="117"/>
      <x:c r="D119" s="117"/>
      <x:c r="E119" s="117"/>
      <x:c r="F119" s="117"/>
      <x:c r="G119" s="117"/>
      <x:c r="H119" s="117"/>
      <x:c r="I119" s="117"/>
      <x:c r="J119" s="117"/>
      <x:c r="K119" s="117"/>
      <x:c r="L119" s="117"/>
      <x:c r="M119" s="117"/>
      <x:c r="N119" s="117"/>
      <x:c r="O119" s="117"/>
      <x:c r="P119" s="117"/>
      <x:c r="Q119" s="117"/>
      <x:c r="R119" s="117"/>
      <x:c r="S119" s="117"/>
      <x:c r="T119" s="117"/>
      <x:c r="U119" s="117"/>
      <x:c r="V119" s="117"/>
      <x:c r="W119" s="117"/>
      <x:c r="X119" s="117"/>
      <x:c r="Y119" s="117"/>
      <x:c r="Z119" s="117"/>
    </x:row>
    <x:row r="120">
      <x:c r="A120" s="117"/>
      <x:c r="B120" s="117"/>
      <x:c r="C120" s="117"/>
      <x:c r="D120" s="117"/>
      <x:c r="E120" s="117"/>
      <x:c r="F120" s="117"/>
      <x:c r="G120" s="117"/>
      <x:c r="H120" s="117"/>
      <x:c r="I120" s="117"/>
      <x:c r="J120" s="117"/>
      <x:c r="K120" s="117"/>
      <x:c r="L120" s="117"/>
      <x:c r="M120" s="117"/>
      <x:c r="N120" s="117"/>
      <x:c r="O120" s="117"/>
      <x:c r="P120" s="117"/>
      <x:c r="Q120" s="117"/>
      <x:c r="R120" s="117"/>
      <x:c r="S120" s="117"/>
      <x:c r="T120" s="117"/>
      <x:c r="U120" s="117"/>
      <x:c r="V120" s="117"/>
      <x:c r="W120" s="117"/>
      <x:c r="X120" s="117"/>
      <x:c r="Y120" s="117"/>
      <x:c r="Z120" s="117"/>
    </x:row>
    <x:row r="121">
      <x:c r="A121" s="117"/>
      <x:c r="B121" s="117"/>
      <x:c r="C121" s="117"/>
      <x:c r="D121" s="117"/>
      <x:c r="E121" s="117"/>
      <x:c r="F121" s="117"/>
      <x:c r="G121" s="117"/>
      <x:c r="H121" s="117"/>
      <x:c r="I121" s="117"/>
      <x:c r="J121" s="117"/>
      <x:c r="K121" s="117"/>
      <x:c r="L121" s="117"/>
      <x:c r="M121" s="117"/>
      <x:c r="N121" s="117"/>
      <x:c r="O121" s="117"/>
      <x:c r="P121" s="117"/>
      <x:c r="Q121" s="117"/>
      <x:c r="R121" s="117"/>
      <x:c r="S121" s="117"/>
      <x:c r="T121" s="117"/>
      <x:c r="U121" s="117"/>
      <x:c r="V121" s="117"/>
      <x:c r="W121" s="117"/>
      <x:c r="X121" s="117"/>
      <x:c r="Y121" s="117"/>
      <x:c r="Z121" s="117"/>
    </x:row>
    <x:row r="122">
      <x:c r="A122" s="117"/>
      <x:c r="B122" s="117"/>
      <x:c r="C122" s="117"/>
      <x:c r="D122" s="117"/>
      <x:c r="E122" s="117"/>
      <x:c r="F122" s="117"/>
      <x:c r="G122" s="117"/>
      <x:c r="H122" s="117"/>
      <x:c r="I122" s="117"/>
      <x:c r="J122" s="117"/>
      <x:c r="K122" s="117"/>
      <x:c r="L122" s="117"/>
      <x:c r="M122" s="117"/>
      <x:c r="N122" s="117"/>
      <x:c r="O122" s="117"/>
      <x:c r="P122" s="117"/>
      <x:c r="Q122" s="117"/>
      <x:c r="R122" s="117"/>
      <x:c r="S122" s="117"/>
      <x:c r="T122" s="117"/>
      <x:c r="U122" s="117"/>
      <x:c r="V122" s="117"/>
      <x:c r="W122" s="117"/>
      <x:c r="X122" s="117"/>
      <x:c r="Y122" s="117"/>
      <x:c r="Z122" s="117"/>
    </x:row>
    <x:row r="123">
      <x:c r="A123" s="117"/>
      <x:c r="B123" s="117"/>
      <x:c r="C123" s="117"/>
      <x:c r="D123" s="117"/>
      <x:c r="E123" s="117"/>
      <x:c r="F123" s="117"/>
      <x:c r="G123" s="117"/>
      <x:c r="H123" s="117"/>
      <x:c r="I123" s="117"/>
      <x:c r="J123" s="117"/>
      <x:c r="K123" s="117"/>
      <x:c r="L123" s="117"/>
      <x:c r="M123" s="117"/>
      <x:c r="N123" s="117"/>
      <x:c r="O123" s="117"/>
      <x:c r="P123" s="117"/>
      <x:c r="Q123" s="117"/>
      <x:c r="R123" s="117"/>
      <x:c r="S123" s="117"/>
      <x:c r="T123" s="117"/>
      <x:c r="U123" s="117"/>
      <x:c r="V123" s="117"/>
      <x:c r="W123" s="117"/>
      <x:c r="X123" s="117"/>
      <x:c r="Y123" s="117"/>
      <x:c r="Z123" s="117"/>
    </x:row>
    <x:row r="124">
      <x:c r="A124" s="117"/>
      <x:c r="B124" s="117"/>
      <x:c r="C124" s="117"/>
      <x:c r="D124" s="117"/>
      <x:c r="E124" s="117"/>
      <x:c r="F124" s="117"/>
      <x:c r="G124" s="117"/>
      <x:c r="H124" s="117"/>
      <x:c r="I124" s="117"/>
      <x:c r="J124" s="117"/>
      <x:c r="K124" s="117"/>
      <x:c r="L124" s="117"/>
      <x:c r="M124" s="117"/>
      <x:c r="N124" s="117"/>
      <x:c r="O124" s="117"/>
      <x:c r="P124" s="117"/>
      <x:c r="Q124" s="117"/>
      <x:c r="R124" s="117"/>
      <x:c r="S124" s="117"/>
      <x:c r="T124" s="117"/>
      <x:c r="U124" s="117"/>
      <x:c r="V124" s="117"/>
      <x:c r="W124" s="117"/>
      <x:c r="X124" s="117"/>
      <x:c r="Y124" s="117"/>
      <x:c r="Z124" s="117"/>
    </x:row>
    <x:row r="125">
      <x:c r="A125" s="117"/>
      <x:c r="B125" s="117"/>
      <x:c r="C125" s="117"/>
      <x:c r="D125" s="117"/>
      <x:c r="E125" s="117"/>
      <x:c r="F125" s="117"/>
      <x:c r="G125" s="117"/>
      <x:c r="H125" s="117"/>
      <x:c r="I125" s="117"/>
      <x:c r="J125" s="117"/>
      <x:c r="K125" s="117"/>
      <x:c r="L125" s="117"/>
      <x:c r="M125" s="117"/>
      <x:c r="N125" s="117"/>
      <x:c r="O125" s="117"/>
      <x:c r="P125" s="117"/>
      <x:c r="Q125" s="117"/>
      <x:c r="R125" s="117"/>
      <x:c r="S125" s="117"/>
      <x:c r="T125" s="117"/>
      <x:c r="U125" s="117"/>
      <x:c r="V125" s="117"/>
      <x:c r="W125" s="117"/>
      <x:c r="X125" s="117"/>
      <x:c r="Y125" s="117"/>
      <x:c r="Z125" s="117"/>
    </x:row>
    <x:row r="126">
      <x:c r="A126" s="117"/>
      <x:c r="B126" s="117"/>
      <x:c r="C126" s="117"/>
      <x:c r="D126" s="117"/>
      <x:c r="E126" s="117"/>
      <x:c r="F126" s="117"/>
      <x:c r="G126" s="117"/>
      <x:c r="H126" s="117"/>
      <x:c r="I126" s="117"/>
      <x:c r="J126" s="117"/>
      <x:c r="K126" s="117"/>
      <x:c r="L126" s="117"/>
      <x:c r="M126" s="117"/>
      <x:c r="N126" s="117"/>
      <x:c r="O126" s="117"/>
      <x:c r="P126" s="117"/>
      <x:c r="Q126" s="117"/>
      <x:c r="R126" s="117"/>
      <x:c r="S126" s="117"/>
      <x:c r="T126" s="117"/>
      <x:c r="U126" s="117"/>
      <x:c r="V126" s="117"/>
      <x:c r="W126" s="117"/>
      <x:c r="X126" s="117"/>
      <x:c r="Y126" s="117"/>
      <x:c r="Z126" s="117"/>
    </x:row>
    <x:row r="127">
      <x:c r="A127" s="117"/>
      <x:c r="B127" s="117"/>
      <x:c r="C127" s="117"/>
      <x:c r="D127" s="117"/>
      <x:c r="E127" s="117"/>
      <x:c r="F127" s="117"/>
      <x:c r="G127" s="117"/>
      <x:c r="H127" s="117"/>
      <x:c r="I127" s="117"/>
      <x:c r="J127" s="117"/>
      <x:c r="K127" s="117"/>
      <x:c r="L127" s="117"/>
      <x:c r="M127" s="117"/>
      <x:c r="N127" s="117"/>
      <x:c r="O127" s="117"/>
      <x:c r="P127" s="117"/>
      <x:c r="Q127" s="117"/>
      <x:c r="R127" s="117"/>
      <x:c r="S127" s="117"/>
      <x:c r="T127" s="117"/>
      <x:c r="U127" s="117"/>
      <x:c r="V127" s="117"/>
      <x:c r="W127" s="117"/>
      <x:c r="X127" s="117"/>
      <x:c r="Y127" s="117"/>
      <x:c r="Z127" s="117"/>
    </x:row>
    <x:row r="128">
      <x:c r="A128" s="117"/>
      <x:c r="B128" s="117"/>
      <x:c r="C128" s="117"/>
      <x:c r="D128" s="117"/>
      <x:c r="E128" s="117"/>
      <x:c r="F128" s="117"/>
      <x:c r="G128" s="117"/>
      <x:c r="H128" s="117"/>
      <x:c r="I128" s="117"/>
      <x:c r="J128" s="117"/>
      <x:c r="K128" s="117"/>
      <x:c r="L128" s="117"/>
      <x:c r="M128" s="117"/>
      <x:c r="N128" s="117"/>
      <x:c r="O128" s="117"/>
      <x:c r="P128" s="117"/>
      <x:c r="Q128" s="117"/>
      <x:c r="R128" s="117"/>
      <x:c r="S128" s="117"/>
      <x:c r="T128" s="117"/>
      <x:c r="U128" s="117"/>
      <x:c r="V128" s="117"/>
      <x:c r="W128" s="117"/>
      <x:c r="X128" s="117"/>
      <x:c r="Y128" s="117"/>
      <x:c r="Z128" s="117"/>
    </x:row>
    <x:row r="129">
      <x:c r="A129" s="117"/>
      <x:c r="B129" s="117"/>
      <x:c r="C129" s="117"/>
      <x:c r="D129" s="117"/>
      <x:c r="E129" s="117"/>
      <x:c r="F129" s="117"/>
      <x:c r="G129" s="117"/>
      <x:c r="H129" s="117"/>
      <x:c r="I129" s="117"/>
      <x:c r="J129" s="117"/>
      <x:c r="K129" s="117"/>
      <x:c r="L129" s="117"/>
      <x:c r="M129" s="117"/>
      <x:c r="N129" s="117"/>
      <x:c r="O129" s="117"/>
      <x:c r="P129" s="117"/>
      <x:c r="Q129" s="117"/>
      <x:c r="R129" s="117"/>
      <x:c r="S129" s="117"/>
      <x:c r="T129" s="117"/>
      <x:c r="U129" s="117"/>
      <x:c r="V129" s="117"/>
      <x:c r="W129" s="117"/>
      <x:c r="X129" s="117"/>
      <x:c r="Y129" s="117"/>
      <x:c r="Z129" s="117"/>
    </x:row>
    <x:row r="130">
      <x:c r="A130" s="117"/>
      <x:c r="B130" s="117"/>
      <x:c r="C130" s="117"/>
      <x:c r="D130" s="117"/>
      <x:c r="E130" s="117"/>
      <x:c r="F130" s="117"/>
      <x:c r="G130" s="117"/>
      <x:c r="H130" s="117"/>
      <x:c r="I130" s="117"/>
      <x:c r="J130" s="117"/>
      <x:c r="K130" s="117"/>
      <x:c r="L130" s="117"/>
      <x:c r="M130" s="117"/>
      <x:c r="N130" s="117"/>
      <x:c r="O130" s="117"/>
      <x:c r="P130" s="117"/>
      <x:c r="Q130" s="117"/>
      <x:c r="R130" s="117"/>
      <x:c r="S130" s="117"/>
      <x:c r="T130" s="117"/>
      <x:c r="U130" s="117"/>
      <x:c r="V130" s="117"/>
      <x:c r="W130" s="117"/>
      <x:c r="X130" s="117"/>
      <x:c r="Y130" s="117"/>
      <x:c r="Z130" s="117"/>
    </x:row>
    <x:row r="131">
      <x:c r="A131" s="117"/>
      <x:c r="B131" s="117"/>
      <x:c r="C131" s="117"/>
      <x:c r="D131" s="117"/>
      <x:c r="E131" s="117"/>
      <x:c r="F131" s="117"/>
      <x:c r="G131" s="117"/>
      <x:c r="H131" s="117"/>
      <x:c r="I131" s="117"/>
      <x:c r="J131" s="117"/>
      <x:c r="K131" s="117"/>
      <x:c r="L131" s="117"/>
      <x:c r="M131" s="117"/>
      <x:c r="N131" s="117"/>
      <x:c r="O131" s="117"/>
      <x:c r="P131" s="117"/>
      <x:c r="Q131" s="117"/>
      <x:c r="R131" s="117"/>
      <x:c r="S131" s="117"/>
      <x:c r="T131" s="117"/>
      <x:c r="U131" s="117"/>
      <x:c r="V131" s="117"/>
      <x:c r="W131" s="117"/>
      <x:c r="X131" s="117"/>
      <x:c r="Y131" s="117"/>
      <x:c r="Z131" s="117"/>
    </x:row>
    <x:row r="132">
      <x:c r="A132" s="117"/>
      <x:c r="B132" s="117"/>
      <x:c r="C132" s="117"/>
      <x:c r="D132" s="117"/>
      <x:c r="E132" s="117"/>
      <x:c r="F132" s="117"/>
      <x:c r="G132" s="117"/>
      <x:c r="H132" s="117"/>
      <x:c r="I132" s="117"/>
      <x:c r="J132" s="117"/>
      <x:c r="K132" s="117"/>
      <x:c r="L132" s="117"/>
      <x:c r="M132" s="117"/>
      <x:c r="N132" s="117"/>
      <x:c r="O132" s="117"/>
      <x:c r="P132" s="117"/>
      <x:c r="Q132" s="117"/>
      <x:c r="R132" s="117"/>
      <x:c r="S132" s="117"/>
      <x:c r="T132" s="117"/>
      <x:c r="U132" s="117"/>
      <x:c r="V132" s="117"/>
      <x:c r="W132" s="117"/>
      <x:c r="X132" s="117"/>
      <x:c r="Y132" s="117"/>
      <x:c r="Z132" s="117"/>
    </x:row>
    <x:row r="133">
      <x:c r="A133" s="117"/>
      <x:c r="B133" s="117"/>
      <x:c r="C133" s="117"/>
      <x:c r="D133" s="117"/>
      <x:c r="E133" s="117"/>
      <x:c r="F133" s="117"/>
      <x:c r="G133" s="117"/>
      <x:c r="H133" s="117"/>
      <x:c r="I133" s="117"/>
      <x:c r="J133" s="117"/>
      <x:c r="K133" s="117"/>
      <x:c r="L133" s="117"/>
      <x:c r="M133" s="117"/>
      <x:c r="N133" s="117"/>
      <x:c r="O133" s="117"/>
      <x:c r="P133" s="117"/>
      <x:c r="Q133" s="117"/>
      <x:c r="R133" s="117"/>
      <x:c r="S133" s="117"/>
      <x:c r="T133" s="117"/>
      <x:c r="U133" s="117"/>
      <x:c r="V133" s="117"/>
      <x:c r="W133" s="117"/>
      <x:c r="X133" s="117"/>
      <x:c r="Y133" s="117"/>
      <x:c r="Z133" s="117"/>
    </x:row>
    <x:row r="134">
      <x:c r="A134" s="117"/>
      <x:c r="B134" s="117"/>
      <x:c r="C134" s="117"/>
      <x:c r="D134" s="117"/>
      <x:c r="E134" s="117"/>
      <x:c r="F134" s="117"/>
      <x:c r="G134" s="117"/>
      <x:c r="H134" s="117"/>
      <x:c r="I134" s="117"/>
      <x:c r="J134" s="117"/>
      <x:c r="K134" s="117"/>
      <x:c r="L134" s="117"/>
      <x:c r="M134" s="117"/>
      <x:c r="N134" s="117"/>
      <x:c r="O134" s="117"/>
      <x:c r="P134" s="117"/>
      <x:c r="Q134" s="117"/>
      <x:c r="R134" s="117"/>
      <x:c r="S134" s="117"/>
      <x:c r="T134" s="117"/>
      <x:c r="U134" s="117"/>
      <x:c r="V134" s="117"/>
      <x:c r="W134" s="117"/>
      <x:c r="X134" s="117"/>
      <x:c r="Y134" s="117"/>
      <x:c r="Z134" s="117"/>
    </x:row>
    <x:row r="135">
      <x:c r="A135" s="117"/>
      <x:c r="B135" s="117"/>
      <x:c r="C135" s="117"/>
      <x:c r="D135" s="117"/>
      <x:c r="E135" s="117"/>
      <x:c r="F135" s="117"/>
      <x:c r="G135" s="117"/>
      <x:c r="H135" s="117"/>
      <x:c r="I135" s="117"/>
      <x:c r="J135" s="117"/>
      <x:c r="K135" s="117"/>
      <x:c r="L135" s="117"/>
      <x:c r="M135" s="117"/>
      <x:c r="N135" s="117"/>
      <x:c r="O135" s="117"/>
      <x:c r="P135" s="117"/>
      <x:c r="Q135" s="117"/>
      <x:c r="R135" s="117"/>
      <x:c r="S135" s="117"/>
      <x:c r="T135" s="117"/>
      <x:c r="U135" s="117"/>
      <x:c r="V135" s="117"/>
      <x:c r="W135" s="117"/>
      <x:c r="X135" s="117"/>
      <x:c r="Y135" s="117"/>
      <x:c r="Z135" s="117"/>
    </x:row>
    <x:row r="136">
      <x:c r="A136" s="117"/>
      <x:c r="B136" s="117"/>
      <x:c r="C136" s="117"/>
      <x:c r="D136" s="117"/>
      <x:c r="E136" s="117"/>
      <x:c r="F136" s="117"/>
      <x:c r="G136" s="117"/>
      <x:c r="H136" s="117"/>
      <x:c r="I136" s="117"/>
      <x:c r="J136" s="117"/>
      <x:c r="K136" s="117"/>
      <x:c r="L136" s="117"/>
      <x:c r="M136" s="117"/>
      <x:c r="N136" s="117"/>
      <x:c r="O136" s="117"/>
      <x:c r="P136" s="117"/>
      <x:c r="Q136" s="117"/>
      <x:c r="R136" s="117"/>
      <x:c r="S136" s="117"/>
      <x:c r="T136" s="117"/>
      <x:c r="U136" s="117"/>
      <x:c r="V136" s="117"/>
      <x:c r="W136" s="117"/>
      <x:c r="X136" s="117"/>
      <x:c r="Y136" s="117"/>
      <x:c r="Z136" s="117"/>
    </x:row>
    <x:row r="137">
      <x:c r="A137" s="117"/>
      <x:c r="B137" s="117"/>
      <x:c r="C137" s="117"/>
      <x:c r="D137" s="117"/>
      <x:c r="E137" s="117"/>
      <x:c r="F137" s="117"/>
      <x:c r="G137" s="117"/>
      <x:c r="H137" s="117"/>
      <x:c r="I137" s="117"/>
      <x:c r="J137" s="117"/>
      <x:c r="K137" s="117"/>
      <x:c r="L137" s="117"/>
      <x:c r="M137" s="117"/>
      <x:c r="N137" s="117"/>
      <x:c r="O137" s="117"/>
      <x:c r="P137" s="117"/>
      <x:c r="Q137" s="117"/>
      <x:c r="R137" s="117"/>
      <x:c r="S137" s="117"/>
      <x:c r="T137" s="117"/>
      <x:c r="U137" s="117"/>
      <x:c r="V137" s="117"/>
      <x:c r="W137" s="117"/>
      <x:c r="X137" s="117"/>
      <x:c r="Y137" s="117"/>
      <x:c r="Z137" s="117"/>
    </x:row>
    <x:row r="138">
      <x:c r="A138" s="117"/>
      <x:c r="B138" s="117"/>
      <x:c r="C138" s="117"/>
      <x:c r="D138" s="117"/>
      <x:c r="E138" s="117"/>
      <x:c r="F138" s="117"/>
      <x:c r="G138" s="117"/>
      <x:c r="H138" s="117"/>
      <x:c r="I138" s="117"/>
      <x:c r="J138" s="117"/>
      <x:c r="K138" s="117"/>
      <x:c r="L138" s="117"/>
      <x:c r="M138" s="117"/>
      <x:c r="N138" s="117"/>
      <x:c r="O138" s="117"/>
      <x:c r="P138" s="117"/>
      <x:c r="Q138" s="117"/>
      <x:c r="R138" s="117"/>
      <x:c r="S138" s="117"/>
      <x:c r="T138" s="117"/>
      <x:c r="U138" s="117"/>
      <x:c r="V138" s="117"/>
      <x:c r="W138" s="117"/>
      <x:c r="X138" s="117"/>
      <x:c r="Y138" s="117"/>
      <x:c r="Z138" s="117"/>
    </x:row>
    <x:row r="139">
      <x:c r="A139" s="117"/>
      <x:c r="B139" s="117"/>
      <x:c r="C139" s="117"/>
      <x:c r="D139" s="117"/>
      <x:c r="E139" s="117"/>
      <x:c r="F139" s="117"/>
      <x:c r="G139" s="117"/>
      <x:c r="H139" s="117"/>
      <x:c r="I139" s="117"/>
      <x:c r="J139" s="117"/>
      <x:c r="K139" s="117"/>
      <x:c r="L139" s="117"/>
      <x:c r="M139" s="117"/>
      <x:c r="N139" s="117"/>
      <x:c r="O139" s="117"/>
      <x:c r="P139" s="117"/>
      <x:c r="Q139" s="117"/>
      <x:c r="R139" s="117"/>
      <x:c r="S139" s="117"/>
      <x:c r="T139" s="117"/>
      <x:c r="U139" s="117"/>
      <x:c r="V139" s="117"/>
      <x:c r="W139" s="117"/>
      <x:c r="X139" s="117"/>
      <x:c r="Y139" s="117"/>
      <x:c r="Z139" s="117"/>
    </x:row>
    <x:row r="140">
      <x:c r="A140" s="117"/>
      <x:c r="B140" s="117"/>
      <x:c r="C140" s="117"/>
      <x:c r="D140" s="117"/>
      <x:c r="E140" s="117"/>
      <x:c r="F140" s="117"/>
      <x:c r="G140" s="117"/>
      <x:c r="H140" s="117"/>
      <x:c r="I140" s="117"/>
      <x:c r="J140" s="117"/>
      <x:c r="K140" s="117"/>
      <x:c r="L140" s="117"/>
      <x:c r="M140" s="117"/>
      <x:c r="N140" s="117"/>
      <x:c r="O140" s="117"/>
      <x:c r="P140" s="117"/>
      <x:c r="Q140" s="117"/>
      <x:c r="R140" s="117"/>
      <x:c r="S140" s="117"/>
      <x:c r="T140" s="117"/>
      <x:c r="U140" s="117"/>
      <x:c r="V140" s="117"/>
      <x:c r="W140" s="117"/>
      <x:c r="X140" s="117"/>
      <x:c r="Y140" s="117"/>
      <x:c r="Z140" s="117"/>
    </x:row>
    <x:row r="141">
      <x:c r="A141" s="117"/>
      <x:c r="B141" s="117"/>
      <x:c r="C141" s="117"/>
      <x:c r="D141" s="117"/>
      <x:c r="E141" s="117"/>
      <x:c r="F141" s="117"/>
      <x:c r="G141" s="117"/>
      <x:c r="H141" s="117"/>
      <x:c r="I141" s="117"/>
      <x:c r="J141" s="117"/>
      <x:c r="K141" s="117"/>
      <x:c r="L141" s="117"/>
      <x:c r="M141" s="117"/>
      <x:c r="N141" s="117"/>
      <x:c r="O141" s="117"/>
      <x:c r="P141" s="117"/>
      <x:c r="Q141" s="117"/>
      <x:c r="R141" s="117"/>
      <x:c r="S141" s="117"/>
      <x:c r="T141" s="117"/>
      <x:c r="U141" s="117"/>
      <x:c r="V141" s="117"/>
      <x:c r="W141" s="117"/>
      <x:c r="X141" s="117"/>
      <x:c r="Y141" s="117"/>
      <x:c r="Z141" s="117"/>
    </x:row>
    <x:row r="142">
      <x:c r="A142" s="117"/>
      <x:c r="B142" s="117"/>
      <x:c r="C142" s="117"/>
      <x:c r="D142" s="117"/>
      <x:c r="E142" s="117"/>
      <x:c r="F142" s="117"/>
      <x:c r="G142" s="117"/>
      <x:c r="H142" s="117"/>
      <x:c r="I142" s="117"/>
      <x:c r="J142" s="117"/>
      <x:c r="K142" s="117"/>
      <x:c r="L142" s="117"/>
      <x:c r="M142" s="117"/>
      <x:c r="N142" s="117"/>
      <x:c r="O142" s="117"/>
      <x:c r="P142" s="117"/>
      <x:c r="Q142" s="117"/>
      <x:c r="R142" s="117"/>
      <x:c r="S142" s="117"/>
      <x:c r="T142" s="117"/>
      <x:c r="U142" s="117"/>
      <x:c r="V142" s="117"/>
      <x:c r="W142" s="117"/>
      <x:c r="X142" s="117"/>
      <x:c r="Y142" s="117"/>
      <x:c r="Z142" s="117"/>
    </x:row>
    <x:row r="143">
      <x:c r="A143" s="117"/>
      <x:c r="B143" s="117"/>
      <x:c r="C143" s="117"/>
      <x:c r="D143" s="117"/>
      <x:c r="E143" s="117"/>
      <x:c r="F143" s="117"/>
      <x:c r="G143" s="117"/>
      <x:c r="H143" s="117"/>
      <x:c r="I143" s="117"/>
      <x:c r="J143" s="117"/>
      <x:c r="K143" s="117"/>
      <x:c r="L143" s="117"/>
      <x:c r="M143" s="117"/>
      <x:c r="N143" s="117"/>
      <x:c r="O143" s="117"/>
      <x:c r="P143" s="117"/>
      <x:c r="Q143" s="117"/>
      <x:c r="R143" s="117"/>
      <x:c r="S143" s="117"/>
      <x:c r="T143" s="117"/>
      <x:c r="U143" s="117"/>
      <x:c r="V143" s="117"/>
      <x:c r="W143" s="117"/>
      <x:c r="X143" s="117"/>
      <x:c r="Y143" s="117"/>
      <x:c r="Z143" s="117"/>
    </x:row>
    <x:row r="144">
      <x:c r="A144" s="117"/>
      <x:c r="B144" s="117"/>
      <x:c r="C144" s="117"/>
      <x:c r="D144" s="117"/>
      <x:c r="E144" s="117"/>
      <x:c r="F144" s="117"/>
      <x:c r="G144" s="117"/>
      <x:c r="H144" s="117"/>
      <x:c r="I144" s="117"/>
      <x:c r="J144" s="117"/>
      <x:c r="K144" s="117"/>
      <x:c r="L144" s="117"/>
      <x:c r="M144" s="117"/>
      <x:c r="N144" s="117"/>
      <x:c r="O144" s="117"/>
      <x:c r="P144" s="117"/>
      <x:c r="Q144" s="117"/>
      <x:c r="R144" s="117"/>
      <x:c r="S144" s="117"/>
      <x:c r="T144" s="117"/>
      <x:c r="U144" s="117"/>
      <x:c r="V144" s="117"/>
      <x:c r="W144" s="117"/>
      <x:c r="X144" s="117"/>
      <x:c r="Y144" s="117"/>
      <x:c r="Z144" s="117"/>
    </x:row>
    <x:row r="145">
      <x:c r="A145" s="117"/>
      <x:c r="B145" s="117"/>
      <x:c r="C145" s="117"/>
      <x:c r="D145" s="117"/>
      <x:c r="E145" s="117"/>
      <x:c r="F145" s="117"/>
      <x:c r="G145" s="117"/>
      <x:c r="H145" s="117"/>
      <x:c r="I145" s="117"/>
      <x:c r="J145" s="117"/>
      <x:c r="K145" s="117"/>
      <x:c r="L145" s="117"/>
      <x:c r="M145" s="117"/>
      <x:c r="N145" s="117"/>
      <x:c r="O145" s="117"/>
      <x:c r="P145" s="117"/>
      <x:c r="Q145" s="117"/>
      <x:c r="R145" s="117"/>
      <x:c r="S145" s="117"/>
      <x:c r="T145" s="117"/>
      <x:c r="U145" s="117"/>
      <x:c r="V145" s="117"/>
      <x:c r="W145" s="117"/>
      <x:c r="X145" s="117"/>
      <x:c r="Y145" s="117"/>
      <x:c r="Z145" s="117"/>
    </x:row>
    <x:row r="146">
      <x:c r="A146" s="117"/>
      <x:c r="B146" s="117"/>
      <x:c r="C146" s="117"/>
      <x:c r="D146" s="117"/>
      <x:c r="E146" s="117"/>
      <x:c r="F146" s="117"/>
      <x:c r="G146" s="117"/>
      <x:c r="H146" s="117"/>
      <x:c r="I146" s="117"/>
      <x:c r="J146" s="117"/>
      <x:c r="K146" s="117"/>
      <x:c r="L146" s="117"/>
      <x:c r="M146" s="117"/>
      <x:c r="N146" s="117"/>
      <x:c r="O146" s="117"/>
      <x:c r="P146" s="117"/>
      <x:c r="Q146" s="117"/>
      <x:c r="R146" s="117"/>
      <x:c r="S146" s="117"/>
      <x:c r="T146" s="117"/>
      <x:c r="U146" s="117"/>
      <x:c r="V146" s="117"/>
      <x:c r="W146" s="117"/>
      <x:c r="X146" s="117"/>
      <x:c r="Y146" s="117"/>
      <x:c r="Z146" s="117"/>
    </x:row>
    <x:row r="147">
      <x:c r="A147" s="117"/>
      <x:c r="B147" s="117"/>
      <x:c r="C147" s="117"/>
      <x:c r="D147" s="117"/>
      <x:c r="E147" s="117"/>
      <x:c r="F147" s="117"/>
      <x:c r="G147" s="117"/>
      <x:c r="H147" s="117"/>
      <x:c r="I147" s="117"/>
      <x:c r="J147" s="117"/>
      <x:c r="K147" s="117"/>
      <x:c r="L147" s="117"/>
      <x:c r="M147" s="117"/>
      <x:c r="N147" s="117"/>
      <x:c r="O147" s="117"/>
      <x:c r="P147" s="117"/>
      <x:c r="Q147" s="117"/>
      <x:c r="R147" s="117"/>
      <x:c r="S147" s="117"/>
      <x:c r="T147" s="117"/>
      <x:c r="U147" s="117"/>
      <x:c r="V147" s="117"/>
      <x:c r="W147" s="117"/>
      <x:c r="X147" s="117"/>
      <x:c r="Y147" s="117"/>
      <x:c r="Z147" s="117"/>
    </x:row>
    <x:row r="148">
      <x:c r="A148" s="117"/>
      <x:c r="B148" s="117"/>
      <x:c r="C148" s="117"/>
      <x:c r="D148" s="117"/>
      <x:c r="E148" s="117"/>
      <x:c r="F148" s="117"/>
      <x:c r="G148" s="117"/>
      <x:c r="H148" s="117"/>
      <x:c r="I148" s="117"/>
      <x:c r="J148" s="117"/>
      <x:c r="K148" s="117"/>
      <x:c r="L148" s="117"/>
      <x:c r="M148" s="117"/>
      <x:c r="N148" s="117"/>
      <x:c r="O148" s="117"/>
      <x:c r="P148" s="117"/>
      <x:c r="Q148" s="117"/>
      <x:c r="R148" s="117"/>
      <x:c r="S148" s="117"/>
      <x:c r="T148" s="117"/>
      <x:c r="U148" s="117"/>
      <x:c r="V148" s="117"/>
      <x:c r="W148" s="117"/>
      <x:c r="X148" s="117"/>
      <x:c r="Y148" s="117"/>
      <x:c r="Z148" s="117"/>
    </x:row>
    <x:row r="149">
      <x:c r="A149" s="117"/>
      <x:c r="B149" s="117"/>
      <x:c r="C149" s="117"/>
      <x:c r="D149" s="117"/>
      <x:c r="E149" s="117"/>
      <x:c r="F149" s="117"/>
      <x:c r="G149" s="117"/>
      <x:c r="H149" s="117"/>
      <x:c r="I149" s="117"/>
      <x:c r="J149" s="117"/>
      <x:c r="K149" s="117"/>
      <x:c r="L149" s="117"/>
      <x:c r="M149" s="117"/>
      <x:c r="N149" s="117"/>
      <x:c r="O149" s="117"/>
      <x:c r="P149" s="117"/>
      <x:c r="Q149" s="117"/>
      <x:c r="R149" s="117"/>
      <x:c r="S149" s="117"/>
      <x:c r="T149" s="117"/>
      <x:c r="U149" s="117"/>
      <x:c r="V149" s="117"/>
      <x:c r="W149" s="117"/>
      <x:c r="X149" s="117"/>
      <x:c r="Y149" s="117"/>
      <x:c r="Z149" s="117"/>
    </x:row>
    <x:row r="150">
      <x:c r="A150" s="117"/>
      <x:c r="B150" s="117"/>
      <x:c r="C150" s="117"/>
      <x:c r="D150" s="117"/>
      <x:c r="E150" s="117"/>
      <x:c r="F150" s="117"/>
      <x:c r="G150" s="117"/>
      <x:c r="H150" s="117"/>
      <x:c r="I150" s="117"/>
      <x:c r="J150" s="117"/>
      <x:c r="K150" s="117"/>
      <x:c r="L150" s="117"/>
      <x:c r="M150" s="117"/>
      <x:c r="N150" s="117"/>
      <x:c r="O150" s="117"/>
      <x:c r="P150" s="117"/>
      <x:c r="Q150" s="117"/>
      <x:c r="R150" s="117"/>
      <x:c r="S150" s="117"/>
      <x:c r="T150" s="117"/>
      <x:c r="U150" s="117"/>
      <x:c r="V150" s="117"/>
      <x:c r="W150" s="117"/>
      <x:c r="X150" s="117"/>
      <x:c r="Y150" s="117"/>
      <x:c r="Z150" s="117"/>
    </x:row>
    <x:row r="151">
      <x:c r="A151" s="117"/>
      <x:c r="B151" s="117"/>
      <x:c r="C151" s="117"/>
      <x:c r="D151" s="117"/>
      <x:c r="E151" s="117"/>
      <x:c r="F151" s="117"/>
      <x:c r="G151" s="117"/>
      <x:c r="H151" s="117"/>
      <x:c r="I151" s="117"/>
      <x:c r="J151" s="117"/>
      <x:c r="K151" s="117"/>
      <x:c r="L151" s="117"/>
      <x:c r="M151" s="117"/>
      <x:c r="N151" s="117"/>
      <x:c r="O151" s="117"/>
      <x:c r="P151" s="117"/>
      <x:c r="Q151" s="117"/>
      <x:c r="R151" s="117"/>
      <x:c r="S151" s="117"/>
      <x:c r="T151" s="117"/>
      <x:c r="U151" s="117"/>
      <x:c r="V151" s="117"/>
      <x:c r="W151" s="117"/>
      <x:c r="X151" s="117"/>
      <x:c r="Y151" s="117"/>
      <x:c r="Z151" s="117"/>
    </x:row>
    <x:row r="152">
      <x:c r="A152" s="117"/>
      <x:c r="B152" s="117"/>
      <x:c r="C152" s="117"/>
      <x:c r="D152" s="117"/>
      <x:c r="E152" s="117"/>
      <x:c r="F152" s="117"/>
      <x:c r="G152" s="117"/>
      <x:c r="H152" s="117"/>
      <x:c r="I152" s="117"/>
      <x:c r="J152" s="117"/>
      <x:c r="K152" s="117"/>
      <x:c r="L152" s="117"/>
      <x:c r="M152" s="117"/>
      <x:c r="N152" s="117"/>
      <x:c r="O152" s="117"/>
      <x:c r="P152" s="117"/>
      <x:c r="Q152" s="117"/>
      <x:c r="R152" s="117"/>
      <x:c r="S152" s="117"/>
      <x:c r="T152" s="117"/>
      <x:c r="U152" s="117"/>
      <x:c r="V152" s="117"/>
      <x:c r="W152" s="117"/>
      <x:c r="X152" s="117"/>
      <x:c r="Y152" s="117"/>
      <x:c r="Z152" s="117"/>
    </x:row>
    <x:row r="153">
      <x:c r="A153" s="117"/>
      <x:c r="B153" s="117"/>
      <x:c r="C153" s="117"/>
      <x:c r="D153" s="117"/>
      <x:c r="E153" s="117"/>
      <x:c r="F153" s="117"/>
      <x:c r="G153" s="117"/>
      <x:c r="H153" s="117"/>
      <x:c r="I153" s="117"/>
      <x:c r="J153" s="117"/>
      <x:c r="K153" s="117"/>
      <x:c r="L153" s="117"/>
      <x:c r="M153" s="117"/>
      <x:c r="N153" s="117"/>
      <x:c r="O153" s="117"/>
      <x:c r="P153" s="117"/>
      <x:c r="Q153" s="117"/>
      <x:c r="R153" s="117"/>
      <x:c r="S153" s="117"/>
      <x:c r="T153" s="117"/>
      <x:c r="U153" s="117"/>
      <x:c r="V153" s="117"/>
      <x:c r="W153" s="117"/>
      <x:c r="X153" s="117"/>
      <x:c r="Y153" s="117"/>
      <x:c r="Z153" s="117"/>
    </x:row>
    <x:row r="154">
      <x:c r="A154" s="117"/>
      <x:c r="B154" s="117"/>
      <x:c r="C154" s="117"/>
      <x:c r="D154" s="117"/>
      <x:c r="E154" s="117"/>
      <x:c r="F154" s="117"/>
      <x:c r="G154" s="117"/>
      <x:c r="H154" s="117"/>
      <x:c r="I154" s="117"/>
      <x:c r="J154" s="117"/>
      <x:c r="K154" s="117"/>
      <x:c r="L154" s="117"/>
      <x:c r="M154" s="117"/>
      <x:c r="N154" s="117"/>
      <x:c r="O154" s="117"/>
      <x:c r="P154" s="117"/>
      <x:c r="Q154" s="117"/>
      <x:c r="R154" s="117"/>
      <x:c r="S154" s="117"/>
      <x:c r="T154" s="117"/>
      <x:c r="U154" s="117"/>
      <x:c r="V154" s="117"/>
      <x:c r="W154" s="117"/>
      <x:c r="X154" s="117"/>
      <x:c r="Y154" s="117"/>
      <x:c r="Z154" s="117"/>
    </x:row>
    <x:row r="155">
      <x:c r="A155" s="117"/>
      <x:c r="B155" s="117"/>
      <x:c r="C155" s="117"/>
      <x:c r="D155" s="117"/>
      <x:c r="E155" s="117"/>
      <x:c r="F155" s="117"/>
      <x:c r="G155" s="117"/>
      <x:c r="H155" s="117"/>
      <x:c r="I155" s="117"/>
      <x:c r="J155" s="117"/>
      <x:c r="K155" s="117"/>
      <x:c r="L155" s="117"/>
      <x:c r="M155" s="117"/>
      <x:c r="N155" s="117"/>
      <x:c r="O155" s="117"/>
      <x:c r="P155" s="117"/>
      <x:c r="Q155" s="117"/>
      <x:c r="R155" s="117"/>
      <x:c r="S155" s="117"/>
      <x:c r="T155" s="117"/>
      <x:c r="U155" s="117"/>
      <x:c r="V155" s="117"/>
      <x:c r="W155" s="117"/>
      <x:c r="X155" s="117"/>
      <x:c r="Y155" s="117"/>
      <x:c r="Z155" s="117"/>
    </x:row>
    <x:row r="156">
      <x:c r="A156" s="117"/>
      <x:c r="B156" s="117"/>
      <x:c r="C156" s="117"/>
      <x:c r="D156" s="117"/>
      <x:c r="E156" s="117"/>
      <x:c r="F156" s="117"/>
      <x:c r="G156" s="117"/>
      <x:c r="H156" s="117"/>
      <x:c r="I156" s="117"/>
      <x:c r="J156" s="117"/>
      <x:c r="K156" s="117"/>
      <x:c r="L156" s="117"/>
      <x:c r="M156" s="117"/>
      <x:c r="N156" s="117"/>
      <x:c r="O156" s="117"/>
      <x:c r="P156" s="117"/>
      <x:c r="Q156" s="117"/>
      <x:c r="R156" s="117"/>
      <x:c r="S156" s="117"/>
      <x:c r="T156" s="117"/>
      <x:c r="U156" s="117"/>
      <x:c r="V156" s="117"/>
      <x:c r="W156" s="117"/>
      <x:c r="X156" s="117"/>
      <x:c r="Y156" s="117"/>
      <x:c r="Z156" s="117"/>
    </x:row>
    <x:row r="157">
      <x:c r="A157" s="117"/>
      <x:c r="B157" s="117"/>
      <x:c r="C157" s="117"/>
      <x:c r="D157" s="117"/>
      <x:c r="E157" s="117"/>
      <x:c r="F157" s="117"/>
      <x:c r="G157" s="117"/>
      <x:c r="H157" s="117"/>
      <x:c r="I157" s="117"/>
      <x:c r="J157" s="117"/>
      <x:c r="K157" s="117"/>
      <x:c r="L157" s="117"/>
      <x:c r="M157" s="117"/>
      <x:c r="N157" s="117"/>
      <x:c r="O157" s="117"/>
      <x:c r="P157" s="117"/>
      <x:c r="Q157" s="117"/>
      <x:c r="R157" s="117"/>
      <x:c r="S157" s="117"/>
      <x:c r="T157" s="117"/>
      <x:c r="U157" s="117"/>
      <x:c r="V157" s="117"/>
      <x:c r="W157" s="117"/>
      <x:c r="X157" s="117"/>
      <x:c r="Y157" s="117"/>
      <x:c r="Z157" s="117"/>
    </x:row>
    <x:row r="158">
      <x:c r="A158" s="117"/>
      <x:c r="B158" s="117"/>
      <x:c r="C158" s="117"/>
      <x:c r="D158" s="117"/>
      <x:c r="E158" s="117"/>
      <x:c r="F158" s="117"/>
      <x:c r="G158" s="117"/>
      <x:c r="H158" s="117"/>
      <x:c r="I158" s="117"/>
      <x:c r="J158" s="117"/>
      <x:c r="K158" s="117"/>
      <x:c r="L158" s="117"/>
      <x:c r="M158" s="117"/>
      <x:c r="N158" s="117"/>
      <x:c r="O158" s="117"/>
      <x:c r="P158" s="117"/>
      <x:c r="Q158" s="117"/>
      <x:c r="R158" s="117"/>
      <x:c r="S158" s="117"/>
      <x:c r="T158" s="117"/>
      <x:c r="U158" s="117"/>
      <x:c r="V158" s="117"/>
      <x:c r="W158" s="117"/>
      <x:c r="X158" s="117"/>
      <x:c r="Y158" s="117"/>
      <x:c r="Z158" s="117"/>
    </x:row>
    <x:row r="159">
      <x:c r="A159" s="117"/>
      <x:c r="B159" s="117"/>
      <x:c r="C159" s="117"/>
      <x:c r="D159" s="117"/>
      <x:c r="E159" s="117"/>
      <x:c r="F159" s="117"/>
      <x:c r="G159" s="117"/>
      <x:c r="H159" s="117"/>
      <x:c r="I159" s="117"/>
      <x:c r="J159" s="117"/>
      <x:c r="K159" s="117"/>
      <x:c r="L159" s="117"/>
      <x:c r="M159" s="117"/>
      <x:c r="N159" s="117"/>
      <x:c r="O159" s="117"/>
      <x:c r="P159" s="117"/>
      <x:c r="Q159" s="117"/>
      <x:c r="R159" s="117"/>
      <x:c r="S159" s="117"/>
      <x:c r="T159" s="117"/>
      <x:c r="U159" s="117"/>
      <x:c r="V159" s="117"/>
      <x:c r="W159" s="117"/>
      <x:c r="X159" s="117"/>
      <x:c r="Y159" s="117"/>
      <x:c r="Z159" s="117"/>
    </x:row>
    <x:row r="160">
      <x:c r="A160" s="117"/>
      <x:c r="B160" s="117"/>
      <x:c r="C160" s="117"/>
      <x:c r="D160" s="117"/>
      <x:c r="E160" s="117"/>
      <x:c r="F160" s="117"/>
      <x:c r="G160" s="117"/>
      <x:c r="H160" s="117"/>
      <x:c r="I160" s="117"/>
      <x:c r="J160" s="117"/>
      <x:c r="K160" s="117"/>
      <x:c r="L160" s="117"/>
      <x:c r="M160" s="117"/>
      <x:c r="N160" s="117"/>
      <x:c r="O160" s="117"/>
      <x:c r="P160" s="117"/>
      <x:c r="Q160" s="117"/>
      <x:c r="R160" s="117"/>
      <x:c r="S160" s="117"/>
      <x:c r="T160" s="117"/>
      <x:c r="U160" s="117"/>
      <x:c r="V160" s="117"/>
      <x:c r="W160" s="117"/>
      <x:c r="X160" s="117"/>
      <x:c r="Y160" s="117"/>
      <x:c r="Z160" s="117"/>
    </x:row>
    <x:row r="161">
      <x:c r="A161" s="117"/>
      <x:c r="B161" s="117"/>
      <x:c r="C161" s="117"/>
      <x:c r="D161" s="117"/>
      <x:c r="E161" s="117"/>
      <x:c r="F161" s="117"/>
      <x:c r="G161" s="117"/>
      <x:c r="H161" s="117"/>
      <x:c r="I161" s="117"/>
      <x:c r="J161" s="117"/>
      <x:c r="K161" s="117"/>
      <x:c r="L161" s="117"/>
      <x:c r="M161" s="117"/>
      <x:c r="N161" s="117"/>
      <x:c r="O161" s="117"/>
      <x:c r="P161" s="117"/>
      <x:c r="Q161" s="117"/>
      <x:c r="R161" s="117"/>
      <x:c r="S161" s="117"/>
      <x:c r="T161" s="117"/>
      <x:c r="U161" s="117"/>
      <x:c r="V161" s="117"/>
      <x:c r="W161" s="117"/>
      <x:c r="X161" s="117"/>
      <x:c r="Y161" s="117"/>
      <x:c r="Z161" s="117"/>
    </x:row>
    <x:row r="162">
      <x:c r="A162" s="117"/>
      <x:c r="B162" s="117"/>
      <x:c r="C162" s="117"/>
      <x:c r="D162" s="117"/>
      <x:c r="E162" s="117"/>
      <x:c r="F162" s="117"/>
      <x:c r="G162" s="117"/>
      <x:c r="H162" s="117"/>
      <x:c r="I162" s="117"/>
      <x:c r="J162" s="117"/>
      <x:c r="K162" s="117"/>
      <x:c r="L162" s="117"/>
      <x:c r="M162" s="117"/>
      <x:c r="N162" s="117"/>
      <x:c r="O162" s="117"/>
      <x:c r="P162" s="117"/>
      <x:c r="Q162" s="117"/>
      <x:c r="R162" s="117"/>
      <x:c r="S162" s="117"/>
      <x:c r="T162" s="117"/>
      <x:c r="U162" s="117"/>
      <x:c r="V162" s="117"/>
      <x:c r="W162" s="117"/>
      <x:c r="X162" s="117"/>
      <x:c r="Y162" s="117"/>
      <x:c r="Z162" s="117"/>
    </x:row>
    <x:row r="163">
      <x:c r="A163" s="117"/>
      <x:c r="B163" s="117"/>
      <x:c r="C163" s="117"/>
      <x:c r="D163" s="117"/>
      <x:c r="E163" s="117"/>
      <x:c r="F163" s="117"/>
      <x:c r="G163" s="117"/>
      <x:c r="H163" s="117"/>
      <x:c r="I163" s="117"/>
      <x:c r="J163" s="117"/>
      <x:c r="K163" s="117"/>
      <x:c r="L163" s="117"/>
      <x:c r="M163" s="117"/>
      <x:c r="N163" s="117"/>
      <x:c r="O163" s="117"/>
      <x:c r="P163" s="117"/>
      <x:c r="Q163" s="117"/>
      <x:c r="R163" s="117"/>
      <x:c r="S163" s="117"/>
      <x:c r="T163" s="117"/>
      <x:c r="U163" s="117"/>
      <x:c r="V163" s="117"/>
      <x:c r="W163" s="117"/>
      <x:c r="X163" s="117"/>
      <x:c r="Y163" s="117"/>
      <x:c r="Z163" s="117"/>
    </x:row>
    <x:row r="164">
      <x:c r="A164" s="117"/>
      <x:c r="B164" s="117"/>
      <x:c r="C164" s="117"/>
      <x:c r="D164" s="117"/>
      <x:c r="E164" s="117"/>
      <x:c r="F164" s="117"/>
      <x:c r="G164" s="117"/>
      <x:c r="H164" s="117"/>
      <x:c r="I164" s="117"/>
      <x:c r="J164" s="117"/>
      <x:c r="K164" s="117"/>
      <x:c r="L164" s="117"/>
      <x:c r="M164" s="117"/>
      <x:c r="N164" s="117"/>
      <x:c r="O164" s="117"/>
      <x:c r="P164" s="117"/>
      <x:c r="Q164" s="117"/>
      <x:c r="R164" s="117"/>
      <x:c r="S164" s="117"/>
      <x:c r="T164" s="117"/>
      <x:c r="U164" s="117"/>
      <x:c r="V164" s="117"/>
      <x:c r="W164" s="117"/>
      <x:c r="X164" s="117"/>
      <x:c r="Y164" s="117"/>
      <x:c r="Z164" s="117"/>
    </x:row>
    <x:row r="165">
      <x:c r="A165" s="117"/>
      <x:c r="B165" s="117"/>
      <x:c r="C165" s="117"/>
      <x:c r="D165" s="117"/>
      <x:c r="E165" s="117"/>
      <x:c r="F165" s="117"/>
      <x:c r="G165" s="117"/>
      <x:c r="H165" s="117"/>
      <x:c r="I165" s="117"/>
      <x:c r="J165" s="117"/>
      <x:c r="K165" s="117"/>
      <x:c r="L165" s="117"/>
      <x:c r="M165" s="117"/>
      <x:c r="N165" s="117"/>
      <x:c r="O165" s="117"/>
      <x:c r="P165" s="117"/>
      <x:c r="Q165" s="117"/>
      <x:c r="R165" s="117"/>
      <x:c r="S165" s="117"/>
      <x:c r="T165" s="117"/>
      <x:c r="U165" s="117"/>
      <x:c r="V165" s="117"/>
      <x:c r="W165" s="117"/>
      <x:c r="X165" s="117"/>
      <x:c r="Y165" s="117"/>
      <x:c r="Z165" s="117"/>
    </x:row>
    <x:row r="166">
      <x:c r="A166" s="117"/>
      <x:c r="B166" s="117"/>
      <x:c r="C166" s="117"/>
      <x:c r="D166" s="117"/>
      <x:c r="E166" s="117"/>
      <x:c r="F166" s="117"/>
      <x:c r="G166" s="117"/>
      <x:c r="H166" s="117"/>
      <x:c r="I166" s="117"/>
      <x:c r="J166" s="117"/>
      <x:c r="K166" s="117"/>
      <x:c r="L166" s="117"/>
      <x:c r="M166" s="117"/>
      <x:c r="N166" s="117"/>
      <x:c r="O166" s="117"/>
      <x:c r="P166" s="117"/>
      <x:c r="Q166" s="117"/>
      <x:c r="R166" s="117"/>
      <x:c r="S166" s="117"/>
      <x:c r="T166" s="117"/>
      <x:c r="U166" s="117"/>
      <x:c r="V166" s="117"/>
      <x:c r="W166" s="117"/>
      <x:c r="X166" s="117"/>
      <x:c r="Y166" s="117"/>
      <x:c r="Z166" s="117"/>
    </x:row>
    <x:row r="167">
      <x:c r="A167" s="117"/>
      <x:c r="B167" s="117"/>
      <x:c r="C167" s="117"/>
      <x:c r="D167" s="117"/>
      <x:c r="E167" s="117"/>
      <x:c r="F167" s="117"/>
      <x:c r="G167" s="117"/>
      <x:c r="H167" s="117"/>
      <x:c r="I167" s="117"/>
      <x:c r="J167" s="117"/>
      <x:c r="K167" s="117"/>
      <x:c r="L167" s="117"/>
      <x:c r="M167" s="117"/>
      <x:c r="N167" s="117"/>
      <x:c r="O167" s="117"/>
      <x:c r="P167" s="117"/>
      <x:c r="Q167" s="117"/>
      <x:c r="R167" s="117"/>
      <x:c r="S167" s="117"/>
      <x:c r="T167" s="117"/>
      <x:c r="U167" s="117"/>
      <x:c r="V167" s="117"/>
      <x:c r="W167" s="117"/>
      <x:c r="X167" s="117"/>
      <x:c r="Y167" s="117"/>
      <x:c r="Z167" s="117"/>
    </x:row>
    <x:row r="168">
      <x:c r="A168" s="117"/>
      <x:c r="B168" s="117"/>
      <x:c r="C168" s="117"/>
      <x:c r="D168" s="117"/>
      <x:c r="E168" s="117"/>
      <x:c r="F168" s="117"/>
      <x:c r="G168" s="117"/>
      <x:c r="H168" s="117"/>
      <x:c r="I168" s="117"/>
      <x:c r="J168" s="117"/>
      <x:c r="K168" s="117"/>
      <x:c r="L168" s="117"/>
      <x:c r="M168" s="117"/>
      <x:c r="N168" s="117"/>
      <x:c r="O168" s="117"/>
      <x:c r="P168" s="117"/>
      <x:c r="Q168" s="117"/>
      <x:c r="R168" s="117"/>
      <x:c r="S168" s="117"/>
      <x:c r="T168" s="117"/>
      <x:c r="U168" s="117"/>
      <x:c r="V168" s="117"/>
      <x:c r="W168" s="117"/>
      <x:c r="X168" s="117"/>
      <x:c r="Y168" s="117"/>
      <x:c r="Z168" s="117"/>
    </x:row>
    <x:row r="169">
      <x:c r="A169" s="117"/>
      <x:c r="B169" s="117"/>
      <x:c r="C169" s="117"/>
      <x:c r="D169" s="117"/>
      <x:c r="E169" s="117"/>
      <x:c r="F169" s="117"/>
      <x:c r="G169" s="117"/>
      <x:c r="H169" s="117"/>
      <x:c r="I169" s="117"/>
      <x:c r="J169" s="117"/>
      <x:c r="K169" s="117"/>
      <x:c r="L169" s="117"/>
      <x:c r="M169" s="117"/>
      <x:c r="N169" s="117"/>
      <x:c r="O169" s="117"/>
      <x:c r="P169" s="117"/>
      <x:c r="Q169" s="117"/>
      <x:c r="R169" s="117"/>
      <x:c r="S169" s="117"/>
      <x:c r="T169" s="117"/>
      <x:c r="U169" s="117"/>
      <x:c r="V169" s="117"/>
      <x:c r="W169" s="117"/>
      <x:c r="X169" s="117"/>
      <x:c r="Y169" s="117"/>
      <x:c r="Z169" s="117"/>
    </x:row>
    <x:row r="170">
      <x:c r="A170" s="117"/>
      <x:c r="B170" s="117"/>
      <x:c r="C170" s="117"/>
      <x:c r="D170" s="117"/>
      <x:c r="E170" s="117"/>
      <x:c r="F170" s="117"/>
      <x:c r="G170" s="117"/>
      <x:c r="H170" s="117"/>
      <x:c r="I170" s="117"/>
      <x:c r="J170" s="117"/>
      <x:c r="K170" s="117"/>
      <x:c r="L170" s="117"/>
      <x:c r="M170" s="117"/>
      <x:c r="N170" s="117"/>
      <x:c r="O170" s="117"/>
      <x:c r="P170" s="117"/>
      <x:c r="Q170" s="117"/>
      <x:c r="R170" s="117"/>
      <x:c r="S170" s="117"/>
      <x:c r="T170" s="117"/>
      <x:c r="U170" s="117"/>
      <x:c r="V170" s="117"/>
      <x:c r="W170" s="117"/>
      <x:c r="X170" s="117"/>
      <x:c r="Y170" s="117"/>
      <x:c r="Z170" s="117"/>
    </x:row>
    <x:row r="171">
      <x:c r="A171" s="117"/>
      <x:c r="B171" s="117"/>
      <x:c r="C171" s="117"/>
      <x:c r="D171" s="117"/>
      <x:c r="E171" s="117"/>
      <x:c r="F171" s="117"/>
      <x:c r="G171" s="117"/>
      <x:c r="H171" s="117"/>
      <x:c r="I171" s="117"/>
      <x:c r="J171" s="117"/>
      <x:c r="K171" s="117"/>
      <x:c r="L171" s="117"/>
      <x:c r="M171" s="117"/>
      <x:c r="N171" s="117"/>
      <x:c r="O171" s="117"/>
      <x:c r="P171" s="117"/>
      <x:c r="Q171" s="117"/>
      <x:c r="R171" s="117"/>
      <x:c r="S171" s="117"/>
      <x:c r="T171" s="117"/>
      <x:c r="U171" s="117"/>
      <x:c r="V171" s="117"/>
      <x:c r="W171" s="117"/>
      <x:c r="X171" s="117"/>
      <x:c r="Y171" s="117"/>
      <x:c r="Z171" s="117"/>
    </x:row>
    <x:row r="172">
      <x:c r="A172" s="117"/>
      <x:c r="B172" s="117"/>
      <x:c r="C172" s="117"/>
      <x:c r="D172" s="117"/>
      <x:c r="E172" s="117"/>
      <x:c r="F172" s="117"/>
      <x:c r="G172" s="117"/>
      <x:c r="H172" s="117"/>
      <x:c r="I172" s="117"/>
      <x:c r="J172" s="117"/>
      <x:c r="K172" s="117"/>
      <x:c r="L172" s="117"/>
      <x:c r="M172" s="117"/>
      <x:c r="N172" s="117"/>
      <x:c r="O172" s="117"/>
      <x:c r="P172" s="117"/>
      <x:c r="Q172" s="117"/>
      <x:c r="R172" s="117"/>
      <x:c r="S172" s="117"/>
      <x:c r="T172" s="117"/>
      <x:c r="U172" s="117"/>
      <x:c r="V172" s="117"/>
      <x:c r="W172" s="117"/>
      <x:c r="X172" s="117"/>
      <x:c r="Y172" s="117"/>
      <x:c r="Z172" s="117"/>
    </x:row>
    <x:row r="173">
      <x:c r="A173" s="117"/>
      <x:c r="B173" s="117"/>
      <x:c r="C173" s="117"/>
      <x:c r="D173" s="117"/>
      <x:c r="E173" s="117"/>
      <x:c r="F173" s="117"/>
      <x:c r="G173" s="117"/>
      <x:c r="H173" s="117"/>
      <x:c r="I173" s="117"/>
      <x:c r="J173" s="117"/>
      <x:c r="K173" s="117"/>
      <x:c r="L173" s="117"/>
      <x:c r="M173" s="117"/>
      <x:c r="N173" s="117"/>
      <x:c r="O173" s="117"/>
      <x:c r="P173" s="117"/>
      <x:c r="Q173" s="117"/>
      <x:c r="R173" s="117"/>
      <x:c r="S173" s="117"/>
      <x:c r="T173" s="117"/>
      <x:c r="U173" s="117"/>
      <x:c r="V173" s="117"/>
      <x:c r="W173" s="117"/>
      <x:c r="X173" s="117"/>
      <x:c r="Y173" s="117"/>
      <x:c r="Z173" s="117"/>
    </x:row>
    <x:row r="174">
      <x:c r="A174" s="117"/>
      <x:c r="B174" s="117"/>
      <x:c r="C174" s="117"/>
      <x:c r="D174" s="117"/>
      <x:c r="E174" s="117"/>
      <x:c r="F174" s="117"/>
      <x:c r="G174" s="117"/>
      <x:c r="H174" s="117"/>
      <x:c r="I174" s="117"/>
      <x:c r="J174" s="117"/>
      <x:c r="K174" s="117"/>
      <x:c r="L174" s="117"/>
      <x:c r="M174" s="117"/>
      <x:c r="N174" s="117"/>
      <x:c r="O174" s="117"/>
      <x:c r="P174" s="117"/>
      <x:c r="Q174" s="117"/>
      <x:c r="R174" s="117"/>
      <x:c r="S174" s="117"/>
      <x:c r="T174" s="117"/>
      <x:c r="U174" s="117"/>
      <x:c r="V174" s="117"/>
      <x:c r="W174" s="117"/>
      <x:c r="X174" s="117"/>
      <x:c r="Y174" s="117"/>
      <x:c r="Z174" s="117"/>
    </x:row>
    <x:row r="175">
      <x:c r="A175" s="117"/>
      <x:c r="B175" s="117"/>
      <x:c r="C175" s="117"/>
      <x:c r="D175" s="117"/>
      <x:c r="E175" s="117"/>
      <x:c r="F175" s="117"/>
      <x:c r="G175" s="117"/>
      <x:c r="H175" s="117"/>
      <x:c r="I175" s="117"/>
      <x:c r="J175" s="117"/>
      <x:c r="K175" s="117"/>
      <x:c r="L175" s="117"/>
      <x:c r="M175" s="117"/>
      <x:c r="N175" s="117"/>
      <x:c r="O175" s="117"/>
      <x:c r="P175" s="117"/>
      <x:c r="Q175" s="117"/>
      <x:c r="R175" s="117"/>
      <x:c r="S175" s="117"/>
      <x:c r="T175" s="117"/>
      <x:c r="U175" s="117"/>
      <x:c r="V175" s="117"/>
      <x:c r="W175" s="117"/>
      <x:c r="X175" s="117"/>
      <x:c r="Y175" s="117"/>
      <x:c r="Z175" s="117"/>
    </x:row>
    <x:row r="176">
      <x:c r="A176" s="117"/>
      <x:c r="B176" s="117"/>
      <x:c r="C176" s="117"/>
      <x:c r="D176" s="117"/>
      <x:c r="E176" s="117"/>
      <x:c r="F176" s="117"/>
      <x:c r="G176" s="117"/>
      <x:c r="H176" s="117"/>
      <x:c r="I176" s="117"/>
      <x:c r="J176" s="117"/>
      <x:c r="K176" s="117"/>
      <x:c r="L176" s="117"/>
      <x:c r="M176" s="117"/>
      <x:c r="N176" s="117"/>
      <x:c r="O176" s="117"/>
      <x:c r="P176" s="117"/>
      <x:c r="Q176" s="117"/>
      <x:c r="R176" s="117"/>
      <x:c r="S176" s="117"/>
      <x:c r="T176" s="117"/>
      <x:c r="U176" s="117"/>
      <x:c r="V176" s="117"/>
      <x:c r="W176" s="117"/>
      <x:c r="X176" s="117"/>
      <x:c r="Y176" s="117"/>
      <x:c r="Z176" s="117"/>
    </x:row>
    <x:row r="177">
      <x:c r="A177" s="117"/>
      <x:c r="B177" s="117"/>
      <x:c r="C177" s="117"/>
      <x:c r="D177" s="117"/>
      <x:c r="E177" s="117"/>
      <x:c r="F177" s="117"/>
      <x:c r="G177" s="117"/>
      <x:c r="H177" s="117"/>
      <x:c r="I177" s="117"/>
      <x:c r="J177" s="117"/>
      <x:c r="K177" s="117"/>
      <x:c r="L177" s="117"/>
      <x:c r="M177" s="117"/>
      <x:c r="N177" s="117"/>
      <x:c r="O177" s="117"/>
      <x:c r="P177" s="117"/>
      <x:c r="Q177" s="117"/>
      <x:c r="R177" s="117"/>
      <x:c r="S177" s="117"/>
      <x:c r="T177" s="117"/>
      <x:c r="U177" s="117"/>
      <x:c r="V177" s="117"/>
      <x:c r="W177" s="117"/>
      <x:c r="X177" s="117"/>
      <x:c r="Y177" s="117"/>
      <x:c r="Z177" s="117"/>
    </x:row>
    <x:row r="178">
      <x:c r="A178" s="117"/>
      <x:c r="B178" s="117"/>
      <x:c r="C178" s="117"/>
      <x:c r="D178" s="117"/>
      <x:c r="E178" s="117"/>
      <x:c r="F178" s="117"/>
      <x:c r="G178" s="117"/>
      <x:c r="H178" s="117"/>
      <x:c r="I178" s="117"/>
      <x:c r="J178" s="117"/>
      <x:c r="K178" s="117"/>
      <x:c r="L178" s="117"/>
      <x:c r="M178" s="117"/>
      <x:c r="N178" s="117"/>
      <x:c r="O178" s="117"/>
      <x:c r="P178" s="117"/>
      <x:c r="Q178" s="117"/>
      <x:c r="R178" s="117"/>
      <x:c r="S178" s="117"/>
      <x:c r="T178" s="117"/>
      <x:c r="U178" s="117"/>
      <x:c r="V178" s="117"/>
      <x:c r="W178" s="117"/>
      <x:c r="X178" s="117"/>
      <x:c r="Y178" s="117"/>
      <x:c r="Z178" s="117"/>
    </x:row>
    <x:row r="179">
      <x:c r="A179" s="117"/>
      <x:c r="B179" s="117"/>
      <x:c r="C179" s="117"/>
      <x:c r="D179" s="117"/>
      <x:c r="E179" s="117"/>
      <x:c r="F179" s="117"/>
      <x:c r="G179" s="117"/>
      <x:c r="H179" s="117"/>
      <x:c r="I179" s="117"/>
      <x:c r="J179" s="117"/>
      <x:c r="K179" s="117"/>
      <x:c r="L179" s="117"/>
      <x:c r="M179" s="117"/>
      <x:c r="N179" s="117"/>
      <x:c r="O179" s="117"/>
      <x:c r="P179" s="117"/>
      <x:c r="Q179" s="117"/>
      <x:c r="R179" s="117"/>
      <x:c r="S179" s="117"/>
      <x:c r="T179" s="117"/>
      <x:c r="U179" s="117"/>
      <x:c r="V179" s="117"/>
      <x:c r="W179" s="117"/>
      <x:c r="X179" s="117"/>
      <x:c r="Y179" s="117"/>
      <x:c r="Z179" s="117"/>
    </x:row>
    <x:row r="180">
      <x:c r="A180" s="117"/>
      <x:c r="B180" s="117"/>
      <x:c r="C180" s="117"/>
      <x:c r="D180" s="117"/>
      <x:c r="E180" s="117"/>
      <x:c r="F180" s="117"/>
      <x:c r="G180" s="117"/>
      <x:c r="H180" s="117"/>
      <x:c r="I180" s="117"/>
      <x:c r="J180" s="117"/>
      <x:c r="K180" s="117"/>
      <x:c r="L180" s="117"/>
      <x:c r="M180" s="117"/>
      <x:c r="N180" s="117"/>
      <x:c r="O180" s="117"/>
      <x:c r="P180" s="117"/>
      <x:c r="Q180" s="117"/>
      <x:c r="R180" s="117"/>
      <x:c r="S180" s="117"/>
      <x:c r="T180" s="117"/>
      <x:c r="U180" s="117"/>
      <x:c r="V180" s="117"/>
      <x:c r="W180" s="117"/>
      <x:c r="X180" s="117"/>
      <x:c r="Y180" s="117"/>
      <x:c r="Z180" s="117"/>
    </x:row>
    <x:row r="181">
      <x:c r="A181" s="117"/>
      <x:c r="B181" s="117"/>
      <x:c r="C181" s="117"/>
      <x:c r="D181" s="117"/>
      <x:c r="E181" s="117"/>
      <x:c r="F181" s="117"/>
      <x:c r="G181" s="117"/>
      <x:c r="H181" s="117"/>
      <x:c r="I181" s="117"/>
      <x:c r="J181" s="117"/>
      <x:c r="K181" s="117"/>
      <x:c r="L181" s="117"/>
      <x:c r="M181" s="117"/>
      <x:c r="N181" s="117"/>
      <x:c r="O181" s="117"/>
      <x:c r="P181" s="117"/>
      <x:c r="Q181" s="117"/>
      <x:c r="R181" s="117"/>
      <x:c r="S181" s="117"/>
      <x:c r="T181" s="117"/>
      <x:c r="U181" s="117"/>
      <x:c r="V181" s="117"/>
      <x:c r="W181" s="117"/>
      <x:c r="X181" s="117"/>
      <x:c r="Y181" s="117"/>
      <x:c r="Z181" s="117"/>
    </x:row>
    <x:row r="182">
      <x:c r="A182" s="117"/>
      <x:c r="B182" s="117"/>
      <x:c r="C182" s="117"/>
      <x:c r="D182" s="117"/>
      <x:c r="E182" s="117"/>
      <x:c r="F182" s="117"/>
      <x:c r="G182" s="117"/>
      <x:c r="H182" s="117"/>
      <x:c r="I182" s="117"/>
      <x:c r="J182" s="117"/>
      <x:c r="K182" s="117"/>
      <x:c r="L182" s="117"/>
      <x:c r="M182" s="117"/>
      <x:c r="N182" s="117"/>
      <x:c r="O182" s="117"/>
      <x:c r="P182" s="117"/>
      <x:c r="Q182" s="117"/>
      <x:c r="R182" s="117"/>
      <x:c r="S182" s="117"/>
      <x:c r="T182" s="117"/>
      <x:c r="U182" s="117"/>
      <x:c r="V182" s="117"/>
      <x:c r="W182" s="117"/>
      <x:c r="X182" s="117"/>
      <x:c r="Y182" s="117"/>
      <x:c r="Z182" s="117"/>
    </x:row>
    <x:row r="183">
      <x:c r="A183" s="117"/>
      <x:c r="B183" s="117"/>
      <x:c r="C183" s="117"/>
      <x:c r="D183" s="117"/>
      <x:c r="E183" s="117"/>
      <x:c r="F183" s="117"/>
      <x:c r="G183" s="117"/>
      <x:c r="H183" s="117"/>
      <x:c r="I183" s="117"/>
      <x:c r="J183" s="117"/>
      <x:c r="K183" s="117"/>
      <x:c r="L183" s="117"/>
      <x:c r="M183" s="117"/>
      <x:c r="N183" s="117"/>
      <x:c r="O183" s="117"/>
      <x:c r="P183" s="117"/>
      <x:c r="Q183" s="117"/>
      <x:c r="R183" s="117"/>
      <x:c r="S183" s="117"/>
      <x:c r="T183" s="117"/>
      <x:c r="U183" s="117"/>
      <x:c r="V183" s="117"/>
      <x:c r="W183" s="117"/>
      <x:c r="X183" s="117"/>
      <x:c r="Y183" s="117"/>
      <x:c r="Z183" s="117"/>
    </x:row>
    <x:row r="184">
      <x:c r="A184" s="117"/>
      <x:c r="B184" s="117"/>
      <x:c r="C184" s="117"/>
      <x:c r="D184" s="117"/>
      <x:c r="E184" s="117"/>
      <x:c r="F184" s="117"/>
      <x:c r="G184" s="117"/>
      <x:c r="H184" s="117"/>
      <x:c r="I184" s="117"/>
      <x:c r="J184" s="117"/>
      <x:c r="K184" s="117"/>
      <x:c r="L184" s="117"/>
      <x:c r="M184" s="117"/>
      <x:c r="N184" s="117"/>
      <x:c r="O184" s="117"/>
      <x:c r="P184" s="117"/>
      <x:c r="Q184" s="117"/>
      <x:c r="R184" s="117"/>
      <x:c r="S184" s="117"/>
      <x:c r="T184" s="117"/>
      <x:c r="U184" s="117"/>
      <x:c r="V184" s="117"/>
      <x:c r="W184" s="117"/>
      <x:c r="X184" s="117"/>
      <x:c r="Y184" s="117"/>
      <x:c r="Z184" s="117"/>
    </x:row>
    <x:row r="185">
      <x:c r="A185" s="117"/>
      <x:c r="B185" s="117"/>
      <x:c r="C185" s="117"/>
      <x:c r="D185" s="117"/>
      <x:c r="E185" s="117"/>
      <x:c r="F185" s="117"/>
      <x:c r="G185" s="117"/>
      <x:c r="H185" s="117"/>
      <x:c r="I185" s="117"/>
      <x:c r="J185" s="117"/>
      <x:c r="K185" s="117"/>
      <x:c r="L185" s="117"/>
      <x:c r="M185" s="117"/>
      <x:c r="N185" s="117"/>
      <x:c r="O185" s="117"/>
      <x:c r="P185" s="117"/>
      <x:c r="Q185" s="117"/>
      <x:c r="R185" s="117"/>
      <x:c r="S185" s="117"/>
      <x:c r="T185" s="117"/>
      <x:c r="U185" s="117"/>
      <x:c r="V185" s="117"/>
      <x:c r="W185" s="117"/>
      <x:c r="X185" s="117"/>
      <x:c r="Y185" s="117"/>
      <x:c r="Z185" s="117"/>
    </x:row>
    <x:row r="186">
      <x:c r="A186" s="117"/>
      <x:c r="B186" s="117"/>
      <x:c r="C186" s="117"/>
      <x:c r="D186" s="117"/>
      <x:c r="E186" s="117"/>
      <x:c r="F186" s="117"/>
      <x:c r="G186" s="117"/>
      <x:c r="H186" s="117"/>
      <x:c r="I186" s="117"/>
      <x:c r="J186" s="117"/>
      <x:c r="K186" s="117"/>
      <x:c r="L186" s="117"/>
      <x:c r="M186" s="117"/>
      <x:c r="N186" s="117"/>
      <x:c r="O186" s="117"/>
      <x:c r="P186" s="117"/>
      <x:c r="Q186" s="117"/>
      <x:c r="R186" s="117"/>
      <x:c r="S186" s="117"/>
      <x:c r="T186" s="117"/>
      <x:c r="U186" s="117"/>
      <x:c r="V186" s="117"/>
      <x:c r="W186" s="117"/>
      <x:c r="X186" s="117"/>
      <x:c r="Y186" s="117"/>
      <x:c r="Z186" s="117"/>
    </x:row>
    <x:row r="187">
      <x:c r="A187" s="117"/>
      <x:c r="B187" s="117"/>
      <x:c r="C187" s="117"/>
      <x:c r="D187" s="117"/>
      <x:c r="E187" s="117"/>
      <x:c r="F187" s="117"/>
      <x:c r="G187" s="117"/>
      <x:c r="H187" s="117"/>
      <x:c r="I187" s="117"/>
      <x:c r="J187" s="117"/>
      <x:c r="K187" s="117"/>
      <x:c r="L187" s="117"/>
      <x:c r="M187" s="117"/>
      <x:c r="N187" s="117"/>
      <x:c r="O187" s="117"/>
      <x:c r="P187" s="117"/>
      <x:c r="Q187" s="117"/>
      <x:c r="R187" s="117"/>
      <x:c r="S187" s="117"/>
      <x:c r="T187" s="117"/>
      <x:c r="U187" s="117"/>
      <x:c r="V187" s="117"/>
      <x:c r="W187" s="117"/>
      <x:c r="X187" s="117"/>
      <x:c r="Y187" s="117"/>
      <x:c r="Z187" s="117"/>
    </x:row>
    <x:row r="188">
      <x:c r="A188" s="117"/>
      <x:c r="B188" s="117"/>
      <x:c r="C188" s="117"/>
      <x:c r="D188" s="117"/>
      <x:c r="E188" s="117"/>
      <x:c r="F188" s="117"/>
      <x:c r="G188" s="117"/>
      <x:c r="H188" s="117"/>
      <x:c r="I188" s="117"/>
      <x:c r="J188" s="117"/>
      <x:c r="K188" s="117"/>
      <x:c r="L188" s="117"/>
      <x:c r="M188" s="117"/>
      <x:c r="N188" s="117"/>
      <x:c r="O188" s="117"/>
      <x:c r="P188" s="117"/>
      <x:c r="Q188" s="117"/>
      <x:c r="R188" s="117"/>
      <x:c r="S188" s="117"/>
      <x:c r="T188" s="117"/>
      <x:c r="U188" s="117"/>
      <x:c r="V188" s="117"/>
      <x:c r="W188" s="117"/>
      <x:c r="X188" s="117"/>
      <x:c r="Y188" s="117"/>
      <x:c r="Z188" s="117"/>
    </x:row>
    <x:row r="189">
      <x:c r="A189" s="117"/>
      <x:c r="B189" s="117"/>
      <x:c r="C189" s="117"/>
      <x:c r="D189" s="117"/>
      <x:c r="E189" s="117"/>
      <x:c r="F189" s="117"/>
      <x:c r="G189" s="117"/>
      <x:c r="H189" s="117"/>
      <x:c r="I189" s="117"/>
      <x:c r="J189" s="117"/>
      <x:c r="K189" s="117"/>
      <x:c r="L189" s="117"/>
      <x:c r="M189" s="117"/>
      <x:c r="N189" s="117"/>
      <x:c r="O189" s="117"/>
      <x:c r="P189" s="117"/>
      <x:c r="Q189" s="117"/>
      <x:c r="R189" s="117"/>
      <x:c r="S189" s="117"/>
      <x:c r="T189" s="117"/>
      <x:c r="U189" s="117"/>
      <x:c r="V189" s="117"/>
      <x:c r="W189" s="117"/>
      <x:c r="X189" s="117"/>
      <x:c r="Y189" s="117"/>
      <x:c r="Z189" s="117"/>
    </x:row>
    <x:row r="190">
      <x:c r="A190" s="117"/>
      <x:c r="B190" s="117"/>
      <x:c r="C190" s="117"/>
      <x:c r="D190" s="117"/>
      <x:c r="E190" s="117"/>
      <x:c r="F190" s="117"/>
      <x:c r="G190" s="117"/>
      <x:c r="H190" s="117"/>
      <x:c r="I190" s="117"/>
      <x:c r="J190" s="117"/>
      <x:c r="K190" s="117"/>
      <x:c r="L190" s="117"/>
      <x:c r="M190" s="117"/>
      <x:c r="N190" s="117"/>
      <x:c r="O190" s="117"/>
      <x:c r="P190" s="117"/>
      <x:c r="Q190" s="117"/>
      <x:c r="R190" s="117"/>
      <x:c r="S190" s="117"/>
      <x:c r="T190" s="117"/>
      <x:c r="U190" s="117"/>
      <x:c r="V190" s="117"/>
      <x:c r="W190" s="117"/>
      <x:c r="X190" s="117"/>
      <x:c r="Y190" s="117"/>
      <x:c r="Z190" s="117"/>
    </x:row>
    <x:row r="191">
      <x:c r="A191" s="117"/>
      <x:c r="B191" s="117"/>
      <x:c r="C191" s="117"/>
      <x:c r="D191" s="117"/>
      <x:c r="E191" s="117"/>
      <x:c r="F191" s="117"/>
      <x:c r="G191" s="117"/>
      <x:c r="H191" s="117"/>
      <x:c r="I191" s="117"/>
      <x:c r="J191" s="117"/>
      <x:c r="K191" s="117"/>
      <x:c r="L191" s="117"/>
      <x:c r="M191" s="117"/>
      <x:c r="N191" s="117"/>
      <x:c r="O191" s="117"/>
      <x:c r="P191" s="117"/>
      <x:c r="Q191" s="117"/>
      <x:c r="R191" s="117"/>
      <x:c r="S191" s="117"/>
      <x:c r="T191" s="117"/>
      <x:c r="U191" s="117"/>
      <x:c r="V191" s="117"/>
      <x:c r="W191" s="117"/>
      <x:c r="X191" s="117"/>
      <x:c r="Y191" s="117"/>
      <x:c r="Z191" s="117"/>
    </x:row>
    <x:row r="192">
      <x:c r="A192" s="117"/>
      <x:c r="B192" s="117"/>
      <x:c r="C192" s="117"/>
      <x:c r="D192" s="117"/>
      <x:c r="E192" s="117"/>
      <x:c r="F192" s="117"/>
      <x:c r="G192" s="117"/>
      <x:c r="H192" s="117"/>
      <x:c r="I192" s="117"/>
      <x:c r="J192" s="117"/>
      <x:c r="K192" s="117"/>
      <x:c r="L192" s="117"/>
      <x:c r="M192" s="117"/>
      <x:c r="N192" s="117"/>
      <x:c r="O192" s="117"/>
      <x:c r="P192" s="117"/>
      <x:c r="Q192" s="117"/>
      <x:c r="R192" s="117"/>
      <x:c r="S192" s="117"/>
      <x:c r="T192" s="117"/>
      <x:c r="U192" s="117"/>
      <x:c r="V192" s="117"/>
      <x:c r="W192" s="117"/>
      <x:c r="X192" s="117"/>
      <x:c r="Y192" s="117"/>
      <x:c r="Z192" s="117"/>
    </x:row>
    <x:row r="193">
      <x:c r="A193" s="117"/>
      <x:c r="B193" s="117"/>
      <x:c r="C193" s="117"/>
      <x:c r="D193" s="117"/>
      <x:c r="E193" s="117"/>
      <x:c r="F193" s="117"/>
      <x:c r="G193" s="117"/>
      <x:c r="H193" s="117"/>
      <x:c r="I193" s="117"/>
      <x:c r="J193" s="117"/>
      <x:c r="K193" s="117"/>
      <x:c r="L193" s="117"/>
      <x:c r="M193" s="117"/>
      <x:c r="N193" s="117"/>
      <x:c r="O193" s="117"/>
      <x:c r="P193" s="117"/>
      <x:c r="Q193" s="117"/>
      <x:c r="R193" s="117"/>
      <x:c r="S193" s="117"/>
      <x:c r="T193" s="117"/>
      <x:c r="U193" s="117"/>
      <x:c r="V193" s="117"/>
      <x:c r="W193" s="117"/>
      <x:c r="X193" s="117"/>
      <x:c r="Y193" s="117"/>
      <x:c r="Z193" s="117"/>
    </x:row>
    <x:row r="194">
      <x:c r="A194" s="117"/>
      <x:c r="B194" s="117"/>
      <x:c r="C194" s="117"/>
      <x:c r="D194" s="117"/>
      <x:c r="E194" s="117"/>
      <x:c r="F194" s="117"/>
      <x:c r="G194" s="117"/>
      <x:c r="H194" s="117"/>
      <x:c r="I194" s="117"/>
      <x:c r="J194" s="117"/>
      <x:c r="K194" s="117"/>
      <x:c r="L194" s="117"/>
      <x:c r="M194" s="117"/>
      <x:c r="N194" s="117"/>
      <x:c r="O194" s="117"/>
      <x:c r="P194" s="117"/>
      <x:c r="Q194" s="117"/>
      <x:c r="R194" s="117"/>
      <x:c r="S194" s="117"/>
      <x:c r="T194" s="117"/>
      <x:c r="U194" s="117"/>
      <x:c r="V194" s="117"/>
      <x:c r="W194" s="117"/>
      <x:c r="X194" s="117"/>
      <x:c r="Y194" s="117"/>
      <x:c r="Z194" s="117"/>
    </x:row>
    <x:row r="195">
      <x:c r="A195" s="117"/>
      <x:c r="B195" s="117"/>
      <x:c r="C195" s="117"/>
      <x:c r="D195" s="117"/>
      <x:c r="E195" s="117"/>
      <x:c r="F195" s="117"/>
      <x:c r="G195" s="117"/>
      <x:c r="H195" s="117"/>
      <x:c r="I195" s="117"/>
      <x:c r="J195" s="117"/>
      <x:c r="K195" s="117"/>
      <x:c r="L195" s="117"/>
      <x:c r="M195" s="117"/>
      <x:c r="N195" s="117"/>
      <x:c r="O195" s="117"/>
      <x:c r="P195" s="117"/>
      <x:c r="Q195" s="117"/>
      <x:c r="R195" s="117"/>
      <x:c r="S195" s="117"/>
      <x:c r="T195" s="117"/>
      <x:c r="U195" s="117"/>
      <x:c r="V195" s="117"/>
      <x:c r="W195" s="117"/>
      <x:c r="X195" s="117"/>
      <x:c r="Y195" s="117"/>
      <x:c r="Z195" s="117"/>
    </x:row>
    <x:row r="196">
      <x:c r="A196" s="117"/>
      <x:c r="B196" s="117"/>
      <x:c r="C196" s="117"/>
      <x:c r="D196" s="117"/>
      <x:c r="E196" s="117"/>
      <x:c r="F196" s="117"/>
      <x:c r="G196" s="117"/>
      <x:c r="H196" s="117"/>
      <x:c r="I196" s="117"/>
      <x:c r="J196" s="117"/>
      <x:c r="K196" s="117"/>
      <x:c r="L196" s="117"/>
      <x:c r="M196" s="117"/>
      <x:c r="N196" s="117"/>
      <x:c r="O196" s="117"/>
      <x:c r="P196" s="117"/>
      <x:c r="Q196" s="117"/>
      <x:c r="R196" s="117"/>
      <x:c r="S196" s="117"/>
      <x:c r="T196" s="117"/>
      <x:c r="U196" s="117"/>
      <x:c r="V196" s="117"/>
      <x:c r="W196" s="117"/>
      <x:c r="X196" s="117"/>
      <x:c r="Y196" s="117"/>
      <x:c r="Z196" s="117"/>
    </x:row>
    <x:row r="197">
      <x:c r="A197" s="117"/>
      <x:c r="B197" s="117"/>
      <x:c r="C197" s="117"/>
      <x:c r="D197" s="117"/>
      <x:c r="E197" s="117"/>
      <x:c r="F197" s="117"/>
      <x:c r="G197" s="117"/>
      <x:c r="H197" s="117"/>
      <x:c r="I197" s="117"/>
      <x:c r="J197" s="117"/>
      <x:c r="K197" s="117"/>
      <x:c r="L197" s="117"/>
      <x:c r="M197" s="117"/>
      <x:c r="N197" s="117"/>
      <x:c r="O197" s="117"/>
      <x:c r="P197" s="117"/>
      <x:c r="Q197" s="117"/>
      <x:c r="R197" s="117"/>
      <x:c r="S197" s="117"/>
      <x:c r="T197" s="117"/>
      <x:c r="U197" s="117"/>
      <x:c r="V197" s="117"/>
      <x:c r="W197" s="117"/>
      <x:c r="X197" s="117"/>
      <x:c r="Y197" s="117"/>
      <x:c r="Z197" s="117"/>
    </x:row>
    <x:row r="198">
      <x:c r="A198" s="117"/>
      <x:c r="B198" s="117"/>
      <x:c r="C198" s="117"/>
      <x:c r="D198" s="117"/>
      <x:c r="E198" s="117"/>
      <x:c r="F198" s="117"/>
      <x:c r="G198" s="117"/>
      <x:c r="H198" s="117"/>
      <x:c r="I198" s="117"/>
      <x:c r="J198" s="117"/>
      <x:c r="K198" s="117"/>
      <x:c r="L198" s="117"/>
      <x:c r="M198" s="117"/>
      <x:c r="N198" s="117"/>
      <x:c r="O198" s="117"/>
      <x:c r="P198" s="117"/>
      <x:c r="Q198" s="117"/>
      <x:c r="R198" s="117"/>
      <x:c r="S198" s="117"/>
      <x:c r="T198" s="117"/>
      <x:c r="U198" s="117"/>
      <x:c r="V198" s="117"/>
      <x:c r="W198" s="117"/>
      <x:c r="X198" s="117"/>
      <x:c r="Y198" s="117"/>
      <x:c r="Z198" s="117"/>
    </x:row>
    <x:row r="199">
      <x:c r="A199" s="117"/>
      <x:c r="B199" s="117"/>
      <x:c r="C199" s="117"/>
      <x:c r="D199" s="117"/>
      <x:c r="E199" s="117"/>
      <x:c r="F199" s="117"/>
      <x:c r="G199" s="117"/>
      <x:c r="H199" s="117"/>
      <x:c r="I199" s="117"/>
      <x:c r="J199" s="117"/>
      <x:c r="K199" s="117"/>
      <x:c r="L199" s="117"/>
      <x:c r="M199" s="117"/>
      <x:c r="N199" s="117"/>
      <x:c r="O199" s="117"/>
      <x:c r="P199" s="117"/>
      <x:c r="Q199" s="117"/>
      <x:c r="R199" s="117"/>
      <x:c r="S199" s="117"/>
      <x:c r="T199" s="117"/>
      <x:c r="U199" s="117"/>
      <x:c r="V199" s="117"/>
      <x:c r="W199" s="117"/>
      <x:c r="X199" s="117"/>
      <x:c r="Y199" s="117"/>
      <x:c r="Z199" s="117"/>
    </x:row>
    <x:row r="200">
      <x:c r="A200" s="117"/>
      <x:c r="B200" s="117"/>
      <x:c r="C200" s="117"/>
      <x:c r="D200" s="117"/>
      <x:c r="E200" s="117"/>
      <x:c r="F200" s="117"/>
      <x:c r="G200" s="117"/>
      <x:c r="H200" s="117"/>
      <x:c r="I200" s="117"/>
      <x:c r="J200" s="117"/>
      <x:c r="K200" s="117"/>
      <x:c r="L200" s="117"/>
      <x:c r="M200" s="117"/>
      <x:c r="N200" s="117"/>
      <x:c r="O200" s="117"/>
      <x:c r="P200" s="117"/>
      <x:c r="Q200" s="117"/>
      <x:c r="R200" s="117"/>
      <x:c r="S200" s="117"/>
      <x:c r="T200" s="117"/>
      <x:c r="U200" s="117"/>
      <x:c r="V200" s="117"/>
      <x:c r="W200" s="117"/>
      <x:c r="X200" s="117"/>
      <x:c r="Y200" s="117"/>
      <x:c r="Z200" s="117"/>
    </x:row>
  </x:sheetData>
  <x:mergeCells>
    <x:mergeCell ref="A1:H1"/>
    <x:mergeCell ref="A2:H2"/>
  </x:mergeCells>
  <x:pageMargins left="0.7" right="0.7" top="0.75" bottom="0.75" header="0.3" footer="0.3"/>
</x:worksheet>
</file>

<file path=xl/worksheets/sheet7.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s>
  <x:sheetData>
    <x:row r="1" ht="28" customHeight="1">
      <x:c r="A1" s="116" t="str">
        <x:v>06_回答整合性チェック</x:v>
      </x:c>
      <x:c r="B1" s="116"/>
      <x:c r="C1" s="116"/>
      <x:c r="D1" s="116"/>
      <x:c r="E1" s="116"/>
      <x:c r="F1" s="116"/>
      <x:c r="G1" s="116"/>
      <x:c r="H1" s="116"/>
      <x:c r="I1" s="117"/>
      <x:c r="J1" s="117"/>
      <x:c r="K1" s="117"/>
      <x:c r="L1" s="117"/>
      <x:c r="M1" s="117"/>
      <x:c r="N1" s="117"/>
      <x:c r="O1" s="117"/>
      <x:c r="P1" s="117"/>
      <x:c r="Q1" s="117"/>
      <x:c r="R1" s="117"/>
      <x:c r="S1" s="117"/>
      <x:c r="T1" s="117"/>
      <x:c r="U1" s="117"/>
      <x:c r="V1" s="117"/>
      <x:c r="W1" s="117"/>
      <x:c r="X1" s="117"/>
      <x:c r="Y1" s="117"/>
      <x:c r="Z1" s="117"/>
    </x:row>
    <x:row r="2" ht="34" customHeight="1">
      <x:c r="A2" s="118" t="str">
        <x:v>Version0.1 初期構造。08の逆算結果に従い次工程で詳細化。</x:v>
      </x:c>
      <x:c r="B2" s="118"/>
      <x:c r="C2" s="118"/>
      <x:c r="D2" s="118"/>
      <x:c r="E2" s="118"/>
      <x:c r="F2" s="118"/>
      <x:c r="G2" s="118"/>
      <x:c r="H2" s="118"/>
      <x:c r="I2" s="117"/>
      <x:c r="J2" s="117"/>
      <x:c r="K2" s="117"/>
      <x:c r="L2" s="117"/>
      <x:c r="M2" s="117"/>
      <x:c r="N2" s="117"/>
      <x:c r="O2" s="117"/>
      <x:c r="P2" s="117"/>
      <x:c r="Q2" s="117"/>
      <x:c r="R2" s="117"/>
      <x:c r="S2" s="117"/>
      <x:c r="T2" s="117"/>
      <x:c r="U2" s="117"/>
      <x:c r="V2" s="117"/>
      <x:c r="W2" s="117"/>
      <x:c r="X2" s="117"/>
      <x:c r="Y2" s="117"/>
      <x:c r="Z2" s="117"/>
    </x:row>
    <x:row r="3">
      <x:c r="A3" s="117"/>
      <x:c r="B3" s="117"/>
      <x:c r="C3" s="117"/>
      <x:c r="D3" s="117"/>
      <x:c r="E3" s="117"/>
      <x:c r="F3" s="117"/>
      <x:c r="G3" s="117"/>
      <x:c r="H3" s="117"/>
      <x:c r="I3" s="117"/>
      <x:c r="J3" s="117"/>
      <x:c r="K3" s="117"/>
      <x:c r="L3" s="117"/>
      <x:c r="M3" s="117"/>
      <x:c r="N3" s="117"/>
      <x:c r="O3" s="117"/>
      <x:c r="P3" s="117"/>
      <x:c r="Q3" s="117"/>
      <x:c r="R3" s="117"/>
      <x:c r="S3" s="117"/>
      <x:c r="T3" s="117"/>
      <x:c r="U3" s="117"/>
      <x:c r="V3" s="117"/>
      <x:c r="W3" s="117"/>
      <x:c r="X3" s="117"/>
      <x:c r="Y3" s="117"/>
      <x:c r="Z3" s="117"/>
    </x:row>
    <x:row r="4" ht="36" customHeight="1">
      <x:c r="A4" s="139" t="str">
        <x:v>整合性ルールID</x:v>
      </x:c>
      <x:c r="B4" s="140" t="str">
        <x:v>質問・資料A</x:v>
      </x:c>
      <x:c r="C4" s="140" t="str">
        <x:v>質問・資料B</x:v>
      </x:c>
      <x:c r="D4" s="140" t="str">
        <x:v>矛盾条件</x:v>
      </x:c>
      <x:c r="E4" s="140" t="str">
        <x:v>判定停止対象</x:v>
      </x:c>
      <x:c r="F4" s="140" t="str">
        <x:v>表示コメントコード</x:v>
      </x:c>
      <x:c r="G4" s="140" t="str">
        <x:v>解消方法</x:v>
      </x:c>
      <x:c r="H4" s="168" t="str">
        <x:v>優先度</x:v>
      </x:c>
      <x:c r="I4" s="141" t="str">
        <x:v>備考</x:v>
      </x:c>
      <x:c r="J4" s="117"/>
      <x:c r="K4" s="117"/>
      <x:c r="L4" s="117"/>
      <x:c r="M4" s="117"/>
      <x:c r="N4" s="117"/>
      <x:c r="O4" s="117"/>
      <x:c r="P4" s="117"/>
      <x:c r="Q4" s="117"/>
      <x:c r="R4" s="117"/>
      <x:c r="S4" s="117"/>
      <x:c r="T4" s="117"/>
      <x:c r="U4" s="117"/>
      <x:c r="V4" s="117"/>
      <x:c r="W4" s="117"/>
      <x:c r="X4" s="117"/>
      <x:c r="Y4" s="117"/>
      <x:c r="Z4" s="117"/>
    </x:row>
    <x:row r="5">
      <x:c r="A5" s="144" t="str">
        <x:v>CS-EOL-01</x:v>
      </x:c>
      <x:c r="B5" s="145" t="str">
        <x:v>Q106=YES</x:v>
      </x:c>
      <x:c r="C5" s="145" t="str">
        <x:v>メーカー回答=保守継続</x:v>
      </x:c>
      <x:c r="D5" s="145" t="str">
        <x:v>回答と正式資料が不一致</x:v>
      </x:c>
      <x:c r="E5" s="145" t="str">
        <x:v>EOL判定・EPI該当項目</x:v>
      </x:c>
      <x:c r="F5" s="145" t="str">
        <x:v>GR-EOL-L0-01</x:v>
      </x:c>
      <x:c r="G5" s="145" t="str">
        <x:v>型式・回答日・対象範囲を再確認</x:v>
      </x:c>
      <x:c r="H5" s="145" t="str">
        <x:v>S</x:v>
      </x:c>
      <x:c r="I5" s="146" t="str">
        <x:v>正式資料優先だが自動上書きしない</x:v>
      </x:c>
      <x:c r="J5" s="117"/>
      <x:c r="K5" s="117"/>
      <x:c r="L5" s="117"/>
      <x:c r="M5" s="117"/>
      <x:c r="N5" s="117"/>
      <x:c r="O5" s="117"/>
      <x:c r="P5" s="117"/>
      <x:c r="Q5" s="117"/>
      <x:c r="R5" s="117"/>
      <x:c r="S5" s="117"/>
      <x:c r="T5" s="117"/>
      <x:c r="U5" s="117"/>
      <x:c r="V5" s="117"/>
      <x:c r="W5" s="117"/>
      <x:c r="X5" s="117"/>
      <x:c r="Y5" s="117"/>
      <x:c r="Z5" s="117"/>
    </x:row>
    <x:row r="6">
      <x:c r="A6" s="147" t="str">
        <x:v>CS-EOL-02</x:v>
      </x:c>
      <x:c r="B6" s="148" t="str">
        <x:v>Q106=NO</x:v>
      </x:c>
      <x:c r="C6" s="148" t="str">
        <x:v>Q303=LOW または Q311=VERBAL/NONE</x:v>
      </x:c>
      <x:c r="D6" s="148" t="str">
        <x:v>保守継続の根拠がない</x:v>
      </x:c>
      <x:c r="E6" s="148" t="str">
        <x:v>EOL否定の断定</x:v>
      </x:c>
      <x:c r="F6" s="148" t="str">
        <x:v>GR-EOL-L1-01</x:v>
      </x:c>
      <x:c r="G6" s="148" t="str">
        <x:v>型式特定・メーカー照会</x:v>
      </x:c>
      <x:c r="H6" s="148" t="str">
        <x:v>A</x:v>
      </x:c>
      <x:c r="I6" s="149" t="str">
        <x:v>NO回答だけでL3にしない</x:v>
      </x:c>
      <x:c r="J6" s="117"/>
      <x:c r="K6" s="117"/>
      <x:c r="L6" s="117"/>
      <x:c r="M6" s="117"/>
      <x:c r="N6" s="117"/>
      <x:c r="O6" s="117"/>
      <x:c r="P6" s="117"/>
      <x:c r="Q6" s="117"/>
      <x:c r="R6" s="117"/>
      <x:c r="S6" s="117"/>
      <x:c r="T6" s="117"/>
      <x:c r="U6" s="117"/>
      <x:c r="V6" s="117"/>
      <x:c r="W6" s="117"/>
      <x:c r="X6" s="117"/>
      <x:c r="Y6" s="117"/>
      <x:c r="Z6" s="117"/>
    </x:row>
    <x:row r="7">
      <x:c r="A7" s="147" t="str">
        <x:v>CS-AGE-01</x:v>
      </x:c>
      <x:c r="B7" s="148" t="str">
        <x:v>Q201の設置年</x:v>
      </x:c>
      <x:c r="C7" s="148" t="str">
        <x:v>Q208更新履歴</x:v>
      </x:c>
      <x:c r="D7" s="148" t="str">
        <x:v>更新年が設置年より前、または年齢と履歴が不整合</x:v>
      </x:c>
      <x:c r="E7" s="148" t="str">
        <x:v>設備年齢判定</x:v>
      </x:c>
      <x:c r="F7" s="148" t="str">
        <x:v>CONS-AGE-L0-01</x:v>
      </x:c>
      <x:c r="G7" s="148" t="str">
        <x:v>台帳・銘板・更新記録を再確認</x:v>
      </x:c>
      <x:c r="H7" s="148" t="str">
        <x:v>A</x:v>
      </x:c>
      <x:c r="I7" s="149" t="str"/>
      <x:c r="J7" s="117"/>
      <x:c r="K7" s="117"/>
      <x:c r="L7" s="117"/>
      <x:c r="M7" s="117"/>
      <x:c r="N7" s="117"/>
      <x:c r="O7" s="117"/>
      <x:c r="P7" s="117"/>
      <x:c r="Q7" s="117"/>
      <x:c r="R7" s="117"/>
      <x:c r="S7" s="117"/>
      <x:c r="T7" s="117"/>
      <x:c r="U7" s="117"/>
      <x:c r="V7" s="117"/>
      <x:c r="W7" s="117"/>
      <x:c r="X7" s="117"/>
      <x:c r="Y7" s="117"/>
      <x:c r="Z7" s="117"/>
    </x:row>
    <x:row r="8">
      <x:c r="A8" s="147" t="str">
        <x:v>CS-BCP-01</x:v>
      </x:c>
      <x:c r="B8" s="148" t="str">
        <x:v>Q108=CRITICAL/HIGH</x:v>
      </x:c>
      <x:c r="C8" s="148" t="str">
        <x:v>Q109=FULL</x:v>
      </x:c>
      <x:c r="D8" s="148" t="str">
        <x:v>代替可能とするが代替設備資料なし</x:v>
      </x:c>
      <x:c r="E8" s="148" t="str">
        <x:v>BCP断定レベル</x:v>
      </x:c>
      <x:c r="F8" s="148" t="str">
        <x:v>EPI-BCP-L1-01</x:v>
      </x:c>
      <x:c r="G8" s="148" t="str">
        <x:v>設備構成図・運用手順を確認</x:v>
      </x:c>
      <x:c r="H8" s="148" t="str">
        <x:v>A</x:v>
      </x:c>
      <x:c r="I8" s="149" t="str">
        <x:v>資料なしの場合L2以下</x:v>
      </x:c>
      <x:c r="J8" s="117"/>
      <x:c r="K8" s="117"/>
      <x:c r="L8" s="117"/>
      <x:c r="M8" s="117"/>
      <x:c r="N8" s="117"/>
      <x:c r="O8" s="117"/>
      <x:c r="P8" s="117"/>
      <x:c r="Q8" s="117"/>
      <x:c r="R8" s="117"/>
      <x:c r="S8" s="117"/>
      <x:c r="T8" s="117"/>
      <x:c r="U8" s="117"/>
      <x:c r="V8" s="117"/>
      <x:c r="W8" s="117"/>
      <x:c r="X8" s="117"/>
      <x:c r="Y8" s="117"/>
      <x:c r="Z8" s="117"/>
    </x:row>
    <x:row r="9">
      <x:c r="A9" s="147" t="str">
        <x:v>CS-MAINT-01</x:v>
      </x:c>
      <x:c r="B9" s="148" t="str">
        <x:v>Q204=PREDICTIVE/PERIODIC</x:v>
      </x:c>
      <x:c r="C9" s="148" t="str">
        <x:v>Q302=VERBAL/NONE</x:v>
      </x:c>
      <x:c r="D9" s="148" t="str">
        <x:v>保全実施と履歴管理が不整合</x:v>
      </x:c>
      <x:c r="E9" s="148" t="str">
        <x:v>EDI保全評価</x:v>
      </x:c>
      <x:c r="F9" s="148" t="str">
        <x:v>CONS-MAINT-L0-01</x:v>
      </x:c>
      <x:c r="G9" s="148" t="str">
        <x:v>保全記録を提示・回答修正</x:v>
      </x:c>
      <x:c r="H9" s="148" t="str">
        <x:v>B</x:v>
      </x:c>
      <x:c r="I9" s="149" t="str"/>
      <x:c r="J9" s="117"/>
      <x:c r="K9" s="117"/>
      <x:c r="L9" s="117"/>
      <x:c r="M9" s="117"/>
      <x:c r="N9" s="117"/>
      <x:c r="O9" s="117"/>
      <x:c r="P9" s="117"/>
      <x:c r="Q9" s="117"/>
      <x:c r="R9" s="117"/>
      <x:c r="S9" s="117"/>
      <x:c r="T9" s="117"/>
      <x:c r="U9" s="117"/>
      <x:c r="V9" s="117"/>
      <x:c r="W9" s="117"/>
      <x:c r="X9" s="117"/>
      <x:c r="Y9" s="117"/>
      <x:c r="Z9" s="117"/>
    </x:row>
    <x:row r="10">
      <x:c r="A10" s="147" t="str">
        <x:v>CS-DOC-01</x:v>
      </x:c>
      <x:c r="B10" s="148" t="str">
        <x:v>Q301=FULL</x:v>
      </x:c>
      <x:c r="C10" s="148" t="str">
        <x:v>図面添付なし かつ Q304=NONE</x:v>
      </x:c>
      <x:c r="D10" s="148" t="str">
        <x:v>現行図面ありとするが範囲合意不能</x:v>
      </x:c>
      <x:c r="E10" s="148" t="str">
        <x:v>DRI図面評価</x:v>
      </x:c>
      <x:c r="F10" s="148" t="str">
        <x:v>DRI-DOC-L1-01</x:v>
      </x:c>
      <x:c r="G10" s="148" t="str">
        <x:v>図面版・対象範囲を確認</x:v>
      </x:c>
      <x:c r="H10" s="148" t="str">
        <x:v>B</x:v>
      </x:c>
      <x:c r="I10" s="149" t="str"/>
      <x:c r="J10" s="117"/>
      <x:c r="K10" s="117"/>
      <x:c r="L10" s="117"/>
      <x:c r="M10" s="117"/>
      <x:c r="N10" s="117"/>
      <x:c r="O10" s="117"/>
      <x:c r="P10" s="117"/>
      <x:c r="Q10" s="117"/>
      <x:c r="R10" s="117"/>
      <x:c r="S10" s="117"/>
      <x:c r="T10" s="117"/>
      <x:c r="U10" s="117"/>
      <x:c r="V10" s="117"/>
      <x:c r="W10" s="117"/>
      <x:c r="X10" s="117"/>
      <x:c r="Y10" s="117"/>
      <x:c r="Z10" s="117"/>
    </x:row>
    <x:row r="11">
      <x:c r="A11" s="147" t="str">
        <x:v>CS-BUDGET-01</x:v>
      </x:c>
      <x:c r="B11" s="148" t="str">
        <x:v>Q306=SECURED</x:v>
      </x:c>
      <x:c r="C11" s="148" t="str">
        <x:v>Q312=VERBAL/NONE</x:v>
      </x:c>
      <x:c r="D11" s="148" t="str">
        <x:v>予算確保と費用根拠が不整合</x:v>
      </x:c>
      <x:c r="E11" s="148" t="str">
        <x:v>推奨案の金額断定</x:v>
      </x:c>
      <x:c r="F11" s="148" t="str">
        <x:v>CONS-BUDGET-L0-01</x:v>
      </x:c>
      <x:c r="G11" s="148" t="str">
        <x:v>予算根拠・見積を確認</x:v>
      </x:c>
      <x:c r="H11" s="148" t="str">
        <x:v>B</x:v>
      </x:c>
      <x:c r="I11" s="149" t="str"/>
      <x:c r="J11" s="117"/>
      <x:c r="K11" s="117"/>
      <x:c r="L11" s="117"/>
      <x:c r="M11" s="117"/>
      <x:c r="N11" s="117"/>
      <x:c r="O11" s="117"/>
      <x:c r="P11" s="117"/>
      <x:c r="Q11" s="117"/>
      <x:c r="R11" s="117"/>
      <x:c r="S11" s="117"/>
      <x:c r="T11" s="117"/>
      <x:c r="U11" s="117"/>
      <x:c r="V11" s="117"/>
      <x:c r="W11" s="117"/>
      <x:c r="X11" s="117"/>
      <x:c r="Y11" s="117"/>
      <x:c r="Z11" s="117"/>
    </x:row>
    <x:row r="12">
      <x:c r="A12" s="147" t="str">
        <x:v>CS-ENERGY-01</x:v>
      </x:c>
      <x:c r="B12" s="148" t="str">
        <x:v>Q224=VERIFIED</x:v>
      </x:c>
      <x:c r="C12" s="148" t="str">
        <x:v>Q222=LOW または Q223=VERBAL/NONE</x:v>
      </x:c>
      <x:c r="D12" s="148" t="str">
        <x:v>効果検証と計測基盤が不整合</x:v>
      </x:c>
      <x:c r="E12" s="148" t="str">
        <x:v>省エネ効果断定</x:v>
      </x:c>
      <x:c r="F12" s="148" t="str">
        <x:v>CONS-ENE-L0-01</x:v>
      </x:c>
      <x:c r="G12" s="148" t="str">
        <x:v>計測方法・効果算定資料を確認</x:v>
      </x:c>
      <x:c r="H12" s="148" t="str">
        <x:v>B</x:v>
      </x:c>
      <x:c r="I12" s="149" t="str"/>
      <x:c r="J12" s="117"/>
      <x:c r="K12" s="117"/>
      <x:c r="L12" s="117"/>
      <x:c r="M12" s="117"/>
      <x:c r="N12" s="117"/>
      <x:c r="O12" s="117"/>
      <x:c r="P12" s="117"/>
      <x:c r="Q12" s="117"/>
      <x:c r="R12" s="117"/>
      <x:c r="S12" s="117"/>
      <x:c r="T12" s="117"/>
      <x:c r="U12" s="117"/>
      <x:c r="V12" s="117"/>
      <x:c r="W12" s="117"/>
      <x:c r="X12" s="117"/>
      <x:c r="Y12" s="117"/>
      <x:c r="Z12" s="117"/>
    </x:row>
    <x:row r="13">
      <x:c r="A13" s="158" t="str">
        <x:v>CS-BLD-01</x:v>
      </x:c>
      <x:c r="B13" s="159" t="str">
        <x:v>Q242=CRITICAL/YES</x:v>
      </x:c>
      <x:c r="C13" s="159" t="str">
        <x:v>写真なし かつ Q112=NONE</x:v>
      </x:c>
      <x:c r="D13" s="159" t="str">
        <x:v>結露重大性と影響回答が不整合</x:v>
      </x:c>
      <x:c r="E13" s="159" t="str">
        <x:v>建屋Guardrail断定</x:v>
      </x:c>
      <x:c r="F13" s="159" t="str">
        <x:v>EDI-BLD-L2-01</x:v>
      </x:c>
      <x:c r="G13" s="159" t="str">
        <x:v>発生状況・影響範囲を再確認</x:v>
      </x:c>
      <x:c r="H13" s="159" t="str">
        <x:v>A</x:v>
      </x:c>
      <x:c r="I13" s="160" t="str"/>
      <x:c r="J13" s="117"/>
      <x:c r="K13" s="117"/>
      <x:c r="L13" s="117"/>
      <x:c r="M13" s="117"/>
      <x:c r="N13" s="117"/>
      <x:c r="O13" s="117"/>
      <x:c r="P13" s="117"/>
      <x:c r="Q13" s="117"/>
      <x:c r="R13" s="117"/>
      <x:c r="S13" s="117"/>
      <x:c r="T13" s="117"/>
      <x:c r="U13" s="117"/>
      <x:c r="V13" s="117"/>
      <x:c r="W13" s="117"/>
      <x:c r="X13" s="117"/>
      <x:c r="Y13" s="117"/>
      <x:c r="Z13" s="117"/>
    </x:row>
    <x:row r="14">
      <x:c r="A14" s="117"/>
      <x:c r="B14" s="117"/>
      <x:c r="C14" s="117"/>
      <x:c r="D14" s="117"/>
      <x:c r="E14" s="117"/>
      <x:c r="F14" s="117"/>
      <x:c r="G14" s="117"/>
      <x:c r="H14" s="117"/>
      <x:c r="I14" s="117"/>
      <x:c r="J14" s="117"/>
      <x:c r="K14" s="117"/>
      <x:c r="L14" s="117"/>
      <x:c r="M14" s="117"/>
      <x:c r="N14" s="117"/>
      <x:c r="O14" s="117"/>
      <x:c r="P14" s="117"/>
      <x:c r="Q14" s="117"/>
      <x:c r="R14" s="117"/>
      <x:c r="S14" s="117"/>
      <x:c r="T14" s="117"/>
      <x:c r="U14" s="117"/>
      <x:c r="V14" s="117"/>
      <x:c r="W14" s="117"/>
      <x:c r="X14" s="117"/>
      <x:c r="Y14" s="117"/>
      <x:c r="Z14" s="117"/>
    </x:row>
    <x:row r="15">
      <x:c r="A15" s="117"/>
      <x:c r="B15" s="117"/>
      <x:c r="C15" s="117"/>
      <x:c r="D15" s="117"/>
      <x:c r="E15" s="117"/>
      <x:c r="F15" s="117"/>
      <x:c r="G15" s="117"/>
      <x:c r="H15" s="117"/>
      <x:c r="I15" s="117"/>
      <x:c r="J15" s="117"/>
      <x:c r="K15" s="117"/>
      <x:c r="L15" s="117"/>
      <x:c r="M15" s="117"/>
      <x:c r="N15" s="117"/>
      <x:c r="O15" s="117"/>
      <x:c r="P15" s="117"/>
      <x:c r="Q15" s="117"/>
      <x:c r="R15" s="117"/>
      <x:c r="S15" s="117"/>
      <x:c r="T15" s="117"/>
      <x:c r="U15" s="117"/>
      <x:c r="V15" s="117"/>
      <x:c r="W15" s="117"/>
      <x:c r="X15" s="117"/>
      <x:c r="Y15" s="117"/>
      <x:c r="Z15" s="117"/>
    </x:row>
    <x:row r="16">
      <x:c r="A16" s="117"/>
      <x:c r="B16" s="117"/>
      <x:c r="C16" s="117"/>
      <x:c r="D16" s="117"/>
      <x:c r="E16" s="117"/>
      <x:c r="F16" s="117"/>
      <x:c r="G16" s="117"/>
      <x:c r="H16" s="117"/>
      <x:c r="I16" s="117"/>
      <x:c r="J16" s="117"/>
      <x:c r="K16" s="117"/>
      <x:c r="L16" s="117"/>
      <x:c r="M16" s="117"/>
      <x:c r="N16" s="117"/>
      <x:c r="O16" s="117"/>
      <x:c r="P16" s="117"/>
      <x:c r="Q16" s="117"/>
      <x:c r="R16" s="117"/>
      <x:c r="S16" s="117"/>
      <x:c r="T16" s="117"/>
      <x:c r="U16" s="117"/>
      <x:c r="V16" s="117"/>
      <x:c r="W16" s="117"/>
      <x:c r="X16" s="117"/>
      <x:c r="Y16" s="117"/>
      <x:c r="Z16" s="117"/>
    </x:row>
    <x:row r="17">
      <x:c r="A17" s="117"/>
      <x:c r="B17" s="117"/>
      <x:c r="C17" s="117"/>
      <x:c r="D17" s="117"/>
      <x:c r="E17" s="117"/>
      <x:c r="F17" s="117"/>
      <x:c r="G17" s="117"/>
      <x:c r="H17" s="117"/>
      <x:c r="I17" s="117"/>
      <x:c r="J17" s="117"/>
      <x:c r="K17" s="117"/>
      <x:c r="L17" s="117"/>
      <x:c r="M17" s="117"/>
      <x:c r="N17" s="117"/>
      <x:c r="O17" s="117"/>
      <x:c r="P17" s="117"/>
      <x:c r="Q17" s="117"/>
      <x:c r="R17" s="117"/>
      <x:c r="S17" s="117"/>
      <x:c r="T17" s="117"/>
      <x:c r="U17" s="117"/>
      <x:c r="V17" s="117"/>
      <x:c r="W17" s="117"/>
      <x:c r="X17" s="117"/>
      <x:c r="Y17" s="117"/>
      <x:c r="Z17" s="117"/>
    </x:row>
    <x:row r="18">
      <x:c r="A18" s="117"/>
      <x:c r="B18" s="117"/>
      <x:c r="C18" s="117"/>
      <x:c r="D18" s="117"/>
      <x:c r="E18" s="117"/>
      <x:c r="F18" s="117"/>
      <x:c r="G18" s="117"/>
      <x:c r="H18" s="117"/>
      <x:c r="I18" s="117"/>
      <x:c r="J18" s="117"/>
      <x:c r="K18" s="117"/>
      <x:c r="L18" s="117"/>
      <x:c r="M18" s="117"/>
      <x:c r="N18" s="117"/>
      <x:c r="O18" s="117"/>
      <x:c r="P18" s="117"/>
      <x:c r="Q18" s="117"/>
      <x:c r="R18" s="117"/>
      <x:c r="S18" s="117"/>
      <x:c r="T18" s="117"/>
      <x:c r="U18" s="117"/>
      <x:c r="V18" s="117"/>
      <x:c r="W18" s="117"/>
      <x:c r="X18" s="117"/>
      <x:c r="Y18" s="117"/>
      <x:c r="Z18" s="117"/>
    </x:row>
    <x:row r="19">
      <x:c r="A19" s="117"/>
      <x:c r="B19" s="117"/>
      <x:c r="C19" s="117"/>
      <x:c r="D19" s="117"/>
      <x:c r="E19" s="117"/>
      <x:c r="F19" s="117"/>
      <x:c r="G19" s="117"/>
      <x:c r="H19" s="117"/>
      <x:c r="I19" s="117"/>
      <x:c r="J19" s="117"/>
      <x:c r="K19" s="117"/>
      <x:c r="L19" s="117"/>
      <x:c r="M19" s="117"/>
      <x:c r="N19" s="117"/>
      <x:c r="O19" s="117"/>
      <x:c r="P19" s="117"/>
      <x:c r="Q19" s="117"/>
      <x:c r="R19" s="117"/>
      <x:c r="S19" s="117"/>
      <x:c r="T19" s="117"/>
      <x:c r="U19" s="117"/>
      <x:c r="V19" s="117"/>
      <x:c r="W19" s="117"/>
      <x:c r="X19" s="117"/>
      <x:c r="Y19" s="117"/>
      <x:c r="Z19" s="117"/>
    </x:row>
    <x:row r="20">
      <x:c r="A20" s="117"/>
      <x:c r="B20" s="117"/>
      <x:c r="C20" s="117"/>
      <x:c r="D20" s="117"/>
      <x:c r="E20" s="117"/>
      <x:c r="F20" s="117"/>
      <x:c r="G20" s="117"/>
      <x:c r="H20" s="117"/>
      <x:c r="I20" s="117"/>
      <x:c r="J20" s="117"/>
      <x:c r="K20" s="117"/>
      <x:c r="L20" s="117"/>
      <x:c r="M20" s="117"/>
      <x:c r="N20" s="117"/>
      <x:c r="O20" s="117"/>
      <x:c r="P20" s="117"/>
      <x:c r="Q20" s="117"/>
      <x:c r="R20" s="117"/>
      <x:c r="S20" s="117"/>
      <x:c r="T20" s="117"/>
      <x:c r="U20" s="117"/>
      <x:c r="V20" s="117"/>
      <x:c r="W20" s="117"/>
      <x:c r="X20" s="117"/>
      <x:c r="Y20" s="117"/>
      <x:c r="Z20" s="117"/>
    </x:row>
    <x:row r="21">
      <x:c r="A21" s="117"/>
      <x:c r="B21" s="117"/>
      <x:c r="C21" s="117"/>
      <x:c r="D21" s="117"/>
      <x:c r="E21" s="117"/>
      <x:c r="F21" s="117"/>
      <x:c r="G21" s="117"/>
      <x:c r="H21" s="117"/>
      <x:c r="I21" s="117"/>
      <x:c r="J21" s="117"/>
      <x:c r="K21" s="117"/>
      <x:c r="L21" s="117"/>
      <x:c r="M21" s="117"/>
      <x:c r="N21" s="117"/>
      <x:c r="O21" s="117"/>
      <x:c r="P21" s="117"/>
      <x:c r="Q21" s="117"/>
      <x:c r="R21" s="117"/>
      <x:c r="S21" s="117"/>
      <x:c r="T21" s="117"/>
      <x:c r="U21" s="117"/>
      <x:c r="V21" s="117"/>
      <x:c r="W21" s="117"/>
      <x:c r="X21" s="117"/>
      <x:c r="Y21" s="117"/>
      <x:c r="Z21" s="117"/>
    </x:row>
    <x:row r="22">
      <x:c r="A22" s="117"/>
      <x:c r="B22" s="117"/>
      <x:c r="C22" s="117"/>
      <x:c r="D22" s="117"/>
      <x:c r="E22" s="117"/>
      <x:c r="F22" s="117"/>
      <x:c r="G22" s="117"/>
      <x:c r="H22" s="117"/>
      <x:c r="I22" s="117"/>
      <x:c r="J22" s="117"/>
      <x:c r="K22" s="117"/>
      <x:c r="L22" s="117"/>
      <x:c r="M22" s="117"/>
      <x:c r="N22" s="117"/>
      <x:c r="O22" s="117"/>
      <x:c r="P22" s="117"/>
      <x:c r="Q22" s="117"/>
      <x:c r="R22" s="117"/>
      <x:c r="S22" s="117"/>
      <x:c r="T22" s="117"/>
      <x:c r="U22" s="117"/>
      <x:c r="V22" s="117"/>
      <x:c r="W22" s="117"/>
      <x:c r="X22" s="117"/>
      <x:c r="Y22" s="117"/>
      <x:c r="Z22" s="117"/>
    </x:row>
    <x:row r="23">
      <x:c r="A23" s="117"/>
      <x:c r="B23" s="117"/>
      <x:c r="C23" s="117"/>
      <x:c r="D23" s="117"/>
      <x:c r="E23" s="117"/>
      <x:c r="F23" s="117"/>
      <x:c r="G23" s="117"/>
      <x:c r="H23" s="117"/>
      <x:c r="I23" s="117"/>
      <x:c r="J23" s="117"/>
      <x:c r="K23" s="117"/>
      <x:c r="L23" s="117"/>
      <x:c r="M23" s="117"/>
      <x:c r="N23" s="117"/>
      <x:c r="O23" s="117"/>
      <x:c r="P23" s="117"/>
      <x:c r="Q23" s="117"/>
      <x:c r="R23" s="117"/>
      <x:c r="S23" s="117"/>
      <x:c r="T23" s="117"/>
      <x:c r="U23" s="117"/>
      <x:c r="V23" s="117"/>
      <x:c r="W23" s="117"/>
      <x:c r="X23" s="117"/>
      <x:c r="Y23" s="117"/>
      <x:c r="Z23" s="117"/>
    </x:row>
    <x:row r="24">
      <x:c r="A24" s="117"/>
      <x:c r="B24" s="117"/>
      <x:c r="C24" s="117"/>
      <x:c r="D24" s="117"/>
      <x:c r="E24" s="117"/>
      <x:c r="F24" s="117"/>
      <x:c r="G24" s="117"/>
      <x:c r="H24" s="117"/>
      <x:c r="I24" s="117"/>
      <x:c r="J24" s="117"/>
      <x:c r="K24" s="117"/>
      <x:c r="L24" s="117"/>
      <x:c r="M24" s="117"/>
      <x:c r="N24" s="117"/>
      <x:c r="O24" s="117"/>
      <x:c r="P24" s="117"/>
      <x:c r="Q24" s="117"/>
      <x:c r="R24" s="117"/>
      <x:c r="S24" s="117"/>
      <x:c r="T24" s="117"/>
      <x:c r="U24" s="117"/>
      <x:c r="V24" s="117"/>
      <x:c r="W24" s="117"/>
      <x:c r="X24" s="117"/>
      <x:c r="Y24" s="117"/>
      <x:c r="Z24" s="117"/>
    </x:row>
    <x:row r="25">
      <x:c r="A25" s="117"/>
      <x:c r="B25" s="117"/>
      <x:c r="C25" s="117"/>
      <x:c r="D25" s="117"/>
      <x:c r="E25" s="117"/>
      <x:c r="F25" s="117"/>
      <x:c r="G25" s="117"/>
      <x:c r="H25" s="117"/>
      <x:c r="I25" s="117"/>
      <x:c r="J25" s="117"/>
      <x:c r="K25" s="117"/>
      <x:c r="L25" s="117"/>
      <x:c r="M25" s="117"/>
      <x:c r="N25" s="117"/>
      <x:c r="O25" s="117"/>
      <x:c r="P25" s="117"/>
      <x:c r="Q25" s="117"/>
      <x:c r="R25" s="117"/>
      <x:c r="S25" s="117"/>
      <x:c r="T25" s="117"/>
      <x:c r="U25" s="117"/>
      <x:c r="V25" s="117"/>
      <x:c r="W25" s="117"/>
      <x:c r="X25" s="117"/>
      <x:c r="Y25" s="117"/>
      <x:c r="Z25" s="117"/>
    </x:row>
    <x:row r="26">
      <x:c r="A26" s="117"/>
      <x:c r="B26" s="117"/>
      <x:c r="C26" s="117"/>
      <x:c r="D26" s="117"/>
      <x:c r="E26" s="117"/>
      <x:c r="F26" s="117"/>
      <x:c r="G26" s="117"/>
      <x:c r="H26" s="117"/>
      <x:c r="I26" s="117"/>
      <x:c r="J26" s="117"/>
      <x:c r="K26" s="117"/>
      <x:c r="L26" s="117"/>
      <x:c r="M26" s="117"/>
      <x:c r="N26" s="117"/>
      <x:c r="O26" s="117"/>
      <x:c r="P26" s="117"/>
      <x:c r="Q26" s="117"/>
      <x:c r="R26" s="117"/>
      <x:c r="S26" s="117"/>
      <x:c r="T26" s="117"/>
      <x:c r="U26" s="117"/>
      <x:c r="V26" s="117"/>
      <x:c r="W26" s="117"/>
      <x:c r="X26" s="117"/>
      <x:c r="Y26" s="117"/>
      <x:c r="Z26" s="117"/>
    </x:row>
    <x:row r="27">
      <x:c r="A27" s="117"/>
      <x:c r="B27" s="117"/>
      <x:c r="C27" s="117"/>
      <x:c r="D27" s="117"/>
      <x:c r="E27" s="117"/>
      <x:c r="F27" s="117"/>
      <x:c r="G27" s="117"/>
      <x:c r="H27" s="117"/>
      <x:c r="I27" s="117"/>
      <x:c r="J27" s="117"/>
      <x:c r="K27" s="117"/>
      <x:c r="L27" s="117"/>
      <x:c r="M27" s="117"/>
      <x:c r="N27" s="117"/>
      <x:c r="O27" s="117"/>
      <x:c r="P27" s="117"/>
      <x:c r="Q27" s="117"/>
      <x:c r="R27" s="117"/>
      <x:c r="S27" s="117"/>
      <x:c r="T27" s="117"/>
      <x:c r="U27" s="117"/>
      <x:c r="V27" s="117"/>
      <x:c r="W27" s="117"/>
      <x:c r="X27" s="117"/>
      <x:c r="Y27" s="117"/>
      <x:c r="Z27" s="117"/>
    </x:row>
    <x:row r="28">
      <x:c r="A28" s="117"/>
      <x:c r="B28" s="117"/>
      <x:c r="C28" s="117"/>
      <x:c r="D28" s="117"/>
      <x:c r="E28" s="117"/>
      <x:c r="F28" s="117"/>
      <x:c r="G28" s="117"/>
      <x:c r="H28" s="117"/>
      <x:c r="I28" s="117"/>
      <x:c r="J28" s="117"/>
      <x:c r="K28" s="117"/>
      <x:c r="L28" s="117"/>
      <x:c r="M28" s="117"/>
      <x:c r="N28" s="117"/>
      <x:c r="O28" s="117"/>
      <x:c r="P28" s="117"/>
      <x:c r="Q28" s="117"/>
      <x:c r="R28" s="117"/>
      <x:c r="S28" s="117"/>
      <x:c r="T28" s="117"/>
      <x:c r="U28" s="117"/>
      <x:c r="V28" s="117"/>
      <x:c r="W28" s="117"/>
      <x:c r="X28" s="117"/>
      <x:c r="Y28" s="117"/>
      <x:c r="Z28" s="117"/>
    </x:row>
    <x:row r="29">
      <x:c r="A29" s="117"/>
      <x:c r="B29" s="117"/>
      <x:c r="C29" s="117"/>
      <x:c r="D29" s="117"/>
      <x:c r="E29" s="117"/>
      <x:c r="F29" s="117"/>
      <x:c r="G29" s="117"/>
      <x:c r="H29" s="117"/>
      <x:c r="I29" s="117"/>
      <x:c r="J29" s="117"/>
      <x:c r="K29" s="117"/>
      <x:c r="L29" s="117"/>
      <x:c r="M29" s="117"/>
      <x:c r="N29" s="117"/>
      <x:c r="O29" s="117"/>
      <x:c r="P29" s="117"/>
      <x:c r="Q29" s="117"/>
      <x:c r="R29" s="117"/>
      <x:c r="S29" s="117"/>
      <x:c r="T29" s="117"/>
      <x:c r="U29" s="117"/>
      <x:c r="V29" s="117"/>
      <x:c r="W29" s="117"/>
      <x:c r="X29" s="117"/>
      <x:c r="Y29" s="117"/>
      <x:c r="Z29" s="117"/>
    </x:row>
    <x:row r="30">
      <x:c r="A30" s="117"/>
      <x:c r="B30" s="117"/>
      <x:c r="C30" s="117"/>
      <x:c r="D30" s="117"/>
      <x:c r="E30" s="117"/>
      <x:c r="F30" s="117"/>
      <x:c r="G30" s="117"/>
      <x:c r="H30" s="117"/>
      <x:c r="I30" s="117"/>
      <x:c r="J30" s="117"/>
      <x:c r="K30" s="117"/>
      <x:c r="L30" s="117"/>
      <x:c r="M30" s="117"/>
      <x:c r="N30" s="117"/>
      <x:c r="O30" s="117"/>
      <x:c r="P30" s="117"/>
      <x:c r="Q30" s="117"/>
      <x:c r="R30" s="117"/>
      <x:c r="S30" s="117"/>
      <x:c r="T30" s="117"/>
      <x:c r="U30" s="117"/>
      <x:c r="V30" s="117"/>
      <x:c r="W30" s="117"/>
      <x:c r="X30" s="117"/>
      <x:c r="Y30" s="117"/>
      <x:c r="Z30" s="117"/>
    </x:row>
    <x:row r="31">
      <x:c r="A31" s="117"/>
      <x:c r="B31" s="117"/>
      <x:c r="C31" s="117"/>
      <x:c r="D31" s="117"/>
      <x:c r="E31" s="117"/>
      <x:c r="F31" s="117"/>
      <x:c r="G31" s="117"/>
      <x:c r="H31" s="117"/>
      <x:c r="I31" s="117"/>
      <x:c r="J31" s="117"/>
      <x:c r="K31" s="117"/>
      <x:c r="L31" s="117"/>
      <x:c r="M31" s="117"/>
      <x:c r="N31" s="117"/>
      <x:c r="O31" s="117"/>
      <x:c r="P31" s="117"/>
      <x:c r="Q31" s="117"/>
      <x:c r="R31" s="117"/>
      <x:c r="S31" s="117"/>
      <x:c r="T31" s="117"/>
      <x:c r="U31" s="117"/>
      <x:c r="V31" s="117"/>
      <x:c r="W31" s="117"/>
      <x:c r="X31" s="117"/>
      <x:c r="Y31" s="117"/>
      <x:c r="Z31" s="117"/>
    </x:row>
    <x:row r="32">
      <x:c r="A32" s="117"/>
      <x:c r="B32" s="117"/>
      <x:c r="C32" s="117"/>
      <x:c r="D32" s="117"/>
      <x:c r="E32" s="117"/>
      <x:c r="F32" s="117"/>
      <x:c r="G32" s="117"/>
      <x:c r="H32" s="117"/>
      <x:c r="I32" s="117"/>
      <x:c r="J32" s="117"/>
      <x:c r="K32" s="117"/>
      <x:c r="L32" s="117"/>
      <x:c r="M32" s="117"/>
      <x:c r="N32" s="117"/>
      <x:c r="O32" s="117"/>
      <x:c r="P32" s="117"/>
      <x:c r="Q32" s="117"/>
      <x:c r="R32" s="117"/>
      <x:c r="S32" s="117"/>
      <x:c r="T32" s="117"/>
      <x:c r="U32" s="117"/>
      <x:c r="V32" s="117"/>
      <x:c r="W32" s="117"/>
      <x:c r="X32" s="117"/>
      <x:c r="Y32" s="117"/>
      <x:c r="Z32" s="117"/>
    </x:row>
    <x:row r="33">
      <x:c r="A33" s="117"/>
      <x:c r="B33" s="117"/>
      <x:c r="C33" s="117"/>
      <x:c r="D33" s="117"/>
      <x:c r="E33" s="117"/>
      <x:c r="F33" s="117"/>
      <x:c r="G33" s="117"/>
      <x:c r="H33" s="117"/>
      <x:c r="I33" s="117"/>
      <x:c r="J33" s="117"/>
      <x:c r="K33" s="117"/>
      <x:c r="L33" s="117"/>
      <x:c r="M33" s="117"/>
      <x:c r="N33" s="117"/>
      <x:c r="O33" s="117"/>
      <x:c r="P33" s="117"/>
      <x:c r="Q33" s="117"/>
      <x:c r="R33" s="117"/>
      <x:c r="S33" s="117"/>
      <x:c r="T33" s="117"/>
      <x:c r="U33" s="117"/>
      <x:c r="V33" s="117"/>
      <x:c r="W33" s="117"/>
      <x:c r="X33" s="117"/>
      <x:c r="Y33" s="117"/>
      <x:c r="Z33" s="117"/>
    </x:row>
    <x:row r="34">
      <x:c r="A34" s="117"/>
      <x:c r="B34" s="117"/>
      <x:c r="C34" s="117"/>
      <x:c r="D34" s="117"/>
      <x:c r="E34" s="117"/>
      <x:c r="F34" s="117"/>
      <x:c r="G34" s="117"/>
      <x:c r="H34" s="117"/>
      <x:c r="I34" s="117"/>
      <x:c r="J34" s="117"/>
      <x:c r="K34" s="117"/>
      <x:c r="L34" s="117"/>
      <x:c r="M34" s="117"/>
      <x:c r="N34" s="117"/>
      <x:c r="O34" s="117"/>
      <x:c r="P34" s="117"/>
      <x:c r="Q34" s="117"/>
      <x:c r="R34" s="117"/>
      <x:c r="S34" s="117"/>
      <x:c r="T34" s="117"/>
      <x:c r="U34" s="117"/>
      <x:c r="V34" s="117"/>
      <x:c r="W34" s="117"/>
      <x:c r="X34" s="117"/>
      <x:c r="Y34" s="117"/>
      <x:c r="Z34" s="117"/>
    </x:row>
    <x:row r="35">
      <x:c r="A35" s="117"/>
      <x:c r="B35" s="117"/>
      <x:c r="C35" s="117"/>
      <x:c r="D35" s="117"/>
      <x:c r="E35" s="117"/>
      <x:c r="F35" s="117"/>
      <x:c r="G35" s="117"/>
      <x:c r="H35" s="117"/>
      <x:c r="I35" s="117"/>
      <x:c r="J35" s="117"/>
      <x:c r="K35" s="117"/>
      <x:c r="L35" s="117"/>
      <x:c r="M35" s="117"/>
      <x:c r="N35" s="117"/>
      <x:c r="O35" s="117"/>
      <x:c r="P35" s="117"/>
      <x:c r="Q35" s="117"/>
      <x:c r="R35" s="117"/>
      <x:c r="S35" s="117"/>
      <x:c r="T35" s="117"/>
      <x:c r="U35" s="117"/>
      <x:c r="V35" s="117"/>
      <x:c r="W35" s="117"/>
      <x:c r="X35" s="117"/>
      <x:c r="Y35" s="117"/>
      <x:c r="Z35" s="117"/>
    </x:row>
    <x:row r="36">
      <x:c r="A36" s="117"/>
      <x:c r="B36" s="117"/>
      <x:c r="C36" s="117"/>
      <x:c r="D36" s="117"/>
      <x:c r="E36" s="117"/>
      <x:c r="F36" s="117"/>
      <x:c r="G36" s="117"/>
      <x:c r="H36" s="117"/>
      <x:c r="I36" s="117"/>
      <x:c r="J36" s="117"/>
      <x:c r="K36" s="117"/>
      <x:c r="L36" s="117"/>
      <x:c r="M36" s="117"/>
      <x:c r="N36" s="117"/>
      <x:c r="O36" s="117"/>
      <x:c r="P36" s="117"/>
      <x:c r="Q36" s="117"/>
      <x:c r="R36" s="117"/>
      <x:c r="S36" s="117"/>
      <x:c r="T36" s="117"/>
      <x:c r="U36" s="117"/>
      <x:c r="V36" s="117"/>
      <x:c r="W36" s="117"/>
      <x:c r="X36" s="117"/>
      <x:c r="Y36" s="117"/>
      <x:c r="Z36" s="117"/>
    </x:row>
    <x:row r="37">
      <x:c r="A37" s="117"/>
      <x:c r="B37" s="117"/>
      <x:c r="C37" s="117"/>
      <x:c r="D37" s="117"/>
      <x:c r="E37" s="117"/>
      <x:c r="F37" s="117"/>
      <x:c r="G37" s="117"/>
      <x:c r="H37" s="117"/>
      <x:c r="I37" s="117"/>
      <x:c r="J37" s="117"/>
      <x:c r="K37" s="117"/>
      <x:c r="L37" s="117"/>
      <x:c r="M37" s="117"/>
      <x:c r="N37" s="117"/>
      <x:c r="O37" s="117"/>
      <x:c r="P37" s="117"/>
      <x:c r="Q37" s="117"/>
      <x:c r="R37" s="117"/>
      <x:c r="S37" s="117"/>
      <x:c r="T37" s="117"/>
      <x:c r="U37" s="117"/>
      <x:c r="V37" s="117"/>
      <x:c r="W37" s="117"/>
      <x:c r="X37" s="117"/>
      <x:c r="Y37" s="117"/>
      <x:c r="Z37" s="117"/>
    </x:row>
    <x:row r="38">
      <x:c r="A38" s="117"/>
      <x:c r="B38" s="117"/>
      <x:c r="C38" s="117"/>
      <x:c r="D38" s="117"/>
      <x:c r="E38" s="117"/>
      <x:c r="F38" s="117"/>
      <x:c r="G38" s="117"/>
      <x:c r="H38" s="117"/>
      <x:c r="I38" s="117"/>
      <x:c r="J38" s="117"/>
      <x:c r="K38" s="117"/>
      <x:c r="L38" s="117"/>
      <x:c r="M38" s="117"/>
      <x:c r="N38" s="117"/>
      <x:c r="O38" s="117"/>
      <x:c r="P38" s="117"/>
      <x:c r="Q38" s="117"/>
      <x:c r="R38" s="117"/>
      <x:c r="S38" s="117"/>
      <x:c r="T38" s="117"/>
      <x:c r="U38" s="117"/>
      <x:c r="V38" s="117"/>
      <x:c r="W38" s="117"/>
      <x:c r="X38" s="117"/>
      <x:c r="Y38" s="117"/>
      <x:c r="Z38" s="117"/>
    </x:row>
    <x:row r="39">
      <x:c r="A39" s="117"/>
      <x:c r="B39" s="117"/>
      <x:c r="C39" s="117"/>
      <x:c r="D39" s="117"/>
      <x:c r="E39" s="117"/>
      <x:c r="F39" s="117"/>
      <x:c r="G39" s="117"/>
      <x:c r="H39" s="117"/>
      <x:c r="I39" s="117"/>
      <x:c r="J39" s="117"/>
      <x:c r="K39" s="117"/>
      <x:c r="L39" s="117"/>
      <x:c r="M39" s="117"/>
      <x:c r="N39" s="117"/>
      <x:c r="O39" s="117"/>
      <x:c r="P39" s="117"/>
      <x:c r="Q39" s="117"/>
      <x:c r="R39" s="117"/>
      <x:c r="S39" s="117"/>
      <x:c r="T39" s="117"/>
      <x:c r="U39" s="117"/>
      <x:c r="V39" s="117"/>
      <x:c r="W39" s="117"/>
      <x:c r="X39" s="117"/>
      <x:c r="Y39" s="117"/>
      <x:c r="Z39" s="117"/>
    </x:row>
    <x:row r="40">
      <x:c r="A40" s="117"/>
      <x:c r="B40" s="117"/>
      <x:c r="C40" s="117"/>
      <x:c r="D40" s="117"/>
      <x:c r="E40" s="117"/>
      <x:c r="F40" s="117"/>
      <x:c r="G40" s="117"/>
      <x:c r="H40" s="117"/>
      <x:c r="I40" s="117"/>
      <x:c r="J40" s="117"/>
      <x:c r="K40" s="117"/>
      <x:c r="L40" s="117"/>
      <x:c r="M40" s="117"/>
      <x:c r="N40" s="117"/>
      <x:c r="O40" s="117"/>
      <x:c r="P40" s="117"/>
      <x:c r="Q40" s="117"/>
      <x:c r="R40" s="117"/>
      <x:c r="S40" s="117"/>
      <x:c r="T40" s="117"/>
      <x:c r="U40" s="117"/>
      <x:c r="V40" s="117"/>
      <x:c r="W40" s="117"/>
      <x:c r="X40" s="117"/>
      <x:c r="Y40" s="117"/>
      <x:c r="Z40" s="117"/>
    </x:row>
    <x:row r="41">
      <x:c r="A41" s="117"/>
      <x:c r="B41" s="117"/>
      <x:c r="C41" s="117"/>
      <x:c r="D41" s="117"/>
      <x:c r="E41" s="117"/>
      <x:c r="F41" s="117"/>
      <x:c r="G41" s="117"/>
      <x:c r="H41" s="117"/>
      <x:c r="I41" s="117"/>
      <x:c r="J41" s="117"/>
      <x:c r="K41" s="117"/>
      <x:c r="L41" s="117"/>
      <x:c r="M41" s="117"/>
      <x:c r="N41" s="117"/>
      <x:c r="O41" s="117"/>
      <x:c r="P41" s="117"/>
      <x:c r="Q41" s="117"/>
      <x:c r="R41" s="117"/>
      <x:c r="S41" s="117"/>
      <x:c r="T41" s="117"/>
      <x:c r="U41" s="117"/>
      <x:c r="V41" s="117"/>
      <x:c r="W41" s="117"/>
      <x:c r="X41" s="117"/>
      <x:c r="Y41" s="117"/>
      <x:c r="Z41" s="117"/>
    </x:row>
    <x:row r="42">
      <x:c r="A42" s="117"/>
      <x:c r="B42" s="117"/>
      <x:c r="C42" s="117"/>
      <x:c r="D42" s="117"/>
      <x:c r="E42" s="117"/>
      <x:c r="F42" s="117"/>
      <x:c r="G42" s="117"/>
      <x:c r="H42" s="117"/>
      <x:c r="I42" s="117"/>
      <x:c r="J42" s="117"/>
      <x:c r="K42" s="117"/>
      <x:c r="L42" s="117"/>
      <x:c r="M42" s="117"/>
      <x:c r="N42" s="117"/>
      <x:c r="O42" s="117"/>
      <x:c r="P42" s="117"/>
      <x:c r="Q42" s="117"/>
      <x:c r="R42" s="117"/>
      <x:c r="S42" s="117"/>
      <x:c r="T42" s="117"/>
      <x:c r="U42" s="117"/>
      <x:c r="V42" s="117"/>
      <x:c r="W42" s="117"/>
      <x:c r="X42" s="117"/>
      <x:c r="Y42" s="117"/>
      <x:c r="Z42" s="117"/>
    </x:row>
    <x:row r="43">
      <x:c r="A43" s="117"/>
      <x:c r="B43" s="117"/>
      <x:c r="C43" s="117"/>
      <x:c r="D43" s="117"/>
      <x:c r="E43" s="117"/>
      <x:c r="F43" s="117"/>
      <x:c r="G43" s="117"/>
      <x:c r="H43" s="117"/>
      <x:c r="I43" s="117"/>
      <x:c r="J43" s="117"/>
      <x:c r="K43" s="117"/>
      <x:c r="L43" s="117"/>
      <x:c r="M43" s="117"/>
      <x:c r="N43" s="117"/>
      <x:c r="O43" s="117"/>
      <x:c r="P43" s="117"/>
      <x:c r="Q43" s="117"/>
      <x:c r="R43" s="117"/>
      <x:c r="S43" s="117"/>
      <x:c r="T43" s="117"/>
      <x:c r="U43" s="117"/>
      <x:c r="V43" s="117"/>
      <x:c r="W43" s="117"/>
      <x:c r="X43" s="117"/>
      <x:c r="Y43" s="117"/>
      <x:c r="Z43" s="117"/>
    </x:row>
    <x:row r="44">
      <x:c r="A44" s="117"/>
      <x:c r="B44" s="117"/>
      <x:c r="C44" s="117"/>
      <x:c r="D44" s="117"/>
      <x:c r="E44" s="117"/>
      <x:c r="F44" s="117"/>
      <x:c r="G44" s="117"/>
      <x:c r="H44" s="117"/>
      <x:c r="I44" s="117"/>
      <x:c r="J44" s="117"/>
      <x:c r="K44" s="117"/>
      <x:c r="L44" s="117"/>
      <x:c r="M44" s="117"/>
      <x:c r="N44" s="117"/>
      <x:c r="O44" s="117"/>
      <x:c r="P44" s="117"/>
      <x:c r="Q44" s="117"/>
      <x:c r="R44" s="117"/>
      <x:c r="S44" s="117"/>
      <x:c r="T44" s="117"/>
      <x:c r="U44" s="117"/>
      <x:c r="V44" s="117"/>
      <x:c r="W44" s="117"/>
      <x:c r="X44" s="117"/>
      <x:c r="Y44" s="117"/>
      <x:c r="Z44" s="117"/>
    </x:row>
    <x:row r="45">
      <x:c r="A45" s="117"/>
      <x:c r="B45" s="117"/>
      <x:c r="C45" s="117"/>
      <x:c r="D45" s="117"/>
      <x:c r="E45" s="117"/>
      <x:c r="F45" s="117"/>
      <x:c r="G45" s="117"/>
      <x:c r="H45" s="117"/>
      <x:c r="I45" s="117"/>
      <x:c r="J45" s="117"/>
      <x:c r="K45" s="117"/>
      <x:c r="L45" s="117"/>
      <x:c r="M45" s="117"/>
      <x:c r="N45" s="117"/>
      <x:c r="O45" s="117"/>
      <x:c r="P45" s="117"/>
      <x:c r="Q45" s="117"/>
      <x:c r="R45" s="117"/>
      <x:c r="S45" s="117"/>
      <x:c r="T45" s="117"/>
      <x:c r="U45" s="117"/>
      <x:c r="V45" s="117"/>
      <x:c r="W45" s="117"/>
      <x:c r="X45" s="117"/>
      <x:c r="Y45" s="117"/>
      <x:c r="Z45" s="117"/>
    </x:row>
    <x:row r="46">
      <x:c r="A46" s="117"/>
      <x:c r="B46" s="117"/>
      <x:c r="C46" s="117"/>
      <x:c r="D46" s="117"/>
      <x:c r="E46" s="117"/>
      <x:c r="F46" s="117"/>
      <x:c r="G46" s="117"/>
      <x:c r="H46" s="117"/>
      <x:c r="I46" s="117"/>
      <x:c r="J46" s="117"/>
      <x:c r="K46" s="117"/>
      <x:c r="L46" s="117"/>
      <x:c r="M46" s="117"/>
      <x:c r="N46" s="117"/>
      <x:c r="O46" s="117"/>
      <x:c r="P46" s="117"/>
      <x:c r="Q46" s="117"/>
      <x:c r="R46" s="117"/>
      <x:c r="S46" s="117"/>
      <x:c r="T46" s="117"/>
      <x:c r="U46" s="117"/>
      <x:c r="V46" s="117"/>
      <x:c r="W46" s="117"/>
      <x:c r="X46" s="117"/>
      <x:c r="Y46" s="117"/>
      <x:c r="Z46" s="117"/>
    </x:row>
    <x:row r="47">
      <x:c r="A47" s="117"/>
      <x:c r="B47" s="117"/>
      <x:c r="C47" s="117"/>
      <x:c r="D47" s="117"/>
      <x:c r="E47" s="117"/>
      <x:c r="F47" s="117"/>
      <x:c r="G47" s="117"/>
      <x:c r="H47" s="117"/>
      <x:c r="I47" s="117"/>
      <x:c r="J47" s="117"/>
      <x:c r="K47" s="117"/>
      <x:c r="L47" s="117"/>
      <x:c r="M47" s="117"/>
      <x:c r="N47" s="117"/>
      <x:c r="O47" s="117"/>
      <x:c r="P47" s="117"/>
      <x:c r="Q47" s="117"/>
      <x:c r="R47" s="117"/>
      <x:c r="S47" s="117"/>
      <x:c r="T47" s="117"/>
      <x:c r="U47" s="117"/>
      <x:c r="V47" s="117"/>
      <x:c r="W47" s="117"/>
      <x:c r="X47" s="117"/>
      <x:c r="Y47" s="117"/>
      <x:c r="Z47" s="117"/>
    </x:row>
    <x:row r="48">
      <x:c r="A48" s="117"/>
      <x:c r="B48" s="117"/>
      <x:c r="C48" s="117"/>
      <x:c r="D48" s="117"/>
      <x:c r="E48" s="117"/>
      <x:c r="F48" s="117"/>
      <x:c r="G48" s="117"/>
      <x:c r="H48" s="117"/>
      <x:c r="I48" s="117"/>
      <x:c r="J48" s="117"/>
      <x:c r="K48" s="117"/>
      <x:c r="L48" s="117"/>
      <x:c r="M48" s="117"/>
      <x:c r="N48" s="117"/>
      <x:c r="O48" s="117"/>
      <x:c r="P48" s="117"/>
      <x:c r="Q48" s="117"/>
      <x:c r="R48" s="117"/>
      <x:c r="S48" s="117"/>
      <x:c r="T48" s="117"/>
      <x:c r="U48" s="117"/>
      <x:c r="V48" s="117"/>
      <x:c r="W48" s="117"/>
      <x:c r="X48" s="117"/>
      <x:c r="Y48" s="117"/>
      <x:c r="Z48" s="117"/>
    </x:row>
    <x:row r="49">
      <x:c r="A49" s="117"/>
      <x:c r="B49" s="117"/>
      <x:c r="C49" s="117"/>
      <x:c r="D49" s="117"/>
      <x:c r="E49" s="117"/>
      <x:c r="F49" s="117"/>
      <x:c r="G49" s="117"/>
      <x:c r="H49" s="117"/>
      <x:c r="I49" s="117"/>
      <x:c r="J49" s="117"/>
      <x:c r="K49" s="117"/>
      <x:c r="L49" s="117"/>
      <x:c r="M49" s="117"/>
      <x:c r="N49" s="117"/>
      <x:c r="O49" s="117"/>
      <x:c r="P49" s="117"/>
      <x:c r="Q49" s="117"/>
      <x:c r="R49" s="117"/>
      <x:c r="S49" s="117"/>
      <x:c r="T49" s="117"/>
      <x:c r="U49" s="117"/>
      <x:c r="V49" s="117"/>
      <x:c r="W49" s="117"/>
      <x:c r="X49" s="117"/>
      <x:c r="Y49" s="117"/>
      <x:c r="Z49" s="117"/>
    </x:row>
    <x:row r="50">
      <x:c r="A50" s="117"/>
      <x:c r="B50" s="117"/>
      <x:c r="C50" s="117"/>
      <x:c r="D50" s="117"/>
      <x:c r="E50" s="117"/>
      <x:c r="F50" s="117"/>
      <x:c r="G50" s="117"/>
      <x:c r="H50" s="117"/>
      <x:c r="I50" s="117"/>
      <x:c r="J50" s="117"/>
      <x:c r="K50" s="117"/>
      <x:c r="L50" s="117"/>
      <x:c r="M50" s="117"/>
      <x:c r="N50" s="117"/>
      <x:c r="O50" s="117"/>
      <x:c r="P50" s="117"/>
      <x:c r="Q50" s="117"/>
      <x:c r="R50" s="117"/>
      <x:c r="S50" s="117"/>
      <x:c r="T50" s="117"/>
      <x:c r="U50" s="117"/>
      <x:c r="V50" s="117"/>
      <x:c r="W50" s="117"/>
      <x:c r="X50" s="117"/>
      <x:c r="Y50" s="117"/>
      <x:c r="Z50" s="117"/>
    </x:row>
    <x:row r="51">
      <x:c r="A51" s="117"/>
      <x:c r="B51" s="117"/>
      <x:c r="C51" s="117"/>
      <x:c r="D51" s="117"/>
      <x:c r="E51" s="117"/>
      <x:c r="F51" s="117"/>
      <x:c r="G51" s="117"/>
      <x:c r="H51" s="117"/>
      <x:c r="I51" s="117"/>
      <x:c r="J51" s="117"/>
      <x:c r="K51" s="117"/>
      <x:c r="L51" s="117"/>
      <x:c r="M51" s="117"/>
      <x:c r="N51" s="117"/>
      <x:c r="O51" s="117"/>
      <x:c r="P51" s="117"/>
      <x:c r="Q51" s="117"/>
      <x:c r="R51" s="117"/>
      <x:c r="S51" s="117"/>
      <x:c r="T51" s="117"/>
      <x:c r="U51" s="117"/>
      <x:c r="V51" s="117"/>
      <x:c r="W51" s="117"/>
      <x:c r="X51" s="117"/>
      <x:c r="Y51" s="117"/>
      <x:c r="Z51" s="117"/>
    </x:row>
    <x:row r="52">
      <x:c r="A52" s="117"/>
      <x:c r="B52" s="117"/>
      <x:c r="C52" s="117"/>
      <x:c r="D52" s="117"/>
      <x:c r="E52" s="117"/>
      <x:c r="F52" s="117"/>
      <x:c r="G52" s="117"/>
      <x:c r="H52" s="117"/>
      <x:c r="I52" s="117"/>
      <x:c r="J52" s="117"/>
      <x:c r="K52" s="117"/>
      <x:c r="L52" s="117"/>
      <x:c r="M52" s="117"/>
      <x:c r="N52" s="117"/>
      <x:c r="O52" s="117"/>
      <x:c r="P52" s="117"/>
      <x:c r="Q52" s="117"/>
      <x:c r="R52" s="117"/>
      <x:c r="S52" s="117"/>
      <x:c r="T52" s="117"/>
      <x:c r="U52" s="117"/>
      <x:c r="V52" s="117"/>
      <x:c r="W52" s="117"/>
      <x:c r="X52" s="117"/>
      <x:c r="Y52" s="117"/>
      <x:c r="Z52" s="117"/>
    </x:row>
    <x:row r="53">
      <x:c r="A53" s="117"/>
      <x:c r="B53" s="117"/>
      <x:c r="C53" s="117"/>
      <x:c r="D53" s="117"/>
      <x:c r="E53" s="117"/>
      <x:c r="F53" s="117"/>
      <x:c r="G53" s="117"/>
      <x:c r="H53" s="117"/>
      <x:c r="I53" s="117"/>
      <x:c r="J53" s="117"/>
      <x:c r="K53" s="117"/>
      <x:c r="L53" s="117"/>
      <x:c r="M53" s="117"/>
      <x:c r="N53" s="117"/>
      <x:c r="O53" s="117"/>
      <x:c r="P53" s="117"/>
      <x:c r="Q53" s="117"/>
      <x:c r="R53" s="117"/>
      <x:c r="S53" s="117"/>
      <x:c r="T53" s="117"/>
      <x:c r="U53" s="117"/>
      <x:c r="V53" s="117"/>
      <x:c r="W53" s="117"/>
      <x:c r="X53" s="117"/>
      <x:c r="Y53" s="117"/>
      <x:c r="Z53" s="117"/>
    </x:row>
    <x:row r="54">
      <x:c r="A54" s="117"/>
      <x:c r="B54" s="117"/>
      <x:c r="C54" s="117"/>
      <x:c r="D54" s="117"/>
      <x:c r="E54" s="117"/>
      <x:c r="F54" s="117"/>
      <x:c r="G54" s="117"/>
      <x:c r="H54" s="117"/>
      <x:c r="I54" s="117"/>
      <x:c r="J54" s="117"/>
      <x:c r="K54" s="117"/>
      <x:c r="L54" s="117"/>
      <x:c r="M54" s="117"/>
      <x:c r="N54" s="117"/>
      <x:c r="O54" s="117"/>
      <x:c r="P54" s="117"/>
      <x:c r="Q54" s="117"/>
      <x:c r="R54" s="117"/>
      <x:c r="S54" s="117"/>
      <x:c r="T54" s="117"/>
      <x:c r="U54" s="117"/>
      <x:c r="V54" s="117"/>
      <x:c r="W54" s="117"/>
      <x:c r="X54" s="117"/>
      <x:c r="Y54" s="117"/>
      <x:c r="Z54" s="117"/>
    </x:row>
    <x:row r="55">
      <x:c r="A55" s="117"/>
      <x:c r="B55" s="117"/>
      <x:c r="C55" s="117"/>
      <x:c r="D55" s="117"/>
      <x:c r="E55" s="117"/>
      <x:c r="F55" s="117"/>
      <x:c r="G55" s="117"/>
      <x:c r="H55" s="117"/>
      <x:c r="I55" s="117"/>
      <x:c r="J55" s="117"/>
      <x:c r="K55" s="117"/>
      <x:c r="L55" s="117"/>
      <x:c r="M55" s="117"/>
      <x:c r="N55" s="117"/>
      <x:c r="O55" s="117"/>
      <x:c r="P55" s="117"/>
      <x:c r="Q55" s="117"/>
      <x:c r="R55" s="117"/>
      <x:c r="S55" s="117"/>
      <x:c r="T55" s="117"/>
      <x:c r="U55" s="117"/>
      <x:c r="V55" s="117"/>
      <x:c r="W55" s="117"/>
      <x:c r="X55" s="117"/>
      <x:c r="Y55" s="117"/>
      <x:c r="Z55" s="117"/>
    </x:row>
    <x:row r="56">
      <x:c r="A56" s="117"/>
      <x:c r="B56" s="117"/>
      <x:c r="C56" s="117"/>
      <x:c r="D56" s="117"/>
      <x:c r="E56" s="117"/>
      <x:c r="F56" s="117"/>
      <x:c r="G56" s="117"/>
      <x:c r="H56" s="117"/>
      <x:c r="I56" s="117"/>
      <x:c r="J56" s="117"/>
      <x:c r="K56" s="117"/>
      <x:c r="L56" s="117"/>
      <x:c r="M56" s="117"/>
      <x:c r="N56" s="117"/>
      <x:c r="O56" s="117"/>
      <x:c r="P56" s="117"/>
      <x:c r="Q56" s="117"/>
      <x:c r="R56" s="117"/>
      <x:c r="S56" s="117"/>
      <x:c r="T56" s="117"/>
      <x:c r="U56" s="117"/>
      <x:c r="V56" s="117"/>
      <x:c r="W56" s="117"/>
      <x:c r="X56" s="117"/>
      <x:c r="Y56" s="117"/>
      <x:c r="Z56" s="117"/>
    </x:row>
    <x:row r="57">
      <x:c r="A57" s="117"/>
      <x:c r="B57" s="117"/>
      <x:c r="C57" s="117"/>
      <x:c r="D57" s="117"/>
      <x:c r="E57" s="117"/>
      <x:c r="F57" s="117"/>
      <x:c r="G57" s="117"/>
      <x:c r="H57" s="117"/>
      <x:c r="I57" s="117"/>
      <x:c r="J57" s="117"/>
      <x:c r="K57" s="117"/>
      <x:c r="L57" s="117"/>
      <x:c r="M57" s="117"/>
      <x:c r="N57" s="117"/>
      <x:c r="O57" s="117"/>
      <x:c r="P57" s="117"/>
      <x:c r="Q57" s="117"/>
      <x:c r="R57" s="117"/>
      <x:c r="S57" s="117"/>
      <x:c r="T57" s="117"/>
      <x:c r="U57" s="117"/>
      <x:c r="V57" s="117"/>
      <x:c r="W57" s="117"/>
      <x:c r="X57" s="117"/>
      <x:c r="Y57" s="117"/>
      <x:c r="Z57" s="117"/>
    </x:row>
    <x:row r="58">
      <x:c r="A58" s="117"/>
      <x:c r="B58" s="117"/>
      <x:c r="C58" s="117"/>
      <x:c r="D58" s="117"/>
      <x:c r="E58" s="117"/>
      <x:c r="F58" s="117"/>
      <x:c r="G58" s="117"/>
      <x:c r="H58" s="117"/>
      <x:c r="I58" s="117"/>
      <x:c r="J58" s="117"/>
      <x:c r="K58" s="117"/>
      <x:c r="L58" s="117"/>
      <x:c r="M58" s="117"/>
      <x:c r="N58" s="117"/>
      <x:c r="O58" s="117"/>
      <x:c r="P58" s="117"/>
      <x:c r="Q58" s="117"/>
      <x:c r="R58" s="117"/>
      <x:c r="S58" s="117"/>
      <x:c r="T58" s="117"/>
      <x:c r="U58" s="117"/>
      <x:c r="V58" s="117"/>
      <x:c r="W58" s="117"/>
      <x:c r="X58" s="117"/>
      <x:c r="Y58" s="117"/>
      <x:c r="Z58" s="117"/>
    </x:row>
    <x:row r="59">
      <x:c r="A59" s="117"/>
      <x:c r="B59" s="117"/>
      <x:c r="C59" s="117"/>
      <x:c r="D59" s="117"/>
      <x:c r="E59" s="117"/>
      <x:c r="F59" s="117"/>
      <x:c r="G59" s="117"/>
      <x:c r="H59" s="117"/>
      <x:c r="I59" s="117"/>
      <x:c r="J59" s="117"/>
      <x:c r="K59" s="117"/>
      <x:c r="L59" s="117"/>
      <x:c r="M59" s="117"/>
      <x:c r="N59" s="117"/>
      <x:c r="O59" s="117"/>
      <x:c r="P59" s="117"/>
      <x:c r="Q59" s="117"/>
      <x:c r="R59" s="117"/>
      <x:c r="S59" s="117"/>
      <x:c r="T59" s="117"/>
      <x:c r="U59" s="117"/>
      <x:c r="V59" s="117"/>
      <x:c r="W59" s="117"/>
      <x:c r="X59" s="117"/>
      <x:c r="Y59" s="117"/>
      <x:c r="Z59" s="117"/>
    </x:row>
    <x:row r="60">
      <x:c r="A60" s="117"/>
      <x:c r="B60" s="117"/>
      <x:c r="C60" s="117"/>
      <x:c r="D60" s="117"/>
      <x:c r="E60" s="117"/>
      <x:c r="F60" s="117"/>
      <x:c r="G60" s="117"/>
      <x:c r="H60" s="117"/>
      <x:c r="I60" s="117"/>
      <x:c r="J60" s="117"/>
      <x:c r="K60" s="117"/>
      <x:c r="L60" s="117"/>
      <x:c r="M60" s="117"/>
      <x:c r="N60" s="117"/>
      <x:c r="O60" s="117"/>
      <x:c r="P60" s="117"/>
      <x:c r="Q60" s="117"/>
      <x:c r="R60" s="117"/>
      <x:c r="S60" s="117"/>
      <x:c r="T60" s="117"/>
      <x:c r="U60" s="117"/>
      <x:c r="V60" s="117"/>
      <x:c r="W60" s="117"/>
      <x:c r="X60" s="117"/>
      <x:c r="Y60" s="117"/>
      <x:c r="Z60" s="117"/>
    </x:row>
    <x:row r="61">
      <x:c r="A61" s="117"/>
      <x:c r="B61" s="117"/>
      <x:c r="C61" s="117"/>
      <x:c r="D61" s="117"/>
      <x:c r="E61" s="117"/>
      <x:c r="F61" s="117"/>
      <x:c r="G61" s="117"/>
      <x:c r="H61" s="117"/>
      <x:c r="I61" s="117"/>
      <x:c r="J61" s="117"/>
      <x:c r="K61" s="117"/>
      <x:c r="L61" s="117"/>
      <x:c r="M61" s="117"/>
      <x:c r="N61" s="117"/>
      <x:c r="O61" s="117"/>
      <x:c r="P61" s="117"/>
      <x:c r="Q61" s="117"/>
      <x:c r="R61" s="117"/>
      <x:c r="S61" s="117"/>
      <x:c r="T61" s="117"/>
      <x:c r="U61" s="117"/>
      <x:c r="V61" s="117"/>
      <x:c r="W61" s="117"/>
      <x:c r="X61" s="117"/>
      <x:c r="Y61" s="117"/>
      <x:c r="Z61" s="117"/>
    </x:row>
    <x:row r="62">
      <x:c r="A62" s="117"/>
      <x:c r="B62" s="117"/>
      <x:c r="C62" s="117"/>
      <x:c r="D62" s="117"/>
      <x:c r="E62" s="117"/>
      <x:c r="F62" s="117"/>
      <x:c r="G62" s="117"/>
      <x:c r="H62" s="117"/>
      <x:c r="I62" s="117"/>
      <x:c r="J62" s="117"/>
      <x:c r="K62" s="117"/>
      <x:c r="L62" s="117"/>
      <x:c r="M62" s="117"/>
      <x:c r="N62" s="117"/>
      <x:c r="O62" s="117"/>
      <x:c r="P62" s="117"/>
      <x:c r="Q62" s="117"/>
      <x:c r="R62" s="117"/>
      <x:c r="S62" s="117"/>
      <x:c r="T62" s="117"/>
      <x:c r="U62" s="117"/>
      <x:c r="V62" s="117"/>
      <x:c r="W62" s="117"/>
      <x:c r="X62" s="117"/>
      <x:c r="Y62" s="117"/>
      <x:c r="Z62" s="117"/>
    </x:row>
    <x:row r="63">
      <x:c r="A63" s="117"/>
      <x:c r="B63" s="117"/>
      <x:c r="C63" s="117"/>
      <x:c r="D63" s="117"/>
      <x:c r="E63" s="117"/>
      <x:c r="F63" s="117"/>
      <x:c r="G63" s="117"/>
      <x:c r="H63" s="117"/>
      <x:c r="I63" s="117"/>
      <x:c r="J63" s="117"/>
      <x:c r="K63" s="117"/>
      <x:c r="L63" s="117"/>
      <x:c r="M63" s="117"/>
      <x:c r="N63" s="117"/>
      <x:c r="O63" s="117"/>
      <x:c r="P63" s="117"/>
      <x:c r="Q63" s="117"/>
      <x:c r="R63" s="117"/>
      <x:c r="S63" s="117"/>
      <x:c r="T63" s="117"/>
      <x:c r="U63" s="117"/>
      <x:c r="V63" s="117"/>
      <x:c r="W63" s="117"/>
      <x:c r="X63" s="117"/>
      <x:c r="Y63" s="117"/>
      <x:c r="Z63" s="117"/>
    </x:row>
    <x:row r="64">
      <x:c r="A64" s="117"/>
      <x:c r="B64" s="117"/>
      <x:c r="C64" s="117"/>
      <x:c r="D64" s="117"/>
      <x:c r="E64" s="117"/>
      <x:c r="F64" s="117"/>
      <x:c r="G64" s="117"/>
      <x:c r="H64" s="117"/>
      <x:c r="I64" s="117"/>
      <x:c r="J64" s="117"/>
      <x:c r="K64" s="117"/>
      <x:c r="L64" s="117"/>
      <x:c r="M64" s="117"/>
      <x:c r="N64" s="117"/>
      <x:c r="O64" s="117"/>
      <x:c r="P64" s="117"/>
      <x:c r="Q64" s="117"/>
      <x:c r="R64" s="117"/>
      <x:c r="S64" s="117"/>
      <x:c r="T64" s="117"/>
      <x:c r="U64" s="117"/>
      <x:c r="V64" s="117"/>
      <x:c r="W64" s="117"/>
      <x:c r="X64" s="117"/>
      <x:c r="Y64" s="117"/>
      <x:c r="Z64" s="117"/>
    </x:row>
    <x:row r="65">
      <x:c r="A65" s="117"/>
      <x:c r="B65" s="117"/>
      <x:c r="C65" s="117"/>
      <x:c r="D65" s="117"/>
      <x:c r="E65" s="117"/>
      <x:c r="F65" s="117"/>
      <x:c r="G65" s="117"/>
      <x:c r="H65" s="117"/>
      <x:c r="I65" s="117"/>
      <x:c r="J65" s="117"/>
      <x:c r="K65" s="117"/>
      <x:c r="L65" s="117"/>
      <x:c r="M65" s="117"/>
      <x:c r="N65" s="117"/>
      <x:c r="O65" s="117"/>
      <x:c r="P65" s="117"/>
      <x:c r="Q65" s="117"/>
      <x:c r="R65" s="117"/>
      <x:c r="S65" s="117"/>
      <x:c r="T65" s="117"/>
      <x:c r="U65" s="117"/>
      <x:c r="V65" s="117"/>
      <x:c r="W65" s="117"/>
      <x:c r="X65" s="117"/>
      <x:c r="Y65" s="117"/>
      <x:c r="Z65" s="117"/>
    </x:row>
    <x:row r="66">
      <x:c r="A66" s="117"/>
      <x:c r="B66" s="117"/>
      <x:c r="C66" s="117"/>
      <x:c r="D66" s="117"/>
      <x:c r="E66" s="117"/>
      <x:c r="F66" s="117"/>
      <x:c r="G66" s="117"/>
      <x:c r="H66" s="117"/>
      <x:c r="I66" s="117"/>
      <x:c r="J66" s="117"/>
      <x:c r="K66" s="117"/>
      <x:c r="L66" s="117"/>
      <x:c r="M66" s="117"/>
      <x:c r="N66" s="117"/>
      <x:c r="O66" s="117"/>
      <x:c r="P66" s="117"/>
      <x:c r="Q66" s="117"/>
      <x:c r="R66" s="117"/>
      <x:c r="S66" s="117"/>
      <x:c r="T66" s="117"/>
      <x:c r="U66" s="117"/>
      <x:c r="V66" s="117"/>
      <x:c r="W66" s="117"/>
      <x:c r="X66" s="117"/>
      <x:c r="Y66" s="117"/>
      <x:c r="Z66" s="117"/>
    </x:row>
    <x:row r="67">
      <x:c r="A67" s="117"/>
      <x:c r="B67" s="117"/>
      <x:c r="C67" s="117"/>
      <x:c r="D67" s="117"/>
      <x:c r="E67" s="117"/>
      <x:c r="F67" s="117"/>
      <x:c r="G67" s="117"/>
      <x:c r="H67" s="117"/>
      <x:c r="I67" s="117"/>
      <x:c r="J67" s="117"/>
      <x:c r="K67" s="117"/>
      <x:c r="L67" s="117"/>
      <x:c r="M67" s="117"/>
      <x:c r="N67" s="117"/>
      <x:c r="O67" s="117"/>
      <x:c r="P67" s="117"/>
      <x:c r="Q67" s="117"/>
      <x:c r="R67" s="117"/>
      <x:c r="S67" s="117"/>
      <x:c r="T67" s="117"/>
      <x:c r="U67" s="117"/>
      <x:c r="V67" s="117"/>
      <x:c r="W67" s="117"/>
      <x:c r="X67" s="117"/>
      <x:c r="Y67" s="117"/>
      <x:c r="Z67" s="117"/>
    </x:row>
    <x:row r="68">
      <x:c r="A68" s="117"/>
      <x:c r="B68" s="117"/>
      <x:c r="C68" s="117"/>
      <x:c r="D68" s="117"/>
      <x:c r="E68" s="117"/>
      <x:c r="F68" s="117"/>
      <x:c r="G68" s="117"/>
      <x:c r="H68" s="117"/>
      <x:c r="I68" s="117"/>
      <x:c r="J68" s="117"/>
      <x:c r="K68" s="117"/>
      <x:c r="L68" s="117"/>
      <x:c r="M68" s="117"/>
      <x:c r="N68" s="117"/>
      <x:c r="O68" s="117"/>
      <x:c r="P68" s="117"/>
      <x:c r="Q68" s="117"/>
      <x:c r="R68" s="117"/>
      <x:c r="S68" s="117"/>
      <x:c r="T68" s="117"/>
      <x:c r="U68" s="117"/>
      <x:c r="V68" s="117"/>
      <x:c r="W68" s="117"/>
      <x:c r="X68" s="117"/>
      <x:c r="Y68" s="117"/>
      <x:c r="Z68" s="117"/>
    </x:row>
    <x:row r="69">
      <x:c r="A69" s="117"/>
      <x:c r="B69" s="117"/>
      <x:c r="C69" s="117"/>
      <x:c r="D69" s="117"/>
      <x:c r="E69" s="117"/>
      <x:c r="F69" s="117"/>
      <x:c r="G69" s="117"/>
      <x:c r="H69" s="117"/>
      <x:c r="I69" s="117"/>
      <x:c r="J69" s="117"/>
      <x:c r="K69" s="117"/>
      <x:c r="L69" s="117"/>
      <x:c r="M69" s="117"/>
      <x:c r="N69" s="117"/>
      <x:c r="O69" s="117"/>
      <x:c r="P69" s="117"/>
      <x:c r="Q69" s="117"/>
      <x:c r="R69" s="117"/>
      <x:c r="S69" s="117"/>
      <x:c r="T69" s="117"/>
      <x:c r="U69" s="117"/>
      <x:c r="V69" s="117"/>
      <x:c r="W69" s="117"/>
      <x:c r="X69" s="117"/>
      <x:c r="Y69" s="117"/>
      <x:c r="Z69" s="117"/>
    </x:row>
    <x:row r="70">
      <x:c r="A70" s="117"/>
      <x:c r="B70" s="117"/>
      <x:c r="C70" s="117"/>
      <x:c r="D70" s="117"/>
      <x:c r="E70" s="117"/>
      <x:c r="F70" s="117"/>
      <x:c r="G70" s="117"/>
      <x:c r="H70" s="117"/>
      <x:c r="I70" s="117"/>
      <x:c r="J70" s="117"/>
      <x:c r="K70" s="117"/>
      <x:c r="L70" s="117"/>
      <x:c r="M70" s="117"/>
      <x:c r="N70" s="117"/>
      <x:c r="O70" s="117"/>
      <x:c r="P70" s="117"/>
      <x:c r="Q70" s="117"/>
      <x:c r="R70" s="117"/>
      <x:c r="S70" s="117"/>
      <x:c r="T70" s="117"/>
      <x:c r="U70" s="117"/>
      <x:c r="V70" s="117"/>
      <x:c r="W70" s="117"/>
      <x:c r="X70" s="117"/>
      <x:c r="Y70" s="117"/>
      <x:c r="Z70" s="117"/>
    </x:row>
    <x:row r="71">
      <x:c r="A71" s="117"/>
      <x:c r="B71" s="117"/>
      <x:c r="C71" s="117"/>
      <x:c r="D71" s="117"/>
      <x:c r="E71" s="117"/>
      <x:c r="F71" s="117"/>
      <x:c r="G71" s="117"/>
      <x:c r="H71" s="117"/>
      <x:c r="I71" s="117"/>
      <x:c r="J71" s="117"/>
      <x:c r="K71" s="117"/>
      <x:c r="L71" s="117"/>
      <x:c r="M71" s="117"/>
      <x:c r="N71" s="117"/>
      <x:c r="O71" s="117"/>
      <x:c r="P71" s="117"/>
      <x:c r="Q71" s="117"/>
      <x:c r="R71" s="117"/>
      <x:c r="S71" s="117"/>
      <x:c r="T71" s="117"/>
      <x:c r="U71" s="117"/>
      <x:c r="V71" s="117"/>
      <x:c r="W71" s="117"/>
      <x:c r="X71" s="117"/>
      <x:c r="Y71" s="117"/>
      <x:c r="Z71" s="117"/>
    </x:row>
    <x:row r="72">
      <x:c r="A72" s="117"/>
      <x:c r="B72" s="117"/>
      <x:c r="C72" s="117"/>
      <x:c r="D72" s="117"/>
      <x:c r="E72" s="117"/>
      <x:c r="F72" s="117"/>
      <x:c r="G72" s="117"/>
      <x:c r="H72" s="117"/>
      <x:c r="I72" s="117"/>
      <x:c r="J72" s="117"/>
      <x:c r="K72" s="117"/>
      <x:c r="L72" s="117"/>
      <x:c r="M72" s="117"/>
      <x:c r="N72" s="117"/>
      <x:c r="O72" s="117"/>
      <x:c r="P72" s="117"/>
      <x:c r="Q72" s="117"/>
      <x:c r="R72" s="117"/>
      <x:c r="S72" s="117"/>
      <x:c r="T72" s="117"/>
      <x:c r="U72" s="117"/>
      <x:c r="V72" s="117"/>
      <x:c r="W72" s="117"/>
      <x:c r="X72" s="117"/>
      <x:c r="Y72" s="117"/>
      <x:c r="Z72" s="117"/>
    </x:row>
    <x:row r="73">
      <x:c r="A73" s="117"/>
      <x:c r="B73" s="117"/>
      <x:c r="C73" s="117"/>
      <x:c r="D73" s="117"/>
      <x:c r="E73" s="117"/>
      <x:c r="F73" s="117"/>
      <x:c r="G73" s="117"/>
      <x:c r="H73" s="117"/>
      <x:c r="I73" s="117"/>
      <x:c r="J73" s="117"/>
      <x:c r="K73" s="117"/>
      <x:c r="L73" s="117"/>
      <x:c r="M73" s="117"/>
      <x:c r="N73" s="117"/>
      <x:c r="O73" s="117"/>
      <x:c r="P73" s="117"/>
      <x:c r="Q73" s="117"/>
      <x:c r="R73" s="117"/>
      <x:c r="S73" s="117"/>
      <x:c r="T73" s="117"/>
      <x:c r="U73" s="117"/>
      <x:c r="V73" s="117"/>
      <x:c r="W73" s="117"/>
      <x:c r="X73" s="117"/>
      <x:c r="Y73" s="117"/>
      <x:c r="Z73" s="117"/>
    </x:row>
    <x:row r="74">
      <x:c r="A74" s="117"/>
      <x:c r="B74" s="117"/>
      <x:c r="C74" s="117"/>
      <x:c r="D74" s="117"/>
      <x:c r="E74" s="117"/>
      <x:c r="F74" s="117"/>
      <x:c r="G74" s="117"/>
      <x:c r="H74" s="117"/>
      <x:c r="I74" s="117"/>
      <x:c r="J74" s="117"/>
      <x:c r="K74" s="117"/>
      <x:c r="L74" s="117"/>
      <x:c r="M74" s="117"/>
      <x:c r="N74" s="117"/>
      <x:c r="O74" s="117"/>
      <x:c r="P74" s="117"/>
      <x:c r="Q74" s="117"/>
      <x:c r="R74" s="117"/>
      <x:c r="S74" s="117"/>
      <x:c r="T74" s="117"/>
      <x:c r="U74" s="117"/>
      <x:c r="V74" s="117"/>
      <x:c r="W74" s="117"/>
      <x:c r="X74" s="117"/>
      <x:c r="Y74" s="117"/>
      <x:c r="Z74" s="117"/>
    </x:row>
    <x:row r="75">
      <x:c r="A75" s="117"/>
      <x:c r="B75" s="117"/>
      <x:c r="C75" s="117"/>
      <x:c r="D75" s="117"/>
      <x:c r="E75" s="117"/>
      <x:c r="F75" s="117"/>
      <x:c r="G75" s="117"/>
      <x:c r="H75" s="117"/>
      <x:c r="I75" s="117"/>
      <x:c r="J75" s="117"/>
      <x:c r="K75" s="117"/>
      <x:c r="L75" s="117"/>
      <x:c r="M75" s="117"/>
      <x:c r="N75" s="117"/>
      <x:c r="O75" s="117"/>
      <x:c r="P75" s="117"/>
      <x:c r="Q75" s="117"/>
      <x:c r="R75" s="117"/>
      <x:c r="S75" s="117"/>
      <x:c r="T75" s="117"/>
      <x:c r="U75" s="117"/>
      <x:c r="V75" s="117"/>
      <x:c r="W75" s="117"/>
      <x:c r="X75" s="117"/>
      <x:c r="Y75" s="117"/>
      <x:c r="Z75" s="117"/>
    </x:row>
    <x:row r="76">
      <x:c r="A76" s="117"/>
      <x:c r="B76" s="117"/>
      <x:c r="C76" s="117"/>
      <x:c r="D76" s="117"/>
      <x:c r="E76" s="117"/>
      <x:c r="F76" s="117"/>
      <x:c r="G76" s="117"/>
      <x:c r="H76" s="117"/>
      <x:c r="I76" s="117"/>
      <x:c r="J76" s="117"/>
      <x:c r="K76" s="117"/>
      <x:c r="L76" s="117"/>
      <x:c r="M76" s="117"/>
      <x:c r="N76" s="117"/>
      <x:c r="O76" s="117"/>
      <x:c r="P76" s="117"/>
      <x:c r="Q76" s="117"/>
      <x:c r="R76" s="117"/>
      <x:c r="S76" s="117"/>
      <x:c r="T76" s="117"/>
      <x:c r="U76" s="117"/>
      <x:c r="V76" s="117"/>
      <x:c r="W76" s="117"/>
      <x:c r="X76" s="117"/>
      <x:c r="Y76" s="117"/>
      <x:c r="Z76" s="117"/>
    </x:row>
    <x:row r="77">
      <x:c r="A77" s="117"/>
      <x:c r="B77" s="117"/>
      <x:c r="C77" s="117"/>
      <x:c r="D77" s="117"/>
      <x:c r="E77" s="117"/>
      <x:c r="F77" s="117"/>
      <x:c r="G77" s="117"/>
      <x:c r="H77" s="117"/>
      <x:c r="I77" s="117"/>
      <x:c r="J77" s="117"/>
      <x:c r="K77" s="117"/>
      <x:c r="L77" s="117"/>
      <x:c r="M77" s="117"/>
      <x:c r="N77" s="117"/>
      <x:c r="O77" s="117"/>
      <x:c r="P77" s="117"/>
      <x:c r="Q77" s="117"/>
      <x:c r="R77" s="117"/>
      <x:c r="S77" s="117"/>
      <x:c r="T77" s="117"/>
      <x:c r="U77" s="117"/>
      <x:c r="V77" s="117"/>
      <x:c r="W77" s="117"/>
      <x:c r="X77" s="117"/>
      <x:c r="Y77" s="117"/>
      <x:c r="Z77" s="117"/>
    </x:row>
    <x:row r="78">
      <x:c r="A78" s="117"/>
      <x:c r="B78" s="117"/>
      <x:c r="C78" s="117"/>
      <x:c r="D78" s="117"/>
      <x:c r="E78" s="117"/>
      <x:c r="F78" s="117"/>
      <x:c r="G78" s="117"/>
      <x:c r="H78" s="117"/>
      <x:c r="I78" s="117"/>
      <x:c r="J78" s="117"/>
      <x:c r="K78" s="117"/>
      <x:c r="L78" s="117"/>
      <x:c r="M78" s="117"/>
      <x:c r="N78" s="117"/>
      <x:c r="O78" s="117"/>
      <x:c r="P78" s="117"/>
      <x:c r="Q78" s="117"/>
      <x:c r="R78" s="117"/>
      <x:c r="S78" s="117"/>
      <x:c r="T78" s="117"/>
      <x:c r="U78" s="117"/>
      <x:c r="V78" s="117"/>
      <x:c r="W78" s="117"/>
      <x:c r="X78" s="117"/>
      <x:c r="Y78" s="117"/>
      <x:c r="Z78" s="117"/>
    </x:row>
    <x:row r="79">
      <x:c r="A79" s="117"/>
      <x:c r="B79" s="117"/>
      <x:c r="C79" s="117"/>
      <x:c r="D79" s="117"/>
      <x:c r="E79" s="117"/>
      <x:c r="F79" s="117"/>
      <x:c r="G79" s="117"/>
      <x:c r="H79" s="117"/>
      <x:c r="I79" s="117"/>
      <x:c r="J79" s="117"/>
      <x:c r="K79" s="117"/>
      <x:c r="L79" s="117"/>
      <x:c r="M79" s="117"/>
      <x:c r="N79" s="117"/>
      <x:c r="O79" s="117"/>
      <x:c r="P79" s="117"/>
      <x:c r="Q79" s="117"/>
      <x:c r="R79" s="117"/>
      <x:c r="S79" s="117"/>
      <x:c r="T79" s="117"/>
      <x:c r="U79" s="117"/>
      <x:c r="V79" s="117"/>
      <x:c r="W79" s="117"/>
      <x:c r="X79" s="117"/>
      <x:c r="Y79" s="117"/>
      <x:c r="Z79" s="117"/>
    </x:row>
    <x:row r="80">
      <x:c r="A80" s="117"/>
      <x:c r="B80" s="117"/>
      <x:c r="C80" s="117"/>
      <x:c r="D80" s="117"/>
      <x:c r="E80" s="117"/>
      <x:c r="F80" s="117"/>
      <x:c r="G80" s="117"/>
      <x:c r="H80" s="117"/>
      <x:c r="I80" s="117"/>
      <x:c r="J80" s="117"/>
      <x:c r="K80" s="117"/>
      <x:c r="L80" s="117"/>
      <x:c r="M80" s="117"/>
      <x:c r="N80" s="117"/>
      <x:c r="O80" s="117"/>
      <x:c r="P80" s="117"/>
      <x:c r="Q80" s="117"/>
      <x:c r="R80" s="117"/>
      <x:c r="S80" s="117"/>
      <x:c r="T80" s="117"/>
      <x:c r="U80" s="117"/>
      <x:c r="V80" s="117"/>
      <x:c r="W80" s="117"/>
      <x:c r="X80" s="117"/>
      <x:c r="Y80" s="117"/>
      <x:c r="Z80" s="117"/>
    </x:row>
    <x:row r="81">
      <x:c r="A81" s="117"/>
      <x:c r="B81" s="117"/>
      <x:c r="C81" s="117"/>
      <x:c r="D81" s="117"/>
      <x:c r="E81" s="117"/>
      <x:c r="F81" s="117"/>
      <x:c r="G81" s="117"/>
      <x:c r="H81" s="117"/>
      <x:c r="I81" s="117"/>
      <x:c r="J81" s="117"/>
      <x:c r="K81" s="117"/>
      <x:c r="L81" s="117"/>
      <x:c r="M81" s="117"/>
      <x:c r="N81" s="117"/>
      <x:c r="O81" s="117"/>
      <x:c r="P81" s="117"/>
      <x:c r="Q81" s="117"/>
      <x:c r="R81" s="117"/>
      <x:c r="S81" s="117"/>
      <x:c r="T81" s="117"/>
      <x:c r="U81" s="117"/>
      <x:c r="V81" s="117"/>
      <x:c r="W81" s="117"/>
      <x:c r="X81" s="117"/>
      <x:c r="Y81" s="117"/>
      <x:c r="Z81" s="117"/>
    </x:row>
    <x:row r="82">
      <x:c r="A82" s="117"/>
      <x:c r="B82" s="117"/>
      <x:c r="C82" s="117"/>
      <x:c r="D82" s="117"/>
      <x:c r="E82" s="117"/>
      <x:c r="F82" s="117"/>
      <x:c r="G82" s="117"/>
      <x:c r="H82" s="117"/>
      <x:c r="I82" s="117"/>
      <x:c r="J82" s="117"/>
      <x:c r="K82" s="117"/>
      <x:c r="L82" s="117"/>
      <x:c r="M82" s="117"/>
      <x:c r="N82" s="117"/>
      <x:c r="O82" s="117"/>
      <x:c r="P82" s="117"/>
      <x:c r="Q82" s="117"/>
      <x:c r="R82" s="117"/>
      <x:c r="S82" s="117"/>
      <x:c r="T82" s="117"/>
      <x:c r="U82" s="117"/>
      <x:c r="V82" s="117"/>
      <x:c r="W82" s="117"/>
      <x:c r="X82" s="117"/>
      <x:c r="Y82" s="117"/>
      <x:c r="Z82" s="117"/>
    </x:row>
    <x:row r="83">
      <x:c r="A83" s="117"/>
      <x:c r="B83" s="117"/>
      <x:c r="C83" s="117"/>
      <x:c r="D83" s="117"/>
      <x:c r="E83" s="117"/>
      <x:c r="F83" s="117"/>
      <x:c r="G83" s="117"/>
      <x:c r="H83" s="117"/>
      <x:c r="I83" s="117"/>
      <x:c r="J83" s="117"/>
      <x:c r="K83" s="117"/>
      <x:c r="L83" s="117"/>
      <x:c r="M83" s="117"/>
      <x:c r="N83" s="117"/>
      <x:c r="O83" s="117"/>
      <x:c r="P83" s="117"/>
      <x:c r="Q83" s="117"/>
      <x:c r="R83" s="117"/>
      <x:c r="S83" s="117"/>
      <x:c r="T83" s="117"/>
      <x:c r="U83" s="117"/>
      <x:c r="V83" s="117"/>
      <x:c r="W83" s="117"/>
      <x:c r="X83" s="117"/>
      <x:c r="Y83" s="117"/>
      <x:c r="Z83" s="117"/>
    </x:row>
    <x:row r="84">
      <x:c r="A84" s="117"/>
      <x:c r="B84" s="117"/>
      <x:c r="C84" s="117"/>
      <x:c r="D84" s="117"/>
      <x:c r="E84" s="117"/>
      <x:c r="F84" s="117"/>
      <x:c r="G84" s="117"/>
      <x:c r="H84" s="117"/>
      <x:c r="I84" s="117"/>
      <x:c r="J84" s="117"/>
      <x:c r="K84" s="117"/>
      <x:c r="L84" s="117"/>
      <x:c r="M84" s="117"/>
      <x:c r="N84" s="117"/>
      <x:c r="O84" s="117"/>
      <x:c r="P84" s="117"/>
      <x:c r="Q84" s="117"/>
      <x:c r="R84" s="117"/>
      <x:c r="S84" s="117"/>
      <x:c r="T84" s="117"/>
      <x:c r="U84" s="117"/>
      <x:c r="V84" s="117"/>
      <x:c r="W84" s="117"/>
      <x:c r="X84" s="117"/>
      <x:c r="Y84" s="117"/>
      <x:c r="Z84" s="117"/>
    </x:row>
    <x:row r="85">
      <x:c r="A85" s="117"/>
      <x:c r="B85" s="117"/>
      <x:c r="C85" s="117"/>
      <x:c r="D85" s="117"/>
      <x:c r="E85" s="117"/>
      <x:c r="F85" s="117"/>
      <x:c r="G85" s="117"/>
      <x:c r="H85" s="117"/>
      <x:c r="I85" s="117"/>
      <x:c r="J85" s="117"/>
      <x:c r="K85" s="117"/>
      <x:c r="L85" s="117"/>
      <x:c r="M85" s="117"/>
      <x:c r="N85" s="117"/>
      <x:c r="O85" s="117"/>
      <x:c r="P85" s="117"/>
      <x:c r="Q85" s="117"/>
      <x:c r="R85" s="117"/>
      <x:c r="S85" s="117"/>
      <x:c r="T85" s="117"/>
      <x:c r="U85" s="117"/>
      <x:c r="V85" s="117"/>
      <x:c r="W85" s="117"/>
      <x:c r="X85" s="117"/>
      <x:c r="Y85" s="117"/>
      <x:c r="Z85" s="117"/>
    </x:row>
    <x:row r="86">
      <x:c r="A86" s="117"/>
      <x:c r="B86" s="117"/>
      <x:c r="C86" s="117"/>
      <x:c r="D86" s="117"/>
      <x:c r="E86" s="117"/>
      <x:c r="F86" s="117"/>
      <x:c r="G86" s="117"/>
      <x:c r="H86" s="117"/>
      <x:c r="I86" s="117"/>
      <x:c r="J86" s="117"/>
      <x:c r="K86" s="117"/>
      <x:c r="L86" s="117"/>
      <x:c r="M86" s="117"/>
      <x:c r="N86" s="117"/>
      <x:c r="O86" s="117"/>
      <x:c r="P86" s="117"/>
      <x:c r="Q86" s="117"/>
      <x:c r="R86" s="117"/>
      <x:c r="S86" s="117"/>
      <x:c r="T86" s="117"/>
      <x:c r="U86" s="117"/>
      <x:c r="V86" s="117"/>
      <x:c r="W86" s="117"/>
      <x:c r="X86" s="117"/>
      <x:c r="Y86" s="117"/>
      <x:c r="Z86" s="117"/>
    </x:row>
    <x:row r="87">
      <x:c r="A87" s="117"/>
      <x:c r="B87" s="117"/>
      <x:c r="C87" s="117"/>
      <x:c r="D87" s="117"/>
      <x:c r="E87" s="117"/>
      <x:c r="F87" s="117"/>
      <x:c r="G87" s="117"/>
      <x:c r="H87" s="117"/>
      <x:c r="I87" s="117"/>
      <x:c r="J87" s="117"/>
      <x:c r="K87" s="117"/>
      <x:c r="L87" s="117"/>
      <x:c r="M87" s="117"/>
      <x:c r="N87" s="117"/>
      <x:c r="O87" s="117"/>
      <x:c r="P87" s="117"/>
      <x:c r="Q87" s="117"/>
      <x:c r="R87" s="117"/>
      <x:c r="S87" s="117"/>
      <x:c r="T87" s="117"/>
      <x:c r="U87" s="117"/>
      <x:c r="V87" s="117"/>
      <x:c r="W87" s="117"/>
      <x:c r="X87" s="117"/>
      <x:c r="Y87" s="117"/>
      <x:c r="Z87" s="117"/>
    </x:row>
    <x:row r="88">
      <x:c r="A88" s="117"/>
      <x:c r="B88" s="117"/>
      <x:c r="C88" s="117"/>
      <x:c r="D88" s="117"/>
      <x:c r="E88" s="117"/>
      <x:c r="F88" s="117"/>
      <x:c r="G88" s="117"/>
      <x:c r="H88" s="117"/>
      <x:c r="I88" s="117"/>
      <x:c r="J88" s="117"/>
      <x:c r="K88" s="117"/>
      <x:c r="L88" s="117"/>
      <x:c r="M88" s="117"/>
      <x:c r="N88" s="117"/>
      <x:c r="O88" s="117"/>
      <x:c r="P88" s="117"/>
      <x:c r="Q88" s="117"/>
      <x:c r="R88" s="117"/>
      <x:c r="S88" s="117"/>
      <x:c r="T88" s="117"/>
      <x:c r="U88" s="117"/>
      <x:c r="V88" s="117"/>
      <x:c r="W88" s="117"/>
      <x:c r="X88" s="117"/>
      <x:c r="Y88" s="117"/>
      <x:c r="Z88" s="117"/>
    </x:row>
    <x:row r="89">
      <x:c r="A89" s="117"/>
      <x:c r="B89" s="117"/>
      <x:c r="C89" s="117"/>
      <x:c r="D89" s="117"/>
      <x:c r="E89" s="117"/>
      <x:c r="F89" s="117"/>
      <x:c r="G89" s="117"/>
      <x:c r="H89" s="117"/>
      <x:c r="I89" s="117"/>
      <x:c r="J89" s="117"/>
      <x:c r="K89" s="117"/>
      <x:c r="L89" s="117"/>
      <x:c r="M89" s="117"/>
      <x:c r="N89" s="117"/>
      <x:c r="O89" s="117"/>
      <x:c r="P89" s="117"/>
      <x:c r="Q89" s="117"/>
      <x:c r="R89" s="117"/>
      <x:c r="S89" s="117"/>
      <x:c r="T89" s="117"/>
      <x:c r="U89" s="117"/>
      <x:c r="V89" s="117"/>
      <x:c r="W89" s="117"/>
      <x:c r="X89" s="117"/>
      <x:c r="Y89" s="117"/>
      <x:c r="Z89" s="117"/>
    </x:row>
    <x:row r="90">
      <x:c r="A90" s="117"/>
      <x:c r="B90" s="117"/>
      <x:c r="C90" s="117"/>
      <x:c r="D90" s="117"/>
      <x:c r="E90" s="117"/>
      <x:c r="F90" s="117"/>
      <x:c r="G90" s="117"/>
      <x:c r="H90" s="117"/>
      <x:c r="I90" s="117"/>
      <x:c r="J90" s="117"/>
      <x:c r="K90" s="117"/>
      <x:c r="L90" s="117"/>
      <x:c r="M90" s="117"/>
      <x:c r="N90" s="117"/>
      <x:c r="O90" s="117"/>
      <x:c r="P90" s="117"/>
      <x:c r="Q90" s="117"/>
      <x:c r="R90" s="117"/>
      <x:c r="S90" s="117"/>
      <x:c r="T90" s="117"/>
      <x:c r="U90" s="117"/>
      <x:c r="V90" s="117"/>
      <x:c r="W90" s="117"/>
      <x:c r="X90" s="117"/>
      <x:c r="Y90" s="117"/>
      <x:c r="Z90" s="117"/>
    </x:row>
    <x:row r="91">
      <x:c r="A91" s="117"/>
      <x:c r="B91" s="117"/>
      <x:c r="C91" s="117"/>
      <x:c r="D91" s="117"/>
      <x:c r="E91" s="117"/>
      <x:c r="F91" s="117"/>
      <x:c r="G91" s="117"/>
      <x:c r="H91" s="117"/>
      <x:c r="I91" s="117"/>
      <x:c r="J91" s="117"/>
      <x:c r="K91" s="117"/>
      <x:c r="L91" s="117"/>
      <x:c r="M91" s="117"/>
      <x:c r="N91" s="117"/>
      <x:c r="O91" s="117"/>
      <x:c r="P91" s="117"/>
      <x:c r="Q91" s="117"/>
      <x:c r="R91" s="117"/>
      <x:c r="S91" s="117"/>
      <x:c r="T91" s="117"/>
      <x:c r="U91" s="117"/>
      <x:c r="V91" s="117"/>
      <x:c r="W91" s="117"/>
      <x:c r="X91" s="117"/>
      <x:c r="Y91" s="117"/>
      <x:c r="Z91" s="117"/>
    </x:row>
    <x:row r="92">
      <x:c r="A92" s="117"/>
      <x:c r="B92" s="117"/>
      <x:c r="C92" s="117"/>
      <x:c r="D92" s="117"/>
      <x:c r="E92" s="117"/>
      <x:c r="F92" s="117"/>
      <x:c r="G92" s="117"/>
      <x:c r="H92" s="117"/>
      <x:c r="I92" s="117"/>
      <x:c r="J92" s="117"/>
      <x:c r="K92" s="117"/>
      <x:c r="L92" s="117"/>
      <x:c r="M92" s="117"/>
      <x:c r="N92" s="117"/>
      <x:c r="O92" s="117"/>
      <x:c r="P92" s="117"/>
      <x:c r="Q92" s="117"/>
      <x:c r="R92" s="117"/>
      <x:c r="S92" s="117"/>
      <x:c r="T92" s="117"/>
      <x:c r="U92" s="117"/>
      <x:c r="V92" s="117"/>
      <x:c r="W92" s="117"/>
      <x:c r="X92" s="117"/>
      <x:c r="Y92" s="117"/>
      <x:c r="Z92" s="117"/>
    </x:row>
    <x:row r="93">
      <x:c r="A93" s="117"/>
      <x:c r="B93" s="117"/>
      <x:c r="C93" s="117"/>
      <x:c r="D93" s="117"/>
      <x:c r="E93" s="117"/>
      <x:c r="F93" s="117"/>
      <x:c r="G93" s="117"/>
      <x:c r="H93" s="117"/>
      <x:c r="I93" s="117"/>
      <x:c r="J93" s="117"/>
      <x:c r="K93" s="117"/>
      <x:c r="L93" s="117"/>
      <x:c r="M93" s="117"/>
      <x:c r="N93" s="117"/>
      <x:c r="O93" s="117"/>
      <x:c r="P93" s="117"/>
      <x:c r="Q93" s="117"/>
      <x:c r="R93" s="117"/>
      <x:c r="S93" s="117"/>
      <x:c r="T93" s="117"/>
      <x:c r="U93" s="117"/>
      <x:c r="V93" s="117"/>
      <x:c r="W93" s="117"/>
      <x:c r="X93" s="117"/>
      <x:c r="Y93" s="117"/>
      <x:c r="Z93" s="117"/>
    </x:row>
    <x:row r="94">
      <x:c r="A94" s="117"/>
      <x:c r="B94" s="117"/>
      <x:c r="C94" s="117"/>
      <x:c r="D94" s="117"/>
      <x:c r="E94" s="117"/>
      <x:c r="F94" s="117"/>
      <x:c r="G94" s="117"/>
      <x:c r="H94" s="117"/>
      <x:c r="I94" s="117"/>
      <x:c r="J94" s="117"/>
      <x:c r="K94" s="117"/>
      <x:c r="L94" s="117"/>
      <x:c r="M94" s="117"/>
      <x:c r="N94" s="117"/>
      <x:c r="O94" s="117"/>
      <x:c r="P94" s="117"/>
      <x:c r="Q94" s="117"/>
      <x:c r="R94" s="117"/>
      <x:c r="S94" s="117"/>
      <x:c r="T94" s="117"/>
      <x:c r="U94" s="117"/>
      <x:c r="V94" s="117"/>
      <x:c r="W94" s="117"/>
      <x:c r="X94" s="117"/>
      <x:c r="Y94" s="117"/>
      <x:c r="Z94" s="117"/>
    </x:row>
    <x:row r="95">
      <x:c r="A95" s="117"/>
      <x:c r="B95" s="117"/>
      <x:c r="C95" s="117"/>
      <x:c r="D95" s="117"/>
      <x:c r="E95" s="117"/>
      <x:c r="F95" s="117"/>
      <x:c r="G95" s="117"/>
      <x:c r="H95" s="117"/>
      <x:c r="I95" s="117"/>
      <x:c r="J95" s="117"/>
      <x:c r="K95" s="117"/>
      <x:c r="L95" s="117"/>
      <x:c r="M95" s="117"/>
      <x:c r="N95" s="117"/>
      <x:c r="O95" s="117"/>
      <x:c r="P95" s="117"/>
      <x:c r="Q95" s="117"/>
      <x:c r="R95" s="117"/>
      <x:c r="S95" s="117"/>
      <x:c r="T95" s="117"/>
      <x:c r="U95" s="117"/>
      <x:c r="V95" s="117"/>
      <x:c r="W95" s="117"/>
      <x:c r="X95" s="117"/>
      <x:c r="Y95" s="117"/>
      <x:c r="Z95" s="117"/>
    </x:row>
    <x:row r="96">
      <x:c r="A96" s="117"/>
      <x:c r="B96" s="117"/>
      <x:c r="C96" s="117"/>
      <x:c r="D96" s="117"/>
      <x:c r="E96" s="117"/>
      <x:c r="F96" s="117"/>
      <x:c r="G96" s="117"/>
      <x:c r="H96" s="117"/>
      <x:c r="I96" s="117"/>
      <x:c r="J96" s="117"/>
      <x:c r="K96" s="117"/>
      <x:c r="L96" s="117"/>
      <x:c r="M96" s="117"/>
      <x:c r="N96" s="117"/>
      <x:c r="O96" s="117"/>
      <x:c r="P96" s="117"/>
      <x:c r="Q96" s="117"/>
      <x:c r="R96" s="117"/>
      <x:c r="S96" s="117"/>
      <x:c r="T96" s="117"/>
      <x:c r="U96" s="117"/>
      <x:c r="V96" s="117"/>
      <x:c r="W96" s="117"/>
      <x:c r="X96" s="117"/>
      <x:c r="Y96" s="117"/>
      <x:c r="Z96" s="117"/>
    </x:row>
    <x:row r="97">
      <x:c r="A97" s="117"/>
      <x:c r="B97" s="117"/>
      <x:c r="C97" s="117"/>
      <x:c r="D97" s="117"/>
      <x:c r="E97" s="117"/>
      <x:c r="F97" s="117"/>
      <x:c r="G97" s="117"/>
      <x:c r="H97" s="117"/>
      <x:c r="I97" s="117"/>
      <x:c r="J97" s="117"/>
      <x:c r="K97" s="117"/>
      <x:c r="L97" s="117"/>
      <x:c r="M97" s="117"/>
      <x:c r="N97" s="117"/>
      <x:c r="O97" s="117"/>
      <x:c r="P97" s="117"/>
      <x:c r="Q97" s="117"/>
      <x:c r="R97" s="117"/>
      <x:c r="S97" s="117"/>
      <x:c r="T97" s="117"/>
      <x:c r="U97" s="117"/>
      <x:c r="V97" s="117"/>
      <x:c r="W97" s="117"/>
      <x:c r="X97" s="117"/>
      <x:c r="Y97" s="117"/>
      <x:c r="Z97" s="117"/>
    </x:row>
    <x:row r="98">
      <x:c r="A98" s="117"/>
      <x:c r="B98" s="117"/>
      <x:c r="C98" s="117"/>
      <x:c r="D98" s="117"/>
      <x:c r="E98" s="117"/>
      <x:c r="F98" s="117"/>
      <x:c r="G98" s="117"/>
      <x:c r="H98" s="117"/>
      <x:c r="I98" s="117"/>
      <x:c r="J98" s="117"/>
      <x:c r="K98" s="117"/>
      <x:c r="L98" s="117"/>
      <x:c r="M98" s="117"/>
      <x:c r="N98" s="117"/>
      <x:c r="O98" s="117"/>
      <x:c r="P98" s="117"/>
      <x:c r="Q98" s="117"/>
      <x:c r="R98" s="117"/>
      <x:c r="S98" s="117"/>
      <x:c r="T98" s="117"/>
      <x:c r="U98" s="117"/>
      <x:c r="V98" s="117"/>
      <x:c r="W98" s="117"/>
      <x:c r="X98" s="117"/>
      <x:c r="Y98" s="117"/>
      <x:c r="Z98" s="117"/>
    </x:row>
    <x:row r="99">
      <x:c r="A99" s="117"/>
      <x:c r="B99" s="117"/>
      <x:c r="C99" s="117"/>
      <x:c r="D99" s="117"/>
      <x:c r="E99" s="117"/>
      <x:c r="F99" s="117"/>
      <x:c r="G99" s="117"/>
      <x:c r="H99" s="117"/>
      <x:c r="I99" s="117"/>
      <x:c r="J99" s="117"/>
      <x:c r="K99" s="117"/>
      <x:c r="L99" s="117"/>
      <x:c r="M99" s="117"/>
      <x:c r="N99" s="117"/>
      <x:c r="O99" s="117"/>
      <x:c r="P99" s="117"/>
      <x:c r="Q99" s="117"/>
      <x:c r="R99" s="117"/>
      <x:c r="S99" s="117"/>
      <x:c r="T99" s="117"/>
      <x:c r="U99" s="117"/>
      <x:c r="V99" s="117"/>
      <x:c r="W99" s="117"/>
      <x:c r="X99" s="117"/>
      <x:c r="Y99" s="117"/>
      <x:c r="Z99" s="117"/>
    </x:row>
    <x:row r="100">
      <x:c r="A100" s="117"/>
      <x:c r="B100" s="117"/>
      <x:c r="C100" s="117"/>
      <x:c r="D100" s="117"/>
      <x:c r="E100" s="117"/>
      <x:c r="F100" s="117"/>
      <x:c r="G100" s="117"/>
      <x:c r="H100" s="117"/>
      <x:c r="I100" s="117"/>
      <x:c r="J100" s="117"/>
      <x:c r="K100" s="117"/>
      <x:c r="L100" s="117"/>
      <x:c r="M100" s="117"/>
      <x:c r="N100" s="117"/>
      <x:c r="O100" s="117"/>
      <x:c r="P100" s="117"/>
      <x:c r="Q100" s="117"/>
      <x:c r="R100" s="117"/>
      <x:c r="S100" s="117"/>
      <x:c r="T100" s="117"/>
      <x:c r="U100" s="117"/>
      <x:c r="V100" s="117"/>
      <x:c r="W100" s="117"/>
      <x:c r="X100" s="117"/>
      <x:c r="Y100" s="117"/>
      <x:c r="Z100" s="117"/>
    </x:row>
    <x:row r="101">
      <x:c r="A101" s="117"/>
      <x:c r="B101" s="117"/>
      <x:c r="C101" s="117"/>
      <x:c r="D101" s="117"/>
      <x:c r="E101" s="117"/>
      <x:c r="F101" s="117"/>
      <x:c r="G101" s="117"/>
      <x:c r="H101" s="117"/>
      <x:c r="I101" s="117"/>
      <x:c r="J101" s="117"/>
      <x:c r="K101" s="117"/>
      <x:c r="L101" s="117"/>
      <x:c r="M101" s="117"/>
      <x:c r="N101" s="117"/>
      <x:c r="O101" s="117"/>
      <x:c r="P101" s="117"/>
      <x:c r="Q101" s="117"/>
      <x:c r="R101" s="117"/>
      <x:c r="S101" s="117"/>
      <x:c r="T101" s="117"/>
      <x:c r="U101" s="117"/>
      <x:c r="V101" s="117"/>
      <x:c r="W101" s="117"/>
      <x:c r="X101" s="117"/>
      <x:c r="Y101" s="117"/>
      <x:c r="Z101" s="117"/>
    </x:row>
    <x:row r="102">
      <x:c r="A102" s="117"/>
      <x:c r="B102" s="117"/>
      <x:c r="C102" s="117"/>
      <x:c r="D102" s="117"/>
      <x:c r="E102" s="117"/>
      <x:c r="F102" s="117"/>
      <x:c r="G102" s="117"/>
      <x:c r="H102" s="117"/>
      <x:c r="I102" s="117"/>
      <x:c r="J102" s="117"/>
      <x:c r="K102" s="117"/>
      <x:c r="L102" s="117"/>
      <x:c r="M102" s="117"/>
      <x:c r="N102" s="117"/>
      <x:c r="O102" s="117"/>
      <x:c r="P102" s="117"/>
      <x:c r="Q102" s="117"/>
      <x:c r="R102" s="117"/>
      <x:c r="S102" s="117"/>
      <x:c r="T102" s="117"/>
      <x:c r="U102" s="117"/>
      <x:c r="V102" s="117"/>
      <x:c r="W102" s="117"/>
      <x:c r="X102" s="117"/>
      <x:c r="Y102" s="117"/>
      <x:c r="Z102" s="117"/>
    </x:row>
    <x:row r="103">
      <x:c r="A103" s="117"/>
      <x:c r="B103" s="117"/>
      <x:c r="C103" s="117"/>
      <x:c r="D103" s="117"/>
      <x:c r="E103" s="117"/>
      <x:c r="F103" s="117"/>
      <x:c r="G103" s="117"/>
      <x:c r="H103" s="117"/>
      <x:c r="I103" s="117"/>
      <x:c r="J103" s="117"/>
      <x:c r="K103" s="117"/>
      <x:c r="L103" s="117"/>
      <x:c r="M103" s="117"/>
      <x:c r="N103" s="117"/>
      <x:c r="O103" s="117"/>
      <x:c r="P103" s="117"/>
      <x:c r="Q103" s="117"/>
      <x:c r="R103" s="117"/>
      <x:c r="S103" s="117"/>
      <x:c r="T103" s="117"/>
      <x:c r="U103" s="117"/>
      <x:c r="V103" s="117"/>
      <x:c r="W103" s="117"/>
      <x:c r="X103" s="117"/>
      <x:c r="Y103" s="117"/>
      <x:c r="Z103" s="117"/>
    </x:row>
    <x:row r="104">
      <x:c r="A104" s="117"/>
      <x:c r="B104" s="117"/>
      <x:c r="C104" s="117"/>
      <x:c r="D104" s="117"/>
      <x:c r="E104" s="117"/>
      <x:c r="F104" s="117"/>
      <x:c r="G104" s="117"/>
      <x:c r="H104" s="117"/>
      <x:c r="I104" s="117"/>
      <x:c r="J104" s="117"/>
      <x:c r="K104" s="117"/>
      <x:c r="L104" s="117"/>
      <x:c r="M104" s="117"/>
      <x:c r="N104" s="117"/>
      <x:c r="O104" s="117"/>
      <x:c r="P104" s="117"/>
      <x:c r="Q104" s="117"/>
      <x:c r="R104" s="117"/>
      <x:c r="S104" s="117"/>
      <x:c r="T104" s="117"/>
      <x:c r="U104" s="117"/>
      <x:c r="V104" s="117"/>
      <x:c r="W104" s="117"/>
      <x:c r="X104" s="117"/>
      <x:c r="Y104" s="117"/>
      <x:c r="Z104" s="117"/>
    </x:row>
    <x:row r="105">
      <x:c r="A105" s="117"/>
      <x:c r="B105" s="117"/>
      <x:c r="C105" s="117"/>
      <x:c r="D105" s="117"/>
      <x:c r="E105" s="117"/>
      <x:c r="F105" s="117"/>
      <x:c r="G105" s="117"/>
      <x:c r="H105" s="117"/>
      <x:c r="I105" s="117"/>
      <x:c r="J105" s="117"/>
      <x:c r="K105" s="117"/>
      <x:c r="L105" s="117"/>
      <x:c r="M105" s="117"/>
      <x:c r="N105" s="117"/>
      <x:c r="O105" s="117"/>
      <x:c r="P105" s="117"/>
      <x:c r="Q105" s="117"/>
      <x:c r="R105" s="117"/>
      <x:c r="S105" s="117"/>
      <x:c r="T105" s="117"/>
      <x:c r="U105" s="117"/>
      <x:c r="V105" s="117"/>
      <x:c r="W105" s="117"/>
      <x:c r="X105" s="117"/>
      <x:c r="Y105" s="117"/>
      <x:c r="Z105" s="117"/>
    </x:row>
    <x:row r="106">
      <x:c r="A106" s="117"/>
      <x:c r="B106" s="117"/>
      <x:c r="C106" s="117"/>
      <x:c r="D106" s="117"/>
      <x:c r="E106" s="117"/>
      <x:c r="F106" s="117"/>
      <x:c r="G106" s="117"/>
      <x:c r="H106" s="117"/>
      <x:c r="I106" s="117"/>
      <x:c r="J106" s="117"/>
      <x:c r="K106" s="117"/>
      <x:c r="L106" s="117"/>
      <x:c r="M106" s="117"/>
      <x:c r="N106" s="117"/>
      <x:c r="O106" s="117"/>
      <x:c r="P106" s="117"/>
      <x:c r="Q106" s="117"/>
      <x:c r="R106" s="117"/>
      <x:c r="S106" s="117"/>
      <x:c r="T106" s="117"/>
      <x:c r="U106" s="117"/>
      <x:c r="V106" s="117"/>
      <x:c r="W106" s="117"/>
      <x:c r="X106" s="117"/>
      <x:c r="Y106" s="117"/>
      <x:c r="Z106" s="117"/>
    </x:row>
    <x:row r="107">
      <x:c r="A107" s="117"/>
      <x:c r="B107" s="117"/>
      <x:c r="C107" s="117"/>
      <x:c r="D107" s="117"/>
      <x:c r="E107" s="117"/>
      <x:c r="F107" s="117"/>
      <x:c r="G107" s="117"/>
      <x:c r="H107" s="117"/>
      <x:c r="I107" s="117"/>
      <x:c r="J107" s="117"/>
      <x:c r="K107" s="117"/>
      <x:c r="L107" s="117"/>
      <x:c r="M107" s="117"/>
      <x:c r="N107" s="117"/>
      <x:c r="O107" s="117"/>
      <x:c r="P107" s="117"/>
      <x:c r="Q107" s="117"/>
      <x:c r="R107" s="117"/>
      <x:c r="S107" s="117"/>
      <x:c r="T107" s="117"/>
      <x:c r="U107" s="117"/>
      <x:c r="V107" s="117"/>
      <x:c r="W107" s="117"/>
      <x:c r="X107" s="117"/>
      <x:c r="Y107" s="117"/>
      <x:c r="Z107" s="117"/>
    </x:row>
    <x:row r="108">
      <x:c r="A108" s="117"/>
      <x:c r="B108" s="117"/>
      <x:c r="C108" s="117"/>
      <x:c r="D108" s="117"/>
      <x:c r="E108" s="117"/>
      <x:c r="F108" s="117"/>
      <x:c r="G108" s="117"/>
      <x:c r="H108" s="117"/>
      <x:c r="I108" s="117"/>
      <x:c r="J108" s="117"/>
      <x:c r="K108" s="117"/>
      <x:c r="L108" s="117"/>
      <x:c r="M108" s="117"/>
      <x:c r="N108" s="117"/>
      <x:c r="O108" s="117"/>
      <x:c r="P108" s="117"/>
      <x:c r="Q108" s="117"/>
      <x:c r="R108" s="117"/>
      <x:c r="S108" s="117"/>
      <x:c r="T108" s="117"/>
      <x:c r="U108" s="117"/>
      <x:c r="V108" s="117"/>
      <x:c r="W108" s="117"/>
      <x:c r="X108" s="117"/>
      <x:c r="Y108" s="117"/>
      <x:c r="Z108" s="117"/>
    </x:row>
    <x:row r="109">
      <x:c r="A109" s="117"/>
      <x:c r="B109" s="117"/>
      <x:c r="C109" s="117"/>
      <x:c r="D109" s="117"/>
      <x:c r="E109" s="117"/>
      <x:c r="F109" s="117"/>
      <x:c r="G109" s="117"/>
      <x:c r="H109" s="117"/>
      <x:c r="I109" s="117"/>
      <x:c r="J109" s="117"/>
      <x:c r="K109" s="117"/>
      <x:c r="L109" s="117"/>
      <x:c r="M109" s="117"/>
      <x:c r="N109" s="117"/>
      <x:c r="O109" s="117"/>
      <x:c r="P109" s="117"/>
      <x:c r="Q109" s="117"/>
      <x:c r="R109" s="117"/>
      <x:c r="S109" s="117"/>
      <x:c r="T109" s="117"/>
      <x:c r="U109" s="117"/>
      <x:c r="V109" s="117"/>
      <x:c r="W109" s="117"/>
      <x:c r="X109" s="117"/>
      <x:c r="Y109" s="117"/>
      <x:c r="Z109" s="117"/>
    </x:row>
    <x:row r="110">
      <x:c r="A110" s="117"/>
      <x:c r="B110" s="117"/>
      <x:c r="C110" s="117"/>
      <x:c r="D110" s="117"/>
      <x:c r="E110" s="117"/>
      <x:c r="F110" s="117"/>
      <x:c r="G110" s="117"/>
      <x:c r="H110" s="117"/>
      <x:c r="I110" s="117"/>
      <x:c r="J110" s="117"/>
      <x:c r="K110" s="117"/>
      <x:c r="L110" s="117"/>
      <x:c r="M110" s="117"/>
      <x:c r="N110" s="117"/>
      <x:c r="O110" s="117"/>
      <x:c r="P110" s="117"/>
      <x:c r="Q110" s="117"/>
      <x:c r="R110" s="117"/>
      <x:c r="S110" s="117"/>
      <x:c r="T110" s="117"/>
      <x:c r="U110" s="117"/>
      <x:c r="V110" s="117"/>
      <x:c r="W110" s="117"/>
      <x:c r="X110" s="117"/>
      <x:c r="Y110" s="117"/>
      <x:c r="Z110" s="117"/>
    </x:row>
    <x:row r="111">
      <x:c r="A111" s="117"/>
      <x:c r="B111" s="117"/>
      <x:c r="C111" s="117"/>
      <x:c r="D111" s="117"/>
      <x:c r="E111" s="117"/>
      <x:c r="F111" s="117"/>
      <x:c r="G111" s="117"/>
      <x:c r="H111" s="117"/>
      <x:c r="I111" s="117"/>
      <x:c r="J111" s="117"/>
      <x:c r="K111" s="117"/>
      <x:c r="L111" s="117"/>
      <x:c r="M111" s="117"/>
      <x:c r="N111" s="117"/>
      <x:c r="O111" s="117"/>
      <x:c r="P111" s="117"/>
      <x:c r="Q111" s="117"/>
      <x:c r="R111" s="117"/>
      <x:c r="S111" s="117"/>
      <x:c r="T111" s="117"/>
      <x:c r="U111" s="117"/>
      <x:c r="V111" s="117"/>
      <x:c r="W111" s="117"/>
      <x:c r="X111" s="117"/>
      <x:c r="Y111" s="117"/>
      <x:c r="Z111" s="117"/>
    </x:row>
    <x:row r="112">
      <x:c r="A112" s="117"/>
      <x:c r="B112" s="117"/>
      <x:c r="C112" s="117"/>
      <x:c r="D112" s="117"/>
      <x:c r="E112" s="117"/>
      <x:c r="F112" s="117"/>
      <x:c r="G112" s="117"/>
      <x:c r="H112" s="117"/>
      <x:c r="I112" s="117"/>
      <x:c r="J112" s="117"/>
      <x:c r="K112" s="117"/>
      <x:c r="L112" s="117"/>
      <x:c r="M112" s="117"/>
      <x:c r="N112" s="117"/>
      <x:c r="O112" s="117"/>
      <x:c r="P112" s="117"/>
      <x:c r="Q112" s="117"/>
      <x:c r="R112" s="117"/>
      <x:c r="S112" s="117"/>
      <x:c r="T112" s="117"/>
      <x:c r="U112" s="117"/>
      <x:c r="V112" s="117"/>
      <x:c r="W112" s="117"/>
      <x:c r="X112" s="117"/>
      <x:c r="Y112" s="117"/>
      <x:c r="Z112" s="117"/>
    </x:row>
    <x:row r="113">
      <x:c r="A113" s="117"/>
      <x:c r="B113" s="117"/>
      <x:c r="C113" s="117"/>
      <x:c r="D113" s="117"/>
      <x:c r="E113" s="117"/>
      <x:c r="F113" s="117"/>
      <x:c r="G113" s="117"/>
      <x:c r="H113" s="117"/>
      <x:c r="I113" s="117"/>
      <x:c r="J113" s="117"/>
      <x:c r="K113" s="117"/>
      <x:c r="L113" s="117"/>
      <x:c r="M113" s="117"/>
      <x:c r="N113" s="117"/>
      <x:c r="O113" s="117"/>
      <x:c r="P113" s="117"/>
      <x:c r="Q113" s="117"/>
      <x:c r="R113" s="117"/>
      <x:c r="S113" s="117"/>
      <x:c r="T113" s="117"/>
      <x:c r="U113" s="117"/>
      <x:c r="V113" s="117"/>
      <x:c r="W113" s="117"/>
      <x:c r="X113" s="117"/>
      <x:c r="Y113" s="117"/>
      <x:c r="Z113" s="117"/>
    </x:row>
    <x:row r="114">
      <x:c r="A114" s="117"/>
      <x:c r="B114" s="117"/>
      <x:c r="C114" s="117"/>
      <x:c r="D114" s="117"/>
      <x:c r="E114" s="117"/>
      <x:c r="F114" s="117"/>
      <x:c r="G114" s="117"/>
      <x:c r="H114" s="117"/>
      <x:c r="I114" s="117"/>
      <x:c r="J114" s="117"/>
      <x:c r="K114" s="117"/>
      <x:c r="L114" s="117"/>
      <x:c r="M114" s="117"/>
      <x:c r="N114" s="117"/>
      <x:c r="O114" s="117"/>
      <x:c r="P114" s="117"/>
      <x:c r="Q114" s="117"/>
      <x:c r="R114" s="117"/>
      <x:c r="S114" s="117"/>
      <x:c r="T114" s="117"/>
      <x:c r="U114" s="117"/>
      <x:c r="V114" s="117"/>
      <x:c r="W114" s="117"/>
      <x:c r="X114" s="117"/>
      <x:c r="Y114" s="117"/>
      <x:c r="Z114" s="117"/>
    </x:row>
    <x:row r="115">
      <x:c r="A115" s="117"/>
      <x:c r="B115" s="117"/>
      <x:c r="C115" s="117"/>
      <x:c r="D115" s="117"/>
      <x:c r="E115" s="117"/>
      <x:c r="F115" s="117"/>
      <x:c r="G115" s="117"/>
      <x:c r="H115" s="117"/>
      <x:c r="I115" s="117"/>
      <x:c r="J115" s="117"/>
      <x:c r="K115" s="117"/>
      <x:c r="L115" s="117"/>
      <x:c r="M115" s="117"/>
      <x:c r="N115" s="117"/>
      <x:c r="O115" s="117"/>
      <x:c r="P115" s="117"/>
      <x:c r="Q115" s="117"/>
      <x:c r="R115" s="117"/>
      <x:c r="S115" s="117"/>
      <x:c r="T115" s="117"/>
      <x:c r="U115" s="117"/>
      <x:c r="V115" s="117"/>
      <x:c r="W115" s="117"/>
      <x:c r="X115" s="117"/>
      <x:c r="Y115" s="117"/>
      <x:c r="Z115" s="117"/>
    </x:row>
    <x:row r="116">
      <x:c r="A116" s="117"/>
      <x:c r="B116" s="117"/>
      <x:c r="C116" s="117"/>
      <x:c r="D116" s="117"/>
      <x:c r="E116" s="117"/>
      <x:c r="F116" s="117"/>
      <x:c r="G116" s="117"/>
      <x:c r="H116" s="117"/>
      <x:c r="I116" s="117"/>
      <x:c r="J116" s="117"/>
      <x:c r="K116" s="117"/>
      <x:c r="L116" s="117"/>
      <x:c r="M116" s="117"/>
      <x:c r="N116" s="117"/>
      <x:c r="O116" s="117"/>
      <x:c r="P116" s="117"/>
      <x:c r="Q116" s="117"/>
      <x:c r="R116" s="117"/>
      <x:c r="S116" s="117"/>
      <x:c r="T116" s="117"/>
      <x:c r="U116" s="117"/>
      <x:c r="V116" s="117"/>
      <x:c r="W116" s="117"/>
      <x:c r="X116" s="117"/>
      <x:c r="Y116" s="117"/>
      <x:c r="Z116" s="117"/>
    </x:row>
    <x:row r="117">
      <x:c r="A117" s="117"/>
      <x:c r="B117" s="117"/>
      <x:c r="C117" s="117"/>
      <x:c r="D117" s="117"/>
      <x:c r="E117" s="117"/>
      <x:c r="F117" s="117"/>
      <x:c r="G117" s="117"/>
      <x:c r="H117" s="117"/>
      <x:c r="I117" s="117"/>
      <x:c r="J117" s="117"/>
      <x:c r="K117" s="117"/>
      <x:c r="L117" s="117"/>
      <x:c r="M117" s="117"/>
      <x:c r="N117" s="117"/>
      <x:c r="O117" s="117"/>
      <x:c r="P117" s="117"/>
      <x:c r="Q117" s="117"/>
      <x:c r="R117" s="117"/>
      <x:c r="S117" s="117"/>
      <x:c r="T117" s="117"/>
      <x:c r="U117" s="117"/>
      <x:c r="V117" s="117"/>
      <x:c r="W117" s="117"/>
      <x:c r="X117" s="117"/>
      <x:c r="Y117" s="117"/>
      <x:c r="Z117" s="117"/>
    </x:row>
    <x:row r="118">
      <x:c r="A118" s="117"/>
      <x:c r="B118" s="117"/>
      <x:c r="C118" s="117"/>
      <x:c r="D118" s="117"/>
      <x:c r="E118" s="117"/>
      <x:c r="F118" s="117"/>
      <x:c r="G118" s="117"/>
      <x:c r="H118" s="117"/>
      <x:c r="I118" s="117"/>
      <x:c r="J118" s="117"/>
      <x:c r="K118" s="117"/>
      <x:c r="L118" s="117"/>
      <x:c r="M118" s="117"/>
      <x:c r="N118" s="117"/>
      <x:c r="O118" s="117"/>
      <x:c r="P118" s="117"/>
      <x:c r="Q118" s="117"/>
      <x:c r="R118" s="117"/>
      <x:c r="S118" s="117"/>
      <x:c r="T118" s="117"/>
      <x:c r="U118" s="117"/>
      <x:c r="V118" s="117"/>
      <x:c r="W118" s="117"/>
      <x:c r="X118" s="117"/>
      <x:c r="Y118" s="117"/>
      <x:c r="Z118" s="117"/>
    </x:row>
    <x:row r="119">
      <x:c r="A119" s="117"/>
      <x:c r="B119" s="117"/>
      <x:c r="C119" s="117"/>
      <x:c r="D119" s="117"/>
      <x:c r="E119" s="117"/>
      <x:c r="F119" s="117"/>
      <x:c r="G119" s="117"/>
      <x:c r="H119" s="117"/>
      <x:c r="I119" s="117"/>
      <x:c r="J119" s="117"/>
      <x:c r="K119" s="117"/>
      <x:c r="L119" s="117"/>
      <x:c r="M119" s="117"/>
      <x:c r="N119" s="117"/>
      <x:c r="O119" s="117"/>
      <x:c r="P119" s="117"/>
      <x:c r="Q119" s="117"/>
      <x:c r="R119" s="117"/>
      <x:c r="S119" s="117"/>
      <x:c r="T119" s="117"/>
      <x:c r="U119" s="117"/>
      <x:c r="V119" s="117"/>
      <x:c r="W119" s="117"/>
      <x:c r="X119" s="117"/>
      <x:c r="Y119" s="117"/>
      <x:c r="Z119" s="117"/>
    </x:row>
    <x:row r="120">
      <x:c r="A120" s="117"/>
      <x:c r="B120" s="117"/>
      <x:c r="C120" s="117"/>
      <x:c r="D120" s="117"/>
      <x:c r="E120" s="117"/>
      <x:c r="F120" s="117"/>
      <x:c r="G120" s="117"/>
      <x:c r="H120" s="117"/>
      <x:c r="I120" s="117"/>
      <x:c r="J120" s="117"/>
      <x:c r="K120" s="117"/>
      <x:c r="L120" s="117"/>
      <x:c r="M120" s="117"/>
      <x:c r="N120" s="117"/>
      <x:c r="O120" s="117"/>
      <x:c r="P120" s="117"/>
      <x:c r="Q120" s="117"/>
      <x:c r="R120" s="117"/>
      <x:c r="S120" s="117"/>
      <x:c r="T120" s="117"/>
      <x:c r="U120" s="117"/>
      <x:c r="V120" s="117"/>
      <x:c r="W120" s="117"/>
      <x:c r="X120" s="117"/>
      <x:c r="Y120" s="117"/>
      <x:c r="Z120" s="117"/>
    </x:row>
    <x:row r="121">
      <x:c r="A121" s="117"/>
      <x:c r="B121" s="117"/>
      <x:c r="C121" s="117"/>
      <x:c r="D121" s="117"/>
      <x:c r="E121" s="117"/>
      <x:c r="F121" s="117"/>
      <x:c r="G121" s="117"/>
      <x:c r="H121" s="117"/>
      <x:c r="I121" s="117"/>
      <x:c r="J121" s="117"/>
      <x:c r="K121" s="117"/>
      <x:c r="L121" s="117"/>
      <x:c r="M121" s="117"/>
      <x:c r="N121" s="117"/>
      <x:c r="O121" s="117"/>
      <x:c r="P121" s="117"/>
      <x:c r="Q121" s="117"/>
      <x:c r="R121" s="117"/>
      <x:c r="S121" s="117"/>
      <x:c r="T121" s="117"/>
      <x:c r="U121" s="117"/>
      <x:c r="V121" s="117"/>
      <x:c r="W121" s="117"/>
      <x:c r="X121" s="117"/>
      <x:c r="Y121" s="117"/>
      <x:c r="Z121" s="117"/>
    </x:row>
    <x:row r="122">
      <x:c r="A122" s="117"/>
      <x:c r="B122" s="117"/>
      <x:c r="C122" s="117"/>
      <x:c r="D122" s="117"/>
      <x:c r="E122" s="117"/>
      <x:c r="F122" s="117"/>
      <x:c r="G122" s="117"/>
      <x:c r="H122" s="117"/>
      <x:c r="I122" s="117"/>
      <x:c r="J122" s="117"/>
      <x:c r="K122" s="117"/>
      <x:c r="L122" s="117"/>
      <x:c r="M122" s="117"/>
      <x:c r="N122" s="117"/>
      <x:c r="O122" s="117"/>
      <x:c r="P122" s="117"/>
      <x:c r="Q122" s="117"/>
      <x:c r="R122" s="117"/>
      <x:c r="S122" s="117"/>
      <x:c r="T122" s="117"/>
      <x:c r="U122" s="117"/>
      <x:c r="V122" s="117"/>
      <x:c r="W122" s="117"/>
      <x:c r="X122" s="117"/>
      <x:c r="Y122" s="117"/>
      <x:c r="Z122" s="117"/>
    </x:row>
    <x:row r="123">
      <x:c r="A123" s="117"/>
      <x:c r="B123" s="117"/>
      <x:c r="C123" s="117"/>
      <x:c r="D123" s="117"/>
      <x:c r="E123" s="117"/>
      <x:c r="F123" s="117"/>
      <x:c r="G123" s="117"/>
      <x:c r="H123" s="117"/>
      <x:c r="I123" s="117"/>
      <x:c r="J123" s="117"/>
      <x:c r="K123" s="117"/>
      <x:c r="L123" s="117"/>
      <x:c r="M123" s="117"/>
      <x:c r="N123" s="117"/>
      <x:c r="O123" s="117"/>
      <x:c r="P123" s="117"/>
      <x:c r="Q123" s="117"/>
      <x:c r="R123" s="117"/>
      <x:c r="S123" s="117"/>
      <x:c r="T123" s="117"/>
      <x:c r="U123" s="117"/>
      <x:c r="V123" s="117"/>
      <x:c r="W123" s="117"/>
      <x:c r="X123" s="117"/>
      <x:c r="Y123" s="117"/>
      <x:c r="Z123" s="117"/>
    </x:row>
    <x:row r="124">
      <x:c r="A124" s="117"/>
      <x:c r="B124" s="117"/>
      <x:c r="C124" s="117"/>
      <x:c r="D124" s="117"/>
      <x:c r="E124" s="117"/>
      <x:c r="F124" s="117"/>
      <x:c r="G124" s="117"/>
      <x:c r="H124" s="117"/>
      <x:c r="I124" s="117"/>
      <x:c r="J124" s="117"/>
      <x:c r="K124" s="117"/>
      <x:c r="L124" s="117"/>
      <x:c r="M124" s="117"/>
      <x:c r="N124" s="117"/>
      <x:c r="O124" s="117"/>
      <x:c r="P124" s="117"/>
      <x:c r="Q124" s="117"/>
      <x:c r="R124" s="117"/>
      <x:c r="S124" s="117"/>
      <x:c r="T124" s="117"/>
      <x:c r="U124" s="117"/>
      <x:c r="V124" s="117"/>
      <x:c r="W124" s="117"/>
      <x:c r="X124" s="117"/>
      <x:c r="Y124" s="117"/>
      <x:c r="Z124" s="117"/>
    </x:row>
    <x:row r="125">
      <x:c r="A125" s="117"/>
      <x:c r="B125" s="117"/>
      <x:c r="C125" s="117"/>
      <x:c r="D125" s="117"/>
      <x:c r="E125" s="117"/>
      <x:c r="F125" s="117"/>
      <x:c r="G125" s="117"/>
      <x:c r="H125" s="117"/>
      <x:c r="I125" s="117"/>
      <x:c r="J125" s="117"/>
      <x:c r="K125" s="117"/>
      <x:c r="L125" s="117"/>
      <x:c r="M125" s="117"/>
      <x:c r="N125" s="117"/>
      <x:c r="O125" s="117"/>
      <x:c r="P125" s="117"/>
      <x:c r="Q125" s="117"/>
      <x:c r="R125" s="117"/>
      <x:c r="S125" s="117"/>
      <x:c r="T125" s="117"/>
      <x:c r="U125" s="117"/>
      <x:c r="V125" s="117"/>
      <x:c r="W125" s="117"/>
      <x:c r="X125" s="117"/>
      <x:c r="Y125" s="117"/>
      <x:c r="Z125" s="117"/>
    </x:row>
    <x:row r="126">
      <x:c r="A126" s="117"/>
      <x:c r="B126" s="117"/>
      <x:c r="C126" s="117"/>
      <x:c r="D126" s="117"/>
      <x:c r="E126" s="117"/>
      <x:c r="F126" s="117"/>
      <x:c r="G126" s="117"/>
      <x:c r="H126" s="117"/>
      <x:c r="I126" s="117"/>
      <x:c r="J126" s="117"/>
      <x:c r="K126" s="117"/>
      <x:c r="L126" s="117"/>
      <x:c r="M126" s="117"/>
      <x:c r="N126" s="117"/>
      <x:c r="O126" s="117"/>
      <x:c r="P126" s="117"/>
      <x:c r="Q126" s="117"/>
      <x:c r="R126" s="117"/>
      <x:c r="S126" s="117"/>
      <x:c r="T126" s="117"/>
      <x:c r="U126" s="117"/>
      <x:c r="V126" s="117"/>
      <x:c r="W126" s="117"/>
      <x:c r="X126" s="117"/>
      <x:c r="Y126" s="117"/>
      <x:c r="Z126" s="117"/>
    </x:row>
    <x:row r="127">
      <x:c r="A127" s="117"/>
      <x:c r="B127" s="117"/>
      <x:c r="C127" s="117"/>
      <x:c r="D127" s="117"/>
      <x:c r="E127" s="117"/>
      <x:c r="F127" s="117"/>
      <x:c r="G127" s="117"/>
      <x:c r="H127" s="117"/>
      <x:c r="I127" s="117"/>
      <x:c r="J127" s="117"/>
      <x:c r="K127" s="117"/>
      <x:c r="L127" s="117"/>
      <x:c r="M127" s="117"/>
      <x:c r="N127" s="117"/>
      <x:c r="O127" s="117"/>
      <x:c r="P127" s="117"/>
      <x:c r="Q127" s="117"/>
      <x:c r="R127" s="117"/>
      <x:c r="S127" s="117"/>
      <x:c r="T127" s="117"/>
      <x:c r="U127" s="117"/>
      <x:c r="V127" s="117"/>
      <x:c r="W127" s="117"/>
      <x:c r="X127" s="117"/>
      <x:c r="Y127" s="117"/>
      <x:c r="Z127" s="117"/>
    </x:row>
    <x:row r="128">
      <x:c r="A128" s="117"/>
      <x:c r="B128" s="117"/>
      <x:c r="C128" s="117"/>
      <x:c r="D128" s="117"/>
      <x:c r="E128" s="117"/>
      <x:c r="F128" s="117"/>
      <x:c r="G128" s="117"/>
      <x:c r="H128" s="117"/>
      <x:c r="I128" s="117"/>
      <x:c r="J128" s="117"/>
      <x:c r="K128" s="117"/>
      <x:c r="L128" s="117"/>
      <x:c r="M128" s="117"/>
      <x:c r="N128" s="117"/>
      <x:c r="O128" s="117"/>
      <x:c r="P128" s="117"/>
      <x:c r="Q128" s="117"/>
      <x:c r="R128" s="117"/>
      <x:c r="S128" s="117"/>
      <x:c r="T128" s="117"/>
      <x:c r="U128" s="117"/>
      <x:c r="V128" s="117"/>
      <x:c r="W128" s="117"/>
      <x:c r="X128" s="117"/>
      <x:c r="Y128" s="117"/>
      <x:c r="Z128" s="117"/>
    </x:row>
    <x:row r="129">
      <x:c r="A129" s="117"/>
      <x:c r="B129" s="117"/>
      <x:c r="C129" s="117"/>
      <x:c r="D129" s="117"/>
      <x:c r="E129" s="117"/>
      <x:c r="F129" s="117"/>
      <x:c r="G129" s="117"/>
      <x:c r="H129" s="117"/>
      <x:c r="I129" s="117"/>
      <x:c r="J129" s="117"/>
      <x:c r="K129" s="117"/>
      <x:c r="L129" s="117"/>
      <x:c r="M129" s="117"/>
      <x:c r="N129" s="117"/>
      <x:c r="O129" s="117"/>
      <x:c r="P129" s="117"/>
      <x:c r="Q129" s="117"/>
      <x:c r="R129" s="117"/>
      <x:c r="S129" s="117"/>
      <x:c r="T129" s="117"/>
      <x:c r="U129" s="117"/>
      <x:c r="V129" s="117"/>
      <x:c r="W129" s="117"/>
      <x:c r="X129" s="117"/>
      <x:c r="Y129" s="117"/>
      <x:c r="Z129" s="117"/>
    </x:row>
    <x:row r="130">
      <x:c r="A130" s="117"/>
      <x:c r="B130" s="117"/>
      <x:c r="C130" s="117"/>
      <x:c r="D130" s="117"/>
      <x:c r="E130" s="117"/>
      <x:c r="F130" s="117"/>
      <x:c r="G130" s="117"/>
      <x:c r="H130" s="117"/>
      <x:c r="I130" s="117"/>
      <x:c r="J130" s="117"/>
      <x:c r="K130" s="117"/>
      <x:c r="L130" s="117"/>
      <x:c r="M130" s="117"/>
      <x:c r="N130" s="117"/>
      <x:c r="O130" s="117"/>
      <x:c r="P130" s="117"/>
      <x:c r="Q130" s="117"/>
      <x:c r="R130" s="117"/>
      <x:c r="S130" s="117"/>
      <x:c r="T130" s="117"/>
      <x:c r="U130" s="117"/>
      <x:c r="V130" s="117"/>
      <x:c r="W130" s="117"/>
      <x:c r="X130" s="117"/>
      <x:c r="Y130" s="117"/>
      <x:c r="Z130" s="117"/>
    </x:row>
    <x:row r="131">
      <x:c r="A131" s="117"/>
      <x:c r="B131" s="117"/>
      <x:c r="C131" s="117"/>
      <x:c r="D131" s="117"/>
      <x:c r="E131" s="117"/>
      <x:c r="F131" s="117"/>
      <x:c r="G131" s="117"/>
      <x:c r="H131" s="117"/>
      <x:c r="I131" s="117"/>
      <x:c r="J131" s="117"/>
      <x:c r="K131" s="117"/>
      <x:c r="L131" s="117"/>
      <x:c r="M131" s="117"/>
      <x:c r="N131" s="117"/>
      <x:c r="O131" s="117"/>
      <x:c r="P131" s="117"/>
      <x:c r="Q131" s="117"/>
      <x:c r="R131" s="117"/>
      <x:c r="S131" s="117"/>
      <x:c r="T131" s="117"/>
      <x:c r="U131" s="117"/>
      <x:c r="V131" s="117"/>
      <x:c r="W131" s="117"/>
      <x:c r="X131" s="117"/>
      <x:c r="Y131" s="117"/>
      <x:c r="Z131" s="117"/>
    </x:row>
    <x:row r="132">
      <x:c r="A132" s="117"/>
      <x:c r="B132" s="117"/>
      <x:c r="C132" s="117"/>
      <x:c r="D132" s="117"/>
      <x:c r="E132" s="117"/>
      <x:c r="F132" s="117"/>
      <x:c r="G132" s="117"/>
      <x:c r="H132" s="117"/>
      <x:c r="I132" s="117"/>
      <x:c r="J132" s="117"/>
      <x:c r="K132" s="117"/>
      <x:c r="L132" s="117"/>
      <x:c r="M132" s="117"/>
      <x:c r="N132" s="117"/>
      <x:c r="O132" s="117"/>
      <x:c r="P132" s="117"/>
      <x:c r="Q132" s="117"/>
      <x:c r="R132" s="117"/>
      <x:c r="S132" s="117"/>
      <x:c r="T132" s="117"/>
      <x:c r="U132" s="117"/>
      <x:c r="V132" s="117"/>
      <x:c r="W132" s="117"/>
      <x:c r="X132" s="117"/>
      <x:c r="Y132" s="117"/>
      <x:c r="Z132" s="117"/>
    </x:row>
    <x:row r="133">
      <x:c r="A133" s="117"/>
      <x:c r="B133" s="117"/>
      <x:c r="C133" s="117"/>
      <x:c r="D133" s="117"/>
      <x:c r="E133" s="117"/>
      <x:c r="F133" s="117"/>
      <x:c r="G133" s="117"/>
      <x:c r="H133" s="117"/>
      <x:c r="I133" s="117"/>
      <x:c r="J133" s="117"/>
      <x:c r="K133" s="117"/>
      <x:c r="L133" s="117"/>
      <x:c r="M133" s="117"/>
      <x:c r="N133" s="117"/>
      <x:c r="O133" s="117"/>
      <x:c r="P133" s="117"/>
      <x:c r="Q133" s="117"/>
      <x:c r="R133" s="117"/>
      <x:c r="S133" s="117"/>
      <x:c r="T133" s="117"/>
      <x:c r="U133" s="117"/>
      <x:c r="V133" s="117"/>
      <x:c r="W133" s="117"/>
      <x:c r="X133" s="117"/>
      <x:c r="Y133" s="117"/>
      <x:c r="Z133" s="117"/>
    </x:row>
    <x:row r="134">
      <x:c r="A134" s="117"/>
      <x:c r="B134" s="117"/>
      <x:c r="C134" s="117"/>
      <x:c r="D134" s="117"/>
      <x:c r="E134" s="117"/>
      <x:c r="F134" s="117"/>
      <x:c r="G134" s="117"/>
      <x:c r="H134" s="117"/>
      <x:c r="I134" s="117"/>
      <x:c r="J134" s="117"/>
      <x:c r="K134" s="117"/>
      <x:c r="L134" s="117"/>
      <x:c r="M134" s="117"/>
      <x:c r="N134" s="117"/>
      <x:c r="O134" s="117"/>
      <x:c r="P134" s="117"/>
      <x:c r="Q134" s="117"/>
      <x:c r="R134" s="117"/>
      <x:c r="S134" s="117"/>
      <x:c r="T134" s="117"/>
      <x:c r="U134" s="117"/>
      <x:c r="V134" s="117"/>
      <x:c r="W134" s="117"/>
      <x:c r="X134" s="117"/>
      <x:c r="Y134" s="117"/>
      <x:c r="Z134" s="117"/>
    </x:row>
    <x:row r="135">
      <x:c r="A135" s="117"/>
      <x:c r="B135" s="117"/>
      <x:c r="C135" s="117"/>
      <x:c r="D135" s="117"/>
      <x:c r="E135" s="117"/>
      <x:c r="F135" s="117"/>
      <x:c r="G135" s="117"/>
      <x:c r="H135" s="117"/>
      <x:c r="I135" s="117"/>
      <x:c r="J135" s="117"/>
      <x:c r="K135" s="117"/>
      <x:c r="L135" s="117"/>
      <x:c r="M135" s="117"/>
      <x:c r="N135" s="117"/>
      <x:c r="O135" s="117"/>
      <x:c r="P135" s="117"/>
      <x:c r="Q135" s="117"/>
      <x:c r="R135" s="117"/>
      <x:c r="S135" s="117"/>
      <x:c r="T135" s="117"/>
      <x:c r="U135" s="117"/>
      <x:c r="V135" s="117"/>
      <x:c r="W135" s="117"/>
      <x:c r="X135" s="117"/>
      <x:c r="Y135" s="117"/>
      <x:c r="Z135" s="117"/>
    </x:row>
    <x:row r="136">
      <x:c r="A136" s="117"/>
      <x:c r="B136" s="117"/>
      <x:c r="C136" s="117"/>
      <x:c r="D136" s="117"/>
      <x:c r="E136" s="117"/>
      <x:c r="F136" s="117"/>
      <x:c r="G136" s="117"/>
      <x:c r="H136" s="117"/>
      <x:c r="I136" s="117"/>
      <x:c r="J136" s="117"/>
      <x:c r="K136" s="117"/>
      <x:c r="L136" s="117"/>
      <x:c r="M136" s="117"/>
      <x:c r="N136" s="117"/>
      <x:c r="O136" s="117"/>
      <x:c r="P136" s="117"/>
      <x:c r="Q136" s="117"/>
      <x:c r="R136" s="117"/>
      <x:c r="S136" s="117"/>
      <x:c r="T136" s="117"/>
      <x:c r="U136" s="117"/>
      <x:c r="V136" s="117"/>
      <x:c r="W136" s="117"/>
      <x:c r="X136" s="117"/>
      <x:c r="Y136" s="117"/>
      <x:c r="Z136" s="117"/>
    </x:row>
    <x:row r="137">
      <x:c r="A137" s="117"/>
      <x:c r="B137" s="117"/>
      <x:c r="C137" s="117"/>
      <x:c r="D137" s="117"/>
      <x:c r="E137" s="117"/>
      <x:c r="F137" s="117"/>
      <x:c r="G137" s="117"/>
      <x:c r="H137" s="117"/>
      <x:c r="I137" s="117"/>
      <x:c r="J137" s="117"/>
      <x:c r="K137" s="117"/>
      <x:c r="L137" s="117"/>
      <x:c r="M137" s="117"/>
      <x:c r="N137" s="117"/>
      <x:c r="O137" s="117"/>
      <x:c r="P137" s="117"/>
      <x:c r="Q137" s="117"/>
      <x:c r="R137" s="117"/>
      <x:c r="S137" s="117"/>
      <x:c r="T137" s="117"/>
      <x:c r="U137" s="117"/>
      <x:c r="V137" s="117"/>
      <x:c r="W137" s="117"/>
      <x:c r="X137" s="117"/>
      <x:c r="Y137" s="117"/>
      <x:c r="Z137" s="117"/>
    </x:row>
    <x:row r="138">
      <x:c r="A138" s="117"/>
      <x:c r="B138" s="117"/>
      <x:c r="C138" s="117"/>
      <x:c r="D138" s="117"/>
      <x:c r="E138" s="117"/>
      <x:c r="F138" s="117"/>
      <x:c r="G138" s="117"/>
      <x:c r="H138" s="117"/>
      <x:c r="I138" s="117"/>
      <x:c r="J138" s="117"/>
      <x:c r="K138" s="117"/>
      <x:c r="L138" s="117"/>
      <x:c r="M138" s="117"/>
      <x:c r="N138" s="117"/>
      <x:c r="O138" s="117"/>
      <x:c r="P138" s="117"/>
      <x:c r="Q138" s="117"/>
      <x:c r="R138" s="117"/>
      <x:c r="S138" s="117"/>
      <x:c r="T138" s="117"/>
      <x:c r="U138" s="117"/>
      <x:c r="V138" s="117"/>
      <x:c r="W138" s="117"/>
      <x:c r="X138" s="117"/>
      <x:c r="Y138" s="117"/>
      <x:c r="Z138" s="117"/>
    </x:row>
    <x:row r="139">
      <x:c r="A139" s="117"/>
      <x:c r="B139" s="117"/>
      <x:c r="C139" s="117"/>
      <x:c r="D139" s="117"/>
      <x:c r="E139" s="117"/>
      <x:c r="F139" s="117"/>
      <x:c r="G139" s="117"/>
      <x:c r="H139" s="117"/>
      <x:c r="I139" s="117"/>
      <x:c r="J139" s="117"/>
      <x:c r="K139" s="117"/>
      <x:c r="L139" s="117"/>
      <x:c r="M139" s="117"/>
      <x:c r="N139" s="117"/>
      <x:c r="O139" s="117"/>
      <x:c r="P139" s="117"/>
      <x:c r="Q139" s="117"/>
      <x:c r="R139" s="117"/>
      <x:c r="S139" s="117"/>
      <x:c r="T139" s="117"/>
      <x:c r="U139" s="117"/>
      <x:c r="V139" s="117"/>
      <x:c r="W139" s="117"/>
      <x:c r="X139" s="117"/>
      <x:c r="Y139" s="117"/>
      <x:c r="Z139" s="117"/>
    </x:row>
    <x:row r="140">
      <x:c r="A140" s="117"/>
      <x:c r="B140" s="117"/>
      <x:c r="C140" s="117"/>
      <x:c r="D140" s="117"/>
      <x:c r="E140" s="117"/>
      <x:c r="F140" s="117"/>
      <x:c r="G140" s="117"/>
      <x:c r="H140" s="117"/>
      <x:c r="I140" s="117"/>
      <x:c r="J140" s="117"/>
      <x:c r="K140" s="117"/>
      <x:c r="L140" s="117"/>
      <x:c r="M140" s="117"/>
      <x:c r="N140" s="117"/>
      <x:c r="O140" s="117"/>
      <x:c r="P140" s="117"/>
      <x:c r="Q140" s="117"/>
      <x:c r="R140" s="117"/>
      <x:c r="S140" s="117"/>
      <x:c r="T140" s="117"/>
      <x:c r="U140" s="117"/>
      <x:c r="V140" s="117"/>
      <x:c r="W140" s="117"/>
      <x:c r="X140" s="117"/>
      <x:c r="Y140" s="117"/>
      <x:c r="Z140" s="117"/>
    </x:row>
    <x:row r="141">
      <x:c r="A141" s="117"/>
      <x:c r="B141" s="117"/>
      <x:c r="C141" s="117"/>
      <x:c r="D141" s="117"/>
      <x:c r="E141" s="117"/>
      <x:c r="F141" s="117"/>
      <x:c r="G141" s="117"/>
      <x:c r="H141" s="117"/>
      <x:c r="I141" s="117"/>
      <x:c r="J141" s="117"/>
      <x:c r="K141" s="117"/>
      <x:c r="L141" s="117"/>
      <x:c r="M141" s="117"/>
      <x:c r="N141" s="117"/>
      <x:c r="O141" s="117"/>
      <x:c r="P141" s="117"/>
      <x:c r="Q141" s="117"/>
      <x:c r="R141" s="117"/>
      <x:c r="S141" s="117"/>
      <x:c r="T141" s="117"/>
      <x:c r="U141" s="117"/>
      <x:c r="V141" s="117"/>
      <x:c r="W141" s="117"/>
      <x:c r="X141" s="117"/>
      <x:c r="Y141" s="117"/>
      <x:c r="Z141" s="117"/>
    </x:row>
    <x:row r="142">
      <x:c r="A142" s="117"/>
      <x:c r="B142" s="117"/>
      <x:c r="C142" s="117"/>
      <x:c r="D142" s="117"/>
      <x:c r="E142" s="117"/>
      <x:c r="F142" s="117"/>
      <x:c r="G142" s="117"/>
      <x:c r="H142" s="117"/>
      <x:c r="I142" s="117"/>
      <x:c r="J142" s="117"/>
      <x:c r="K142" s="117"/>
      <x:c r="L142" s="117"/>
      <x:c r="M142" s="117"/>
      <x:c r="N142" s="117"/>
      <x:c r="O142" s="117"/>
      <x:c r="P142" s="117"/>
      <x:c r="Q142" s="117"/>
      <x:c r="R142" s="117"/>
      <x:c r="S142" s="117"/>
      <x:c r="T142" s="117"/>
      <x:c r="U142" s="117"/>
      <x:c r="V142" s="117"/>
      <x:c r="W142" s="117"/>
      <x:c r="X142" s="117"/>
      <x:c r="Y142" s="117"/>
      <x:c r="Z142" s="117"/>
    </x:row>
    <x:row r="143">
      <x:c r="A143" s="117"/>
      <x:c r="B143" s="117"/>
      <x:c r="C143" s="117"/>
      <x:c r="D143" s="117"/>
      <x:c r="E143" s="117"/>
      <x:c r="F143" s="117"/>
      <x:c r="G143" s="117"/>
      <x:c r="H143" s="117"/>
      <x:c r="I143" s="117"/>
      <x:c r="J143" s="117"/>
      <x:c r="K143" s="117"/>
      <x:c r="L143" s="117"/>
      <x:c r="M143" s="117"/>
      <x:c r="N143" s="117"/>
      <x:c r="O143" s="117"/>
      <x:c r="P143" s="117"/>
      <x:c r="Q143" s="117"/>
      <x:c r="R143" s="117"/>
      <x:c r="S143" s="117"/>
      <x:c r="T143" s="117"/>
      <x:c r="U143" s="117"/>
      <x:c r="V143" s="117"/>
      <x:c r="W143" s="117"/>
      <x:c r="X143" s="117"/>
      <x:c r="Y143" s="117"/>
      <x:c r="Z143" s="117"/>
    </x:row>
    <x:row r="144">
      <x:c r="A144" s="117"/>
      <x:c r="B144" s="117"/>
      <x:c r="C144" s="117"/>
      <x:c r="D144" s="117"/>
      <x:c r="E144" s="117"/>
      <x:c r="F144" s="117"/>
      <x:c r="G144" s="117"/>
      <x:c r="H144" s="117"/>
      <x:c r="I144" s="117"/>
      <x:c r="J144" s="117"/>
      <x:c r="K144" s="117"/>
      <x:c r="L144" s="117"/>
      <x:c r="M144" s="117"/>
      <x:c r="N144" s="117"/>
      <x:c r="O144" s="117"/>
      <x:c r="P144" s="117"/>
      <x:c r="Q144" s="117"/>
      <x:c r="R144" s="117"/>
      <x:c r="S144" s="117"/>
      <x:c r="T144" s="117"/>
      <x:c r="U144" s="117"/>
      <x:c r="V144" s="117"/>
      <x:c r="W144" s="117"/>
      <x:c r="X144" s="117"/>
      <x:c r="Y144" s="117"/>
      <x:c r="Z144" s="117"/>
    </x:row>
    <x:row r="145">
      <x:c r="A145" s="117"/>
      <x:c r="B145" s="117"/>
      <x:c r="C145" s="117"/>
      <x:c r="D145" s="117"/>
      <x:c r="E145" s="117"/>
      <x:c r="F145" s="117"/>
      <x:c r="G145" s="117"/>
      <x:c r="H145" s="117"/>
      <x:c r="I145" s="117"/>
      <x:c r="J145" s="117"/>
      <x:c r="K145" s="117"/>
      <x:c r="L145" s="117"/>
      <x:c r="M145" s="117"/>
      <x:c r="N145" s="117"/>
      <x:c r="O145" s="117"/>
      <x:c r="P145" s="117"/>
      <x:c r="Q145" s="117"/>
      <x:c r="R145" s="117"/>
      <x:c r="S145" s="117"/>
      <x:c r="T145" s="117"/>
      <x:c r="U145" s="117"/>
      <x:c r="V145" s="117"/>
      <x:c r="W145" s="117"/>
      <x:c r="X145" s="117"/>
      <x:c r="Y145" s="117"/>
      <x:c r="Z145" s="117"/>
    </x:row>
    <x:row r="146">
      <x:c r="A146" s="117"/>
      <x:c r="B146" s="117"/>
      <x:c r="C146" s="117"/>
      <x:c r="D146" s="117"/>
      <x:c r="E146" s="117"/>
      <x:c r="F146" s="117"/>
      <x:c r="G146" s="117"/>
      <x:c r="H146" s="117"/>
      <x:c r="I146" s="117"/>
      <x:c r="J146" s="117"/>
      <x:c r="K146" s="117"/>
      <x:c r="L146" s="117"/>
      <x:c r="M146" s="117"/>
      <x:c r="N146" s="117"/>
      <x:c r="O146" s="117"/>
      <x:c r="P146" s="117"/>
      <x:c r="Q146" s="117"/>
      <x:c r="R146" s="117"/>
      <x:c r="S146" s="117"/>
      <x:c r="T146" s="117"/>
      <x:c r="U146" s="117"/>
      <x:c r="V146" s="117"/>
      <x:c r="W146" s="117"/>
      <x:c r="X146" s="117"/>
      <x:c r="Y146" s="117"/>
      <x:c r="Z146" s="117"/>
    </x:row>
    <x:row r="147">
      <x:c r="A147" s="117"/>
      <x:c r="B147" s="117"/>
      <x:c r="C147" s="117"/>
      <x:c r="D147" s="117"/>
      <x:c r="E147" s="117"/>
      <x:c r="F147" s="117"/>
      <x:c r="G147" s="117"/>
      <x:c r="H147" s="117"/>
      <x:c r="I147" s="117"/>
      <x:c r="J147" s="117"/>
      <x:c r="K147" s="117"/>
      <x:c r="L147" s="117"/>
      <x:c r="M147" s="117"/>
      <x:c r="N147" s="117"/>
      <x:c r="O147" s="117"/>
      <x:c r="P147" s="117"/>
      <x:c r="Q147" s="117"/>
      <x:c r="R147" s="117"/>
      <x:c r="S147" s="117"/>
      <x:c r="T147" s="117"/>
      <x:c r="U147" s="117"/>
      <x:c r="V147" s="117"/>
      <x:c r="W147" s="117"/>
      <x:c r="X147" s="117"/>
      <x:c r="Y147" s="117"/>
      <x:c r="Z147" s="117"/>
    </x:row>
    <x:row r="148">
      <x:c r="A148" s="117"/>
      <x:c r="B148" s="117"/>
      <x:c r="C148" s="117"/>
      <x:c r="D148" s="117"/>
      <x:c r="E148" s="117"/>
      <x:c r="F148" s="117"/>
      <x:c r="G148" s="117"/>
      <x:c r="H148" s="117"/>
      <x:c r="I148" s="117"/>
      <x:c r="J148" s="117"/>
      <x:c r="K148" s="117"/>
      <x:c r="L148" s="117"/>
      <x:c r="M148" s="117"/>
      <x:c r="N148" s="117"/>
      <x:c r="O148" s="117"/>
      <x:c r="P148" s="117"/>
      <x:c r="Q148" s="117"/>
      <x:c r="R148" s="117"/>
      <x:c r="S148" s="117"/>
      <x:c r="T148" s="117"/>
      <x:c r="U148" s="117"/>
      <x:c r="V148" s="117"/>
      <x:c r="W148" s="117"/>
      <x:c r="X148" s="117"/>
      <x:c r="Y148" s="117"/>
      <x:c r="Z148" s="117"/>
    </x:row>
    <x:row r="149">
      <x:c r="A149" s="117"/>
      <x:c r="B149" s="117"/>
      <x:c r="C149" s="117"/>
      <x:c r="D149" s="117"/>
      <x:c r="E149" s="117"/>
      <x:c r="F149" s="117"/>
      <x:c r="G149" s="117"/>
      <x:c r="H149" s="117"/>
      <x:c r="I149" s="117"/>
      <x:c r="J149" s="117"/>
      <x:c r="K149" s="117"/>
      <x:c r="L149" s="117"/>
      <x:c r="M149" s="117"/>
      <x:c r="N149" s="117"/>
      <x:c r="O149" s="117"/>
      <x:c r="P149" s="117"/>
      <x:c r="Q149" s="117"/>
      <x:c r="R149" s="117"/>
      <x:c r="S149" s="117"/>
      <x:c r="T149" s="117"/>
      <x:c r="U149" s="117"/>
      <x:c r="V149" s="117"/>
      <x:c r="W149" s="117"/>
      <x:c r="X149" s="117"/>
      <x:c r="Y149" s="117"/>
      <x:c r="Z149" s="117"/>
    </x:row>
    <x:row r="150">
      <x:c r="A150" s="117"/>
      <x:c r="B150" s="117"/>
      <x:c r="C150" s="117"/>
      <x:c r="D150" s="117"/>
      <x:c r="E150" s="117"/>
      <x:c r="F150" s="117"/>
      <x:c r="G150" s="117"/>
      <x:c r="H150" s="117"/>
      <x:c r="I150" s="117"/>
      <x:c r="J150" s="117"/>
      <x:c r="K150" s="117"/>
      <x:c r="L150" s="117"/>
      <x:c r="M150" s="117"/>
      <x:c r="N150" s="117"/>
      <x:c r="O150" s="117"/>
      <x:c r="P150" s="117"/>
      <x:c r="Q150" s="117"/>
      <x:c r="R150" s="117"/>
      <x:c r="S150" s="117"/>
      <x:c r="T150" s="117"/>
      <x:c r="U150" s="117"/>
      <x:c r="V150" s="117"/>
      <x:c r="W150" s="117"/>
      <x:c r="X150" s="117"/>
      <x:c r="Y150" s="117"/>
      <x:c r="Z150" s="117"/>
    </x:row>
    <x:row r="151">
      <x:c r="A151" s="117"/>
      <x:c r="B151" s="117"/>
      <x:c r="C151" s="117"/>
      <x:c r="D151" s="117"/>
      <x:c r="E151" s="117"/>
      <x:c r="F151" s="117"/>
      <x:c r="G151" s="117"/>
      <x:c r="H151" s="117"/>
      <x:c r="I151" s="117"/>
      <x:c r="J151" s="117"/>
      <x:c r="K151" s="117"/>
      <x:c r="L151" s="117"/>
      <x:c r="M151" s="117"/>
      <x:c r="N151" s="117"/>
      <x:c r="O151" s="117"/>
      <x:c r="P151" s="117"/>
      <x:c r="Q151" s="117"/>
      <x:c r="R151" s="117"/>
      <x:c r="S151" s="117"/>
      <x:c r="T151" s="117"/>
      <x:c r="U151" s="117"/>
      <x:c r="V151" s="117"/>
      <x:c r="W151" s="117"/>
      <x:c r="X151" s="117"/>
      <x:c r="Y151" s="117"/>
      <x:c r="Z151" s="117"/>
    </x:row>
    <x:row r="152">
      <x:c r="A152" s="117"/>
      <x:c r="B152" s="117"/>
      <x:c r="C152" s="117"/>
      <x:c r="D152" s="117"/>
      <x:c r="E152" s="117"/>
      <x:c r="F152" s="117"/>
      <x:c r="G152" s="117"/>
      <x:c r="H152" s="117"/>
      <x:c r="I152" s="117"/>
      <x:c r="J152" s="117"/>
      <x:c r="K152" s="117"/>
      <x:c r="L152" s="117"/>
      <x:c r="M152" s="117"/>
      <x:c r="N152" s="117"/>
      <x:c r="O152" s="117"/>
      <x:c r="P152" s="117"/>
      <x:c r="Q152" s="117"/>
      <x:c r="R152" s="117"/>
      <x:c r="S152" s="117"/>
      <x:c r="T152" s="117"/>
      <x:c r="U152" s="117"/>
      <x:c r="V152" s="117"/>
      <x:c r="W152" s="117"/>
      <x:c r="X152" s="117"/>
      <x:c r="Y152" s="117"/>
      <x:c r="Z152" s="117"/>
    </x:row>
    <x:row r="153">
      <x:c r="A153" s="117"/>
      <x:c r="B153" s="117"/>
      <x:c r="C153" s="117"/>
      <x:c r="D153" s="117"/>
      <x:c r="E153" s="117"/>
      <x:c r="F153" s="117"/>
      <x:c r="G153" s="117"/>
      <x:c r="H153" s="117"/>
      <x:c r="I153" s="117"/>
      <x:c r="J153" s="117"/>
      <x:c r="K153" s="117"/>
      <x:c r="L153" s="117"/>
      <x:c r="M153" s="117"/>
      <x:c r="N153" s="117"/>
      <x:c r="O153" s="117"/>
      <x:c r="P153" s="117"/>
      <x:c r="Q153" s="117"/>
      <x:c r="R153" s="117"/>
      <x:c r="S153" s="117"/>
      <x:c r="T153" s="117"/>
      <x:c r="U153" s="117"/>
      <x:c r="V153" s="117"/>
      <x:c r="W153" s="117"/>
      <x:c r="X153" s="117"/>
      <x:c r="Y153" s="117"/>
      <x:c r="Z153" s="117"/>
    </x:row>
    <x:row r="154">
      <x:c r="A154" s="117"/>
      <x:c r="B154" s="117"/>
      <x:c r="C154" s="117"/>
      <x:c r="D154" s="117"/>
      <x:c r="E154" s="117"/>
      <x:c r="F154" s="117"/>
      <x:c r="G154" s="117"/>
      <x:c r="H154" s="117"/>
      <x:c r="I154" s="117"/>
      <x:c r="J154" s="117"/>
      <x:c r="K154" s="117"/>
      <x:c r="L154" s="117"/>
      <x:c r="M154" s="117"/>
      <x:c r="N154" s="117"/>
      <x:c r="O154" s="117"/>
      <x:c r="P154" s="117"/>
      <x:c r="Q154" s="117"/>
      <x:c r="R154" s="117"/>
      <x:c r="S154" s="117"/>
      <x:c r="T154" s="117"/>
      <x:c r="U154" s="117"/>
      <x:c r="V154" s="117"/>
      <x:c r="W154" s="117"/>
      <x:c r="X154" s="117"/>
      <x:c r="Y154" s="117"/>
      <x:c r="Z154" s="117"/>
    </x:row>
    <x:row r="155">
      <x:c r="A155" s="117"/>
      <x:c r="B155" s="117"/>
      <x:c r="C155" s="117"/>
      <x:c r="D155" s="117"/>
      <x:c r="E155" s="117"/>
      <x:c r="F155" s="117"/>
      <x:c r="G155" s="117"/>
      <x:c r="H155" s="117"/>
      <x:c r="I155" s="117"/>
      <x:c r="J155" s="117"/>
      <x:c r="K155" s="117"/>
      <x:c r="L155" s="117"/>
      <x:c r="M155" s="117"/>
      <x:c r="N155" s="117"/>
      <x:c r="O155" s="117"/>
      <x:c r="P155" s="117"/>
      <x:c r="Q155" s="117"/>
      <x:c r="R155" s="117"/>
      <x:c r="S155" s="117"/>
      <x:c r="T155" s="117"/>
      <x:c r="U155" s="117"/>
      <x:c r="V155" s="117"/>
      <x:c r="W155" s="117"/>
      <x:c r="X155" s="117"/>
      <x:c r="Y155" s="117"/>
      <x:c r="Z155" s="117"/>
    </x:row>
    <x:row r="156">
      <x:c r="A156" s="117"/>
      <x:c r="B156" s="117"/>
      <x:c r="C156" s="117"/>
      <x:c r="D156" s="117"/>
      <x:c r="E156" s="117"/>
      <x:c r="F156" s="117"/>
      <x:c r="G156" s="117"/>
      <x:c r="H156" s="117"/>
      <x:c r="I156" s="117"/>
      <x:c r="J156" s="117"/>
      <x:c r="K156" s="117"/>
      <x:c r="L156" s="117"/>
      <x:c r="M156" s="117"/>
      <x:c r="N156" s="117"/>
      <x:c r="O156" s="117"/>
      <x:c r="P156" s="117"/>
      <x:c r="Q156" s="117"/>
      <x:c r="R156" s="117"/>
      <x:c r="S156" s="117"/>
      <x:c r="T156" s="117"/>
      <x:c r="U156" s="117"/>
      <x:c r="V156" s="117"/>
      <x:c r="W156" s="117"/>
      <x:c r="X156" s="117"/>
      <x:c r="Y156" s="117"/>
      <x:c r="Z156" s="117"/>
    </x:row>
    <x:row r="157">
      <x:c r="A157" s="117"/>
      <x:c r="B157" s="117"/>
      <x:c r="C157" s="117"/>
      <x:c r="D157" s="117"/>
      <x:c r="E157" s="117"/>
      <x:c r="F157" s="117"/>
      <x:c r="G157" s="117"/>
      <x:c r="H157" s="117"/>
      <x:c r="I157" s="117"/>
      <x:c r="J157" s="117"/>
      <x:c r="K157" s="117"/>
      <x:c r="L157" s="117"/>
      <x:c r="M157" s="117"/>
      <x:c r="N157" s="117"/>
      <x:c r="O157" s="117"/>
      <x:c r="P157" s="117"/>
      <x:c r="Q157" s="117"/>
      <x:c r="R157" s="117"/>
      <x:c r="S157" s="117"/>
      <x:c r="T157" s="117"/>
      <x:c r="U157" s="117"/>
      <x:c r="V157" s="117"/>
      <x:c r="W157" s="117"/>
      <x:c r="X157" s="117"/>
      <x:c r="Y157" s="117"/>
      <x:c r="Z157" s="117"/>
    </x:row>
    <x:row r="158">
      <x:c r="A158" s="117"/>
      <x:c r="B158" s="117"/>
      <x:c r="C158" s="117"/>
      <x:c r="D158" s="117"/>
      <x:c r="E158" s="117"/>
      <x:c r="F158" s="117"/>
      <x:c r="G158" s="117"/>
      <x:c r="H158" s="117"/>
      <x:c r="I158" s="117"/>
      <x:c r="J158" s="117"/>
      <x:c r="K158" s="117"/>
      <x:c r="L158" s="117"/>
      <x:c r="M158" s="117"/>
      <x:c r="N158" s="117"/>
      <x:c r="O158" s="117"/>
      <x:c r="P158" s="117"/>
      <x:c r="Q158" s="117"/>
      <x:c r="R158" s="117"/>
      <x:c r="S158" s="117"/>
      <x:c r="T158" s="117"/>
      <x:c r="U158" s="117"/>
      <x:c r="V158" s="117"/>
      <x:c r="W158" s="117"/>
      <x:c r="X158" s="117"/>
      <x:c r="Y158" s="117"/>
      <x:c r="Z158" s="117"/>
    </x:row>
    <x:row r="159">
      <x:c r="A159" s="117"/>
      <x:c r="B159" s="117"/>
      <x:c r="C159" s="117"/>
      <x:c r="D159" s="117"/>
      <x:c r="E159" s="117"/>
      <x:c r="F159" s="117"/>
      <x:c r="G159" s="117"/>
      <x:c r="H159" s="117"/>
      <x:c r="I159" s="117"/>
      <x:c r="J159" s="117"/>
      <x:c r="K159" s="117"/>
      <x:c r="L159" s="117"/>
      <x:c r="M159" s="117"/>
      <x:c r="N159" s="117"/>
      <x:c r="O159" s="117"/>
      <x:c r="P159" s="117"/>
      <x:c r="Q159" s="117"/>
      <x:c r="R159" s="117"/>
      <x:c r="S159" s="117"/>
      <x:c r="T159" s="117"/>
      <x:c r="U159" s="117"/>
      <x:c r="V159" s="117"/>
      <x:c r="W159" s="117"/>
      <x:c r="X159" s="117"/>
      <x:c r="Y159" s="117"/>
      <x:c r="Z159" s="117"/>
    </x:row>
    <x:row r="160">
      <x:c r="A160" s="117"/>
      <x:c r="B160" s="117"/>
      <x:c r="C160" s="117"/>
      <x:c r="D160" s="117"/>
      <x:c r="E160" s="117"/>
      <x:c r="F160" s="117"/>
      <x:c r="G160" s="117"/>
      <x:c r="H160" s="117"/>
      <x:c r="I160" s="117"/>
      <x:c r="J160" s="117"/>
      <x:c r="K160" s="117"/>
      <x:c r="L160" s="117"/>
      <x:c r="M160" s="117"/>
      <x:c r="N160" s="117"/>
      <x:c r="O160" s="117"/>
      <x:c r="P160" s="117"/>
      <x:c r="Q160" s="117"/>
      <x:c r="R160" s="117"/>
      <x:c r="S160" s="117"/>
      <x:c r="T160" s="117"/>
      <x:c r="U160" s="117"/>
      <x:c r="V160" s="117"/>
      <x:c r="W160" s="117"/>
      <x:c r="X160" s="117"/>
      <x:c r="Y160" s="117"/>
      <x:c r="Z160" s="117"/>
    </x:row>
    <x:row r="161">
      <x:c r="A161" s="117"/>
      <x:c r="B161" s="117"/>
      <x:c r="C161" s="117"/>
      <x:c r="D161" s="117"/>
      <x:c r="E161" s="117"/>
      <x:c r="F161" s="117"/>
      <x:c r="G161" s="117"/>
      <x:c r="H161" s="117"/>
      <x:c r="I161" s="117"/>
      <x:c r="J161" s="117"/>
      <x:c r="K161" s="117"/>
      <x:c r="L161" s="117"/>
      <x:c r="M161" s="117"/>
      <x:c r="N161" s="117"/>
      <x:c r="O161" s="117"/>
      <x:c r="P161" s="117"/>
      <x:c r="Q161" s="117"/>
      <x:c r="R161" s="117"/>
      <x:c r="S161" s="117"/>
      <x:c r="T161" s="117"/>
      <x:c r="U161" s="117"/>
      <x:c r="V161" s="117"/>
      <x:c r="W161" s="117"/>
      <x:c r="X161" s="117"/>
      <x:c r="Y161" s="117"/>
      <x:c r="Z161" s="117"/>
    </x:row>
    <x:row r="162">
      <x:c r="A162" s="117"/>
      <x:c r="B162" s="117"/>
      <x:c r="C162" s="117"/>
      <x:c r="D162" s="117"/>
      <x:c r="E162" s="117"/>
      <x:c r="F162" s="117"/>
      <x:c r="G162" s="117"/>
      <x:c r="H162" s="117"/>
      <x:c r="I162" s="117"/>
      <x:c r="J162" s="117"/>
      <x:c r="K162" s="117"/>
      <x:c r="L162" s="117"/>
      <x:c r="M162" s="117"/>
      <x:c r="N162" s="117"/>
      <x:c r="O162" s="117"/>
      <x:c r="P162" s="117"/>
      <x:c r="Q162" s="117"/>
      <x:c r="R162" s="117"/>
      <x:c r="S162" s="117"/>
      <x:c r="T162" s="117"/>
      <x:c r="U162" s="117"/>
      <x:c r="V162" s="117"/>
      <x:c r="W162" s="117"/>
      <x:c r="X162" s="117"/>
      <x:c r="Y162" s="117"/>
      <x:c r="Z162" s="117"/>
    </x:row>
    <x:row r="163">
      <x:c r="A163" s="117"/>
      <x:c r="B163" s="117"/>
      <x:c r="C163" s="117"/>
      <x:c r="D163" s="117"/>
      <x:c r="E163" s="117"/>
      <x:c r="F163" s="117"/>
      <x:c r="G163" s="117"/>
      <x:c r="H163" s="117"/>
      <x:c r="I163" s="117"/>
      <x:c r="J163" s="117"/>
      <x:c r="K163" s="117"/>
      <x:c r="L163" s="117"/>
      <x:c r="M163" s="117"/>
      <x:c r="N163" s="117"/>
      <x:c r="O163" s="117"/>
      <x:c r="P163" s="117"/>
      <x:c r="Q163" s="117"/>
      <x:c r="R163" s="117"/>
      <x:c r="S163" s="117"/>
      <x:c r="T163" s="117"/>
      <x:c r="U163" s="117"/>
      <x:c r="V163" s="117"/>
      <x:c r="W163" s="117"/>
      <x:c r="X163" s="117"/>
      <x:c r="Y163" s="117"/>
      <x:c r="Z163" s="117"/>
    </x:row>
    <x:row r="164">
      <x:c r="A164" s="117"/>
      <x:c r="B164" s="117"/>
      <x:c r="C164" s="117"/>
      <x:c r="D164" s="117"/>
      <x:c r="E164" s="117"/>
      <x:c r="F164" s="117"/>
      <x:c r="G164" s="117"/>
      <x:c r="H164" s="117"/>
      <x:c r="I164" s="117"/>
      <x:c r="J164" s="117"/>
      <x:c r="K164" s="117"/>
      <x:c r="L164" s="117"/>
      <x:c r="M164" s="117"/>
      <x:c r="N164" s="117"/>
      <x:c r="O164" s="117"/>
      <x:c r="P164" s="117"/>
      <x:c r="Q164" s="117"/>
      <x:c r="R164" s="117"/>
      <x:c r="S164" s="117"/>
      <x:c r="T164" s="117"/>
      <x:c r="U164" s="117"/>
      <x:c r="V164" s="117"/>
      <x:c r="W164" s="117"/>
      <x:c r="X164" s="117"/>
      <x:c r="Y164" s="117"/>
      <x:c r="Z164" s="117"/>
    </x:row>
    <x:row r="165">
      <x:c r="A165" s="117"/>
      <x:c r="B165" s="117"/>
      <x:c r="C165" s="117"/>
      <x:c r="D165" s="117"/>
      <x:c r="E165" s="117"/>
      <x:c r="F165" s="117"/>
      <x:c r="G165" s="117"/>
      <x:c r="H165" s="117"/>
      <x:c r="I165" s="117"/>
      <x:c r="J165" s="117"/>
      <x:c r="K165" s="117"/>
      <x:c r="L165" s="117"/>
      <x:c r="M165" s="117"/>
      <x:c r="N165" s="117"/>
      <x:c r="O165" s="117"/>
      <x:c r="P165" s="117"/>
      <x:c r="Q165" s="117"/>
      <x:c r="R165" s="117"/>
      <x:c r="S165" s="117"/>
      <x:c r="T165" s="117"/>
      <x:c r="U165" s="117"/>
      <x:c r="V165" s="117"/>
      <x:c r="W165" s="117"/>
      <x:c r="X165" s="117"/>
      <x:c r="Y165" s="117"/>
      <x:c r="Z165" s="117"/>
    </x:row>
    <x:row r="166">
      <x:c r="A166" s="117"/>
      <x:c r="B166" s="117"/>
      <x:c r="C166" s="117"/>
      <x:c r="D166" s="117"/>
      <x:c r="E166" s="117"/>
      <x:c r="F166" s="117"/>
      <x:c r="G166" s="117"/>
      <x:c r="H166" s="117"/>
      <x:c r="I166" s="117"/>
      <x:c r="J166" s="117"/>
      <x:c r="K166" s="117"/>
      <x:c r="L166" s="117"/>
      <x:c r="M166" s="117"/>
      <x:c r="N166" s="117"/>
      <x:c r="O166" s="117"/>
      <x:c r="P166" s="117"/>
      <x:c r="Q166" s="117"/>
      <x:c r="R166" s="117"/>
      <x:c r="S166" s="117"/>
      <x:c r="T166" s="117"/>
      <x:c r="U166" s="117"/>
      <x:c r="V166" s="117"/>
      <x:c r="W166" s="117"/>
      <x:c r="X166" s="117"/>
      <x:c r="Y166" s="117"/>
      <x:c r="Z166" s="117"/>
    </x:row>
    <x:row r="167">
      <x:c r="A167" s="117"/>
      <x:c r="B167" s="117"/>
      <x:c r="C167" s="117"/>
      <x:c r="D167" s="117"/>
      <x:c r="E167" s="117"/>
      <x:c r="F167" s="117"/>
      <x:c r="G167" s="117"/>
      <x:c r="H167" s="117"/>
      <x:c r="I167" s="117"/>
      <x:c r="J167" s="117"/>
      <x:c r="K167" s="117"/>
      <x:c r="L167" s="117"/>
      <x:c r="M167" s="117"/>
      <x:c r="N167" s="117"/>
      <x:c r="O167" s="117"/>
      <x:c r="P167" s="117"/>
      <x:c r="Q167" s="117"/>
      <x:c r="R167" s="117"/>
      <x:c r="S167" s="117"/>
      <x:c r="T167" s="117"/>
      <x:c r="U167" s="117"/>
      <x:c r="V167" s="117"/>
      <x:c r="W167" s="117"/>
      <x:c r="X167" s="117"/>
      <x:c r="Y167" s="117"/>
      <x:c r="Z167" s="117"/>
    </x:row>
    <x:row r="168">
      <x:c r="A168" s="117"/>
      <x:c r="B168" s="117"/>
      <x:c r="C168" s="117"/>
      <x:c r="D168" s="117"/>
      <x:c r="E168" s="117"/>
      <x:c r="F168" s="117"/>
      <x:c r="G168" s="117"/>
      <x:c r="H168" s="117"/>
      <x:c r="I168" s="117"/>
      <x:c r="J168" s="117"/>
      <x:c r="K168" s="117"/>
      <x:c r="L168" s="117"/>
      <x:c r="M168" s="117"/>
      <x:c r="N168" s="117"/>
      <x:c r="O168" s="117"/>
      <x:c r="P168" s="117"/>
      <x:c r="Q168" s="117"/>
      <x:c r="R168" s="117"/>
      <x:c r="S168" s="117"/>
      <x:c r="T168" s="117"/>
      <x:c r="U168" s="117"/>
      <x:c r="V168" s="117"/>
      <x:c r="W168" s="117"/>
      <x:c r="X168" s="117"/>
      <x:c r="Y168" s="117"/>
      <x:c r="Z168" s="117"/>
    </x:row>
    <x:row r="169">
      <x:c r="A169" s="117"/>
      <x:c r="B169" s="117"/>
      <x:c r="C169" s="117"/>
      <x:c r="D169" s="117"/>
      <x:c r="E169" s="117"/>
      <x:c r="F169" s="117"/>
      <x:c r="G169" s="117"/>
      <x:c r="H169" s="117"/>
      <x:c r="I169" s="117"/>
      <x:c r="J169" s="117"/>
      <x:c r="K169" s="117"/>
      <x:c r="L169" s="117"/>
      <x:c r="M169" s="117"/>
      <x:c r="N169" s="117"/>
      <x:c r="O169" s="117"/>
      <x:c r="P169" s="117"/>
      <x:c r="Q169" s="117"/>
      <x:c r="R169" s="117"/>
      <x:c r="S169" s="117"/>
      <x:c r="T169" s="117"/>
      <x:c r="U169" s="117"/>
      <x:c r="V169" s="117"/>
      <x:c r="W169" s="117"/>
      <x:c r="X169" s="117"/>
      <x:c r="Y169" s="117"/>
      <x:c r="Z169" s="117"/>
    </x:row>
    <x:row r="170">
      <x:c r="A170" s="117"/>
      <x:c r="B170" s="117"/>
      <x:c r="C170" s="117"/>
      <x:c r="D170" s="117"/>
      <x:c r="E170" s="117"/>
      <x:c r="F170" s="117"/>
      <x:c r="G170" s="117"/>
      <x:c r="H170" s="117"/>
      <x:c r="I170" s="117"/>
      <x:c r="J170" s="117"/>
      <x:c r="K170" s="117"/>
      <x:c r="L170" s="117"/>
      <x:c r="M170" s="117"/>
      <x:c r="N170" s="117"/>
      <x:c r="O170" s="117"/>
      <x:c r="P170" s="117"/>
      <x:c r="Q170" s="117"/>
      <x:c r="R170" s="117"/>
      <x:c r="S170" s="117"/>
      <x:c r="T170" s="117"/>
      <x:c r="U170" s="117"/>
      <x:c r="V170" s="117"/>
      <x:c r="W170" s="117"/>
      <x:c r="X170" s="117"/>
      <x:c r="Y170" s="117"/>
      <x:c r="Z170" s="117"/>
    </x:row>
    <x:row r="171">
      <x:c r="A171" s="117"/>
      <x:c r="B171" s="117"/>
      <x:c r="C171" s="117"/>
      <x:c r="D171" s="117"/>
      <x:c r="E171" s="117"/>
      <x:c r="F171" s="117"/>
      <x:c r="G171" s="117"/>
      <x:c r="H171" s="117"/>
      <x:c r="I171" s="117"/>
      <x:c r="J171" s="117"/>
      <x:c r="K171" s="117"/>
      <x:c r="L171" s="117"/>
      <x:c r="M171" s="117"/>
      <x:c r="N171" s="117"/>
      <x:c r="O171" s="117"/>
      <x:c r="P171" s="117"/>
      <x:c r="Q171" s="117"/>
      <x:c r="R171" s="117"/>
      <x:c r="S171" s="117"/>
      <x:c r="T171" s="117"/>
      <x:c r="U171" s="117"/>
      <x:c r="V171" s="117"/>
      <x:c r="W171" s="117"/>
      <x:c r="X171" s="117"/>
      <x:c r="Y171" s="117"/>
      <x:c r="Z171" s="117"/>
    </x:row>
    <x:row r="172">
      <x:c r="A172" s="117"/>
      <x:c r="B172" s="117"/>
      <x:c r="C172" s="117"/>
      <x:c r="D172" s="117"/>
      <x:c r="E172" s="117"/>
      <x:c r="F172" s="117"/>
      <x:c r="G172" s="117"/>
      <x:c r="H172" s="117"/>
      <x:c r="I172" s="117"/>
      <x:c r="J172" s="117"/>
      <x:c r="K172" s="117"/>
      <x:c r="L172" s="117"/>
      <x:c r="M172" s="117"/>
      <x:c r="N172" s="117"/>
      <x:c r="O172" s="117"/>
      <x:c r="P172" s="117"/>
      <x:c r="Q172" s="117"/>
      <x:c r="R172" s="117"/>
      <x:c r="S172" s="117"/>
      <x:c r="T172" s="117"/>
      <x:c r="U172" s="117"/>
      <x:c r="V172" s="117"/>
      <x:c r="W172" s="117"/>
      <x:c r="X172" s="117"/>
      <x:c r="Y172" s="117"/>
      <x:c r="Z172" s="117"/>
    </x:row>
    <x:row r="173">
      <x:c r="A173" s="117"/>
      <x:c r="B173" s="117"/>
      <x:c r="C173" s="117"/>
      <x:c r="D173" s="117"/>
      <x:c r="E173" s="117"/>
      <x:c r="F173" s="117"/>
      <x:c r="G173" s="117"/>
      <x:c r="H173" s="117"/>
      <x:c r="I173" s="117"/>
      <x:c r="J173" s="117"/>
      <x:c r="K173" s="117"/>
      <x:c r="L173" s="117"/>
      <x:c r="M173" s="117"/>
      <x:c r="N173" s="117"/>
      <x:c r="O173" s="117"/>
      <x:c r="P173" s="117"/>
      <x:c r="Q173" s="117"/>
      <x:c r="R173" s="117"/>
      <x:c r="S173" s="117"/>
      <x:c r="T173" s="117"/>
      <x:c r="U173" s="117"/>
      <x:c r="V173" s="117"/>
      <x:c r="W173" s="117"/>
      <x:c r="X173" s="117"/>
      <x:c r="Y173" s="117"/>
      <x:c r="Z173" s="117"/>
    </x:row>
    <x:row r="174">
      <x:c r="A174" s="117"/>
      <x:c r="B174" s="117"/>
      <x:c r="C174" s="117"/>
      <x:c r="D174" s="117"/>
      <x:c r="E174" s="117"/>
      <x:c r="F174" s="117"/>
      <x:c r="G174" s="117"/>
      <x:c r="H174" s="117"/>
      <x:c r="I174" s="117"/>
      <x:c r="J174" s="117"/>
      <x:c r="K174" s="117"/>
      <x:c r="L174" s="117"/>
      <x:c r="M174" s="117"/>
      <x:c r="N174" s="117"/>
      <x:c r="O174" s="117"/>
      <x:c r="P174" s="117"/>
      <x:c r="Q174" s="117"/>
      <x:c r="R174" s="117"/>
      <x:c r="S174" s="117"/>
      <x:c r="T174" s="117"/>
      <x:c r="U174" s="117"/>
      <x:c r="V174" s="117"/>
      <x:c r="W174" s="117"/>
      <x:c r="X174" s="117"/>
      <x:c r="Y174" s="117"/>
      <x:c r="Z174" s="117"/>
    </x:row>
    <x:row r="175">
      <x:c r="A175" s="117"/>
      <x:c r="B175" s="117"/>
      <x:c r="C175" s="117"/>
      <x:c r="D175" s="117"/>
      <x:c r="E175" s="117"/>
      <x:c r="F175" s="117"/>
      <x:c r="G175" s="117"/>
      <x:c r="H175" s="117"/>
      <x:c r="I175" s="117"/>
      <x:c r="J175" s="117"/>
      <x:c r="K175" s="117"/>
      <x:c r="L175" s="117"/>
      <x:c r="M175" s="117"/>
      <x:c r="N175" s="117"/>
      <x:c r="O175" s="117"/>
      <x:c r="P175" s="117"/>
      <x:c r="Q175" s="117"/>
      <x:c r="R175" s="117"/>
      <x:c r="S175" s="117"/>
      <x:c r="T175" s="117"/>
      <x:c r="U175" s="117"/>
      <x:c r="V175" s="117"/>
      <x:c r="W175" s="117"/>
      <x:c r="X175" s="117"/>
      <x:c r="Y175" s="117"/>
      <x:c r="Z175" s="117"/>
    </x:row>
    <x:row r="176">
      <x:c r="A176" s="117"/>
      <x:c r="B176" s="117"/>
      <x:c r="C176" s="117"/>
      <x:c r="D176" s="117"/>
      <x:c r="E176" s="117"/>
      <x:c r="F176" s="117"/>
      <x:c r="G176" s="117"/>
      <x:c r="H176" s="117"/>
      <x:c r="I176" s="117"/>
      <x:c r="J176" s="117"/>
      <x:c r="K176" s="117"/>
      <x:c r="L176" s="117"/>
      <x:c r="M176" s="117"/>
      <x:c r="N176" s="117"/>
      <x:c r="O176" s="117"/>
      <x:c r="P176" s="117"/>
      <x:c r="Q176" s="117"/>
      <x:c r="R176" s="117"/>
      <x:c r="S176" s="117"/>
      <x:c r="T176" s="117"/>
      <x:c r="U176" s="117"/>
      <x:c r="V176" s="117"/>
      <x:c r="W176" s="117"/>
      <x:c r="X176" s="117"/>
      <x:c r="Y176" s="117"/>
      <x:c r="Z176" s="117"/>
    </x:row>
    <x:row r="177">
      <x:c r="A177" s="117"/>
      <x:c r="B177" s="117"/>
      <x:c r="C177" s="117"/>
      <x:c r="D177" s="117"/>
      <x:c r="E177" s="117"/>
      <x:c r="F177" s="117"/>
      <x:c r="G177" s="117"/>
      <x:c r="H177" s="117"/>
      <x:c r="I177" s="117"/>
      <x:c r="J177" s="117"/>
      <x:c r="K177" s="117"/>
      <x:c r="L177" s="117"/>
      <x:c r="M177" s="117"/>
      <x:c r="N177" s="117"/>
      <x:c r="O177" s="117"/>
      <x:c r="P177" s="117"/>
      <x:c r="Q177" s="117"/>
      <x:c r="R177" s="117"/>
      <x:c r="S177" s="117"/>
      <x:c r="T177" s="117"/>
      <x:c r="U177" s="117"/>
      <x:c r="V177" s="117"/>
      <x:c r="W177" s="117"/>
      <x:c r="X177" s="117"/>
      <x:c r="Y177" s="117"/>
      <x:c r="Z177" s="117"/>
    </x:row>
    <x:row r="178">
      <x:c r="A178" s="117"/>
      <x:c r="B178" s="117"/>
      <x:c r="C178" s="117"/>
      <x:c r="D178" s="117"/>
      <x:c r="E178" s="117"/>
      <x:c r="F178" s="117"/>
      <x:c r="G178" s="117"/>
      <x:c r="H178" s="117"/>
      <x:c r="I178" s="117"/>
      <x:c r="J178" s="117"/>
      <x:c r="K178" s="117"/>
      <x:c r="L178" s="117"/>
      <x:c r="M178" s="117"/>
      <x:c r="N178" s="117"/>
      <x:c r="O178" s="117"/>
      <x:c r="P178" s="117"/>
      <x:c r="Q178" s="117"/>
      <x:c r="R178" s="117"/>
      <x:c r="S178" s="117"/>
      <x:c r="T178" s="117"/>
      <x:c r="U178" s="117"/>
      <x:c r="V178" s="117"/>
      <x:c r="W178" s="117"/>
      <x:c r="X178" s="117"/>
      <x:c r="Y178" s="117"/>
      <x:c r="Z178" s="117"/>
    </x:row>
    <x:row r="179">
      <x:c r="A179" s="117"/>
      <x:c r="B179" s="117"/>
      <x:c r="C179" s="117"/>
      <x:c r="D179" s="117"/>
      <x:c r="E179" s="117"/>
      <x:c r="F179" s="117"/>
      <x:c r="G179" s="117"/>
      <x:c r="H179" s="117"/>
      <x:c r="I179" s="117"/>
      <x:c r="J179" s="117"/>
      <x:c r="K179" s="117"/>
      <x:c r="L179" s="117"/>
      <x:c r="M179" s="117"/>
      <x:c r="N179" s="117"/>
      <x:c r="O179" s="117"/>
      <x:c r="P179" s="117"/>
      <x:c r="Q179" s="117"/>
      <x:c r="R179" s="117"/>
      <x:c r="S179" s="117"/>
      <x:c r="T179" s="117"/>
      <x:c r="U179" s="117"/>
      <x:c r="V179" s="117"/>
      <x:c r="W179" s="117"/>
      <x:c r="X179" s="117"/>
      <x:c r="Y179" s="117"/>
      <x:c r="Z179" s="117"/>
    </x:row>
    <x:row r="180">
      <x:c r="A180" s="117"/>
      <x:c r="B180" s="117"/>
      <x:c r="C180" s="117"/>
      <x:c r="D180" s="117"/>
      <x:c r="E180" s="117"/>
      <x:c r="F180" s="117"/>
      <x:c r="G180" s="117"/>
      <x:c r="H180" s="117"/>
      <x:c r="I180" s="117"/>
      <x:c r="J180" s="117"/>
      <x:c r="K180" s="117"/>
      <x:c r="L180" s="117"/>
      <x:c r="M180" s="117"/>
      <x:c r="N180" s="117"/>
      <x:c r="O180" s="117"/>
      <x:c r="P180" s="117"/>
      <x:c r="Q180" s="117"/>
      <x:c r="R180" s="117"/>
      <x:c r="S180" s="117"/>
      <x:c r="T180" s="117"/>
      <x:c r="U180" s="117"/>
      <x:c r="V180" s="117"/>
      <x:c r="W180" s="117"/>
      <x:c r="X180" s="117"/>
      <x:c r="Y180" s="117"/>
      <x:c r="Z180" s="117"/>
    </x:row>
    <x:row r="181">
      <x:c r="A181" s="117"/>
      <x:c r="B181" s="117"/>
      <x:c r="C181" s="117"/>
      <x:c r="D181" s="117"/>
      <x:c r="E181" s="117"/>
      <x:c r="F181" s="117"/>
      <x:c r="G181" s="117"/>
      <x:c r="H181" s="117"/>
      <x:c r="I181" s="117"/>
      <x:c r="J181" s="117"/>
      <x:c r="K181" s="117"/>
      <x:c r="L181" s="117"/>
      <x:c r="M181" s="117"/>
      <x:c r="N181" s="117"/>
      <x:c r="O181" s="117"/>
      <x:c r="P181" s="117"/>
      <x:c r="Q181" s="117"/>
      <x:c r="R181" s="117"/>
      <x:c r="S181" s="117"/>
      <x:c r="T181" s="117"/>
      <x:c r="U181" s="117"/>
      <x:c r="V181" s="117"/>
      <x:c r="W181" s="117"/>
      <x:c r="X181" s="117"/>
      <x:c r="Y181" s="117"/>
      <x:c r="Z181" s="117"/>
    </x:row>
    <x:row r="182">
      <x:c r="A182" s="117"/>
      <x:c r="B182" s="117"/>
      <x:c r="C182" s="117"/>
      <x:c r="D182" s="117"/>
      <x:c r="E182" s="117"/>
      <x:c r="F182" s="117"/>
      <x:c r="G182" s="117"/>
      <x:c r="H182" s="117"/>
      <x:c r="I182" s="117"/>
      <x:c r="J182" s="117"/>
      <x:c r="K182" s="117"/>
      <x:c r="L182" s="117"/>
      <x:c r="M182" s="117"/>
      <x:c r="N182" s="117"/>
      <x:c r="O182" s="117"/>
      <x:c r="P182" s="117"/>
      <x:c r="Q182" s="117"/>
      <x:c r="R182" s="117"/>
      <x:c r="S182" s="117"/>
      <x:c r="T182" s="117"/>
      <x:c r="U182" s="117"/>
      <x:c r="V182" s="117"/>
      <x:c r="W182" s="117"/>
      <x:c r="X182" s="117"/>
      <x:c r="Y182" s="117"/>
      <x:c r="Z182" s="117"/>
    </x:row>
    <x:row r="183">
      <x:c r="A183" s="117"/>
      <x:c r="B183" s="117"/>
      <x:c r="C183" s="117"/>
      <x:c r="D183" s="117"/>
      <x:c r="E183" s="117"/>
      <x:c r="F183" s="117"/>
      <x:c r="G183" s="117"/>
      <x:c r="H183" s="117"/>
      <x:c r="I183" s="117"/>
      <x:c r="J183" s="117"/>
      <x:c r="K183" s="117"/>
      <x:c r="L183" s="117"/>
      <x:c r="M183" s="117"/>
      <x:c r="N183" s="117"/>
      <x:c r="O183" s="117"/>
      <x:c r="P183" s="117"/>
      <x:c r="Q183" s="117"/>
      <x:c r="R183" s="117"/>
      <x:c r="S183" s="117"/>
      <x:c r="T183" s="117"/>
      <x:c r="U183" s="117"/>
      <x:c r="V183" s="117"/>
      <x:c r="W183" s="117"/>
      <x:c r="X183" s="117"/>
      <x:c r="Y183" s="117"/>
      <x:c r="Z183" s="117"/>
    </x:row>
    <x:row r="184">
      <x:c r="A184" s="117"/>
      <x:c r="B184" s="117"/>
      <x:c r="C184" s="117"/>
      <x:c r="D184" s="117"/>
      <x:c r="E184" s="117"/>
      <x:c r="F184" s="117"/>
      <x:c r="G184" s="117"/>
      <x:c r="H184" s="117"/>
      <x:c r="I184" s="117"/>
      <x:c r="J184" s="117"/>
      <x:c r="K184" s="117"/>
      <x:c r="L184" s="117"/>
      <x:c r="M184" s="117"/>
      <x:c r="N184" s="117"/>
      <x:c r="O184" s="117"/>
      <x:c r="P184" s="117"/>
      <x:c r="Q184" s="117"/>
      <x:c r="R184" s="117"/>
      <x:c r="S184" s="117"/>
      <x:c r="T184" s="117"/>
      <x:c r="U184" s="117"/>
      <x:c r="V184" s="117"/>
      <x:c r="W184" s="117"/>
      <x:c r="X184" s="117"/>
      <x:c r="Y184" s="117"/>
      <x:c r="Z184" s="117"/>
    </x:row>
    <x:row r="185">
      <x:c r="A185" s="117"/>
      <x:c r="B185" s="117"/>
      <x:c r="C185" s="117"/>
      <x:c r="D185" s="117"/>
      <x:c r="E185" s="117"/>
      <x:c r="F185" s="117"/>
      <x:c r="G185" s="117"/>
      <x:c r="H185" s="117"/>
      <x:c r="I185" s="117"/>
      <x:c r="J185" s="117"/>
      <x:c r="K185" s="117"/>
      <x:c r="L185" s="117"/>
      <x:c r="M185" s="117"/>
      <x:c r="N185" s="117"/>
      <x:c r="O185" s="117"/>
      <x:c r="P185" s="117"/>
      <x:c r="Q185" s="117"/>
      <x:c r="R185" s="117"/>
      <x:c r="S185" s="117"/>
      <x:c r="T185" s="117"/>
      <x:c r="U185" s="117"/>
      <x:c r="V185" s="117"/>
      <x:c r="W185" s="117"/>
      <x:c r="X185" s="117"/>
      <x:c r="Y185" s="117"/>
      <x:c r="Z185" s="117"/>
    </x:row>
    <x:row r="186">
      <x:c r="A186" s="117"/>
      <x:c r="B186" s="117"/>
      <x:c r="C186" s="117"/>
      <x:c r="D186" s="117"/>
      <x:c r="E186" s="117"/>
      <x:c r="F186" s="117"/>
      <x:c r="G186" s="117"/>
      <x:c r="H186" s="117"/>
      <x:c r="I186" s="117"/>
      <x:c r="J186" s="117"/>
      <x:c r="K186" s="117"/>
      <x:c r="L186" s="117"/>
      <x:c r="M186" s="117"/>
      <x:c r="N186" s="117"/>
      <x:c r="O186" s="117"/>
      <x:c r="P186" s="117"/>
      <x:c r="Q186" s="117"/>
      <x:c r="R186" s="117"/>
      <x:c r="S186" s="117"/>
      <x:c r="T186" s="117"/>
      <x:c r="U186" s="117"/>
      <x:c r="V186" s="117"/>
      <x:c r="W186" s="117"/>
      <x:c r="X186" s="117"/>
      <x:c r="Y186" s="117"/>
      <x:c r="Z186" s="117"/>
    </x:row>
    <x:row r="187">
      <x:c r="A187" s="117"/>
      <x:c r="B187" s="117"/>
      <x:c r="C187" s="117"/>
      <x:c r="D187" s="117"/>
      <x:c r="E187" s="117"/>
      <x:c r="F187" s="117"/>
      <x:c r="G187" s="117"/>
      <x:c r="H187" s="117"/>
      <x:c r="I187" s="117"/>
      <x:c r="J187" s="117"/>
      <x:c r="K187" s="117"/>
      <x:c r="L187" s="117"/>
      <x:c r="M187" s="117"/>
      <x:c r="N187" s="117"/>
      <x:c r="O187" s="117"/>
      <x:c r="P187" s="117"/>
      <x:c r="Q187" s="117"/>
      <x:c r="R187" s="117"/>
      <x:c r="S187" s="117"/>
      <x:c r="T187" s="117"/>
      <x:c r="U187" s="117"/>
      <x:c r="V187" s="117"/>
      <x:c r="W187" s="117"/>
      <x:c r="X187" s="117"/>
      <x:c r="Y187" s="117"/>
      <x:c r="Z187" s="117"/>
    </x:row>
    <x:row r="188">
      <x:c r="A188" s="117"/>
      <x:c r="B188" s="117"/>
      <x:c r="C188" s="117"/>
      <x:c r="D188" s="117"/>
      <x:c r="E188" s="117"/>
      <x:c r="F188" s="117"/>
      <x:c r="G188" s="117"/>
      <x:c r="H188" s="117"/>
      <x:c r="I188" s="117"/>
      <x:c r="J188" s="117"/>
      <x:c r="K188" s="117"/>
      <x:c r="L188" s="117"/>
      <x:c r="M188" s="117"/>
      <x:c r="N188" s="117"/>
      <x:c r="O188" s="117"/>
      <x:c r="P188" s="117"/>
      <x:c r="Q188" s="117"/>
      <x:c r="R188" s="117"/>
      <x:c r="S188" s="117"/>
      <x:c r="T188" s="117"/>
      <x:c r="U188" s="117"/>
      <x:c r="V188" s="117"/>
      <x:c r="W188" s="117"/>
      <x:c r="X188" s="117"/>
      <x:c r="Y188" s="117"/>
      <x:c r="Z188" s="117"/>
    </x:row>
    <x:row r="189">
      <x:c r="A189" s="117"/>
      <x:c r="B189" s="117"/>
      <x:c r="C189" s="117"/>
      <x:c r="D189" s="117"/>
      <x:c r="E189" s="117"/>
      <x:c r="F189" s="117"/>
      <x:c r="G189" s="117"/>
      <x:c r="H189" s="117"/>
      <x:c r="I189" s="117"/>
      <x:c r="J189" s="117"/>
      <x:c r="K189" s="117"/>
      <x:c r="L189" s="117"/>
      <x:c r="M189" s="117"/>
      <x:c r="N189" s="117"/>
      <x:c r="O189" s="117"/>
      <x:c r="P189" s="117"/>
      <x:c r="Q189" s="117"/>
      <x:c r="R189" s="117"/>
      <x:c r="S189" s="117"/>
      <x:c r="T189" s="117"/>
      <x:c r="U189" s="117"/>
      <x:c r="V189" s="117"/>
      <x:c r="W189" s="117"/>
      <x:c r="X189" s="117"/>
      <x:c r="Y189" s="117"/>
      <x:c r="Z189" s="117"/>
    </x:row>
    <x:row r="190">
      <x:c r="A190" s="117"/>
      <x:c r="B190" s="117"/>
      <x:c r="C190" s="117"/>
      <x:c r="D190" s="117"/>
      <x:c r="E190" s="117"/>
      <x:c r="F190" s="117"/>
      <x:c r="G190" s="117"/>
      <x:c r="H190" s="117"/>
      <x:c r="I190" s="117"/>
      <x:c r="J190" s="117"/>
      <x:c r="K190" s="117"/>
      <x:c r="L190" s="117"/>
      <x:c r="M190" s="117"/>
      <x:c r="N190" s="117"/>
      <x:c r="O190" s="117"/>
      <x:c r="P190" s="117"/>
      <x:c r="Q190" s="117"/>
      <x:c r="R190" s="117"/>
      <x:c r="S190" s="117"/>
      <x:c r="T190" s="117"/>
      <x:c r="U190" s="117"/>
      <x:c r="V190" s="117"/>
      <x:c r="W190" s="117"/>
      <x:c r="X190" s="117"/>
      <x:c r="Y190" s="117"/>
      <x:c r="Z190" s="117"/>
    </x:row>
    <x:row r="191">
      <x:c r="A191" s="117"/>
      <x:c r="B191" s="117"/>
      <x:c r="C191" s="117"/>
      <x:c r="D191" s="117"/>
      <x:c r="E191" s="117"/>
      <x:c r="F191" s="117"/>
      <x:c r="G191" s="117"/>
      <x:c r="H191" s="117"/>
      <x:c r="I191" s="117"/>
      <x:c r="J191" s="117"/>
      <x:c r="K191" s="117"/>
      <x:c r="L191" s="117"/>
      <x:c r="M191" s="117"/>
      <x:c r="N191" s="117"/>
      <x:c r="O191" s="117"/>
      <x:c r="P191" s="117"/>
      <x:c r="Q191" s="117"/>
      <x:c r="R191" s="117"/>
      <x:c r="S191" s="117"/>
      <x:c r="T191" s="117"/>
      <x:c r="U191" s="117"/>
      <x:c r="V191" s="117"/>
      <x:c r="W191" s="117"/>
      <x:c r="X191" s="117"/>
      <x:c r="Y191" s="117"/>
      <x:c r="Z191" s="117"/>
    </x:row>
    <x:row r="192">
      <x:c r="A192" s="117"/>
      <x:c r="B192" s="117"/>
      <x:c r="C192" s="117"/>
      <x:c r="D192" s="117"/>
      <x:c r="E192" s="117"/>
      <x:c r="F192" s="117"/>
      <x:c r="G192" s="117"/>
      <x:c r="H192" s="117"/>
      <x:c r="I192" s="117"/>
      <x:c r="J192" s="117"/>
      <x:c r="K192" s="117"/>
      <x:c r="L192" s="117"/>
      <x:c r="M192" s="117"/>
      <x:c r="N192" s="117"/>
      <x:c r="O192" s="117"/>
      <x:c r="P192" s="117"/>
      <x:c r="Q192" s="117"/>
      <x:c r="R192" s="117"/>
      <x:c r="S192" s="117"/>
      <x:c r="T192" s="117"/>
      <x:c r="U192" s="117"/>
      <x:c r="V192" s="117"/>
      <x:c r="W192" s="117"/>
      <x:c r="X192" s="117"/>
      <x:c r="Y192" s="117"/>
      <x:c r="Z192" s="117"/>
    </x:row>
    <x:row r="193">
      <x:c r="A193" s="117"/>
      <x:c r="B193" s="117"/>
      <x:c r="C193" s="117"/>
      <x:c r="D193" s="117"/>
      <x:c r="E193" s="117"/>
      <x:c r="F193" s="117"/>
      <x:c r="G193" s="117"/>
      <x:c r="H193" s="117"/>
      <x:c r="I193" s="117"/>
      <x:c r="J193" s="117"/>
      <x:c r="K193" s="117"/>
      <x:c r="L193" s="117"/>
      <x:c r="M193" s="117"/>
      <x:c r="N193" s="117"/>
      <x:c r="O193" s="117"/>
      <x:c r="P193" s="117"/>
      <x:c r="Q193" s="117"/>
      <x:c r="R193" s="117"/>
      <x:c r="S193" s="117"/>
      <x:c r="T193" s="117"/>
      <x:c r="U193" s="117"/>
      <x:c r="V193" s="117"/>
      <x:c r="W193" s="117"/>
      <x:c r="X193" s="117"/>
      <x:c r="Y193" s="117"/>
      <x:c r="Z193" s="117"/>
    </x:row>
    <x:row r="194">
      <x:c r="A194" s="117"/>
      <x:c r="B194" s="117"/>
      <x:c r="C194" s="117"/>
      <x:c r="D194" s="117"/>
      <x:c r="E194" s="117"/>
      <x:c r="F194" s="117"/>
      <x:c r="G194" s="117"/>
      <x:c r="H194" s="117"/>
      <x:c r="I194" s="117"/>
      <x:c r="J194" s="117"/>
      <x:c r="K194" s="117"/>
      <x:c r="L194" s="117"/>
      <x:c r="M194" s="117"/>
      <x:c r="N194" s="117"/>
      <x:c r="O194" s="117"/>
      <x:c r="P194" s="117"/>
      <x:c r="Q194" s="117"/>
      <x:c r="R194" s="117"/>
      <x:c r="S194" s="117"/>
      <x:c r="T194" s="117"/>
      <x:c r="U194" s="117"/>
      <x:c r="V194" s="117"/>
      <x:c r="W194" s="117"/>
      <x:c r="X194" s="117"/>
      <x:c r="Y194" s="117"/>
      <x:c r="Z194" s="117"/>
    </x:row>
    <x:row r="195">
      <x:c r="A195" s="117"/>
      <x:c r="B195" s="117"/>
      <x:c r="C195" s="117"/>
      <x:c r="D195" s="117"/>
      <x:c r="E195" s="117"/>
      <x:c r="F195" s="117"/>
      <x:c r="G195" s="117"/>
      <x:c r="H195" s="117"/>
      <x:c r="I195" s="117"/>
      <x:c r="J195" s="117"/>
      <x:c r="K195" s="117"/>
      <x:c r="L195" s="117"/>
      <x:c r="M195" s="117"/>
      <x:c r="N195" s="117"/>
      <x:c r="O195" s="117"/>
      <x:c r="P195" s="117"/>
      <x:c r="Q195" s="117"/>
      <x:c r="R195" s="117"/>
      <x:c r="S195" s="117"/>
      <x:c r="T195" s="117"/>
      <x:c r="U195" s="117"/>
      <x:c r="V195" s="117"/>
      <x:c r="W195" s="117"/>
      <x:c r="X195" s="117"/>
      <x:c r="Y195" s="117"/>
      <x:c r="Z195" s="117"/>
    </x:row>
    <x:row r="196">
      <x:c r="A196" s="117"/>
      <x:c r="B196" s="117"/>
      <x:c r="C196" s="117"/>
      <x:c r="D196" s="117"/>
      <x:c r="E196" s="117"/>
      <x:c r="F196" s="117"/>
      <x:c r="G196" s="117"/>
      <x:c r="H196" s="117"/>
      <x:c r="I196" s="117"/>
      <x:c r="J196" s="117"/>
      <x:c r="K196" s="117"/>
      <x:c r="L196" s="117"/>
      <x:c r="M196" s="117"/>
      <x:c r="N196" s="117"/>
      <x:c r="O196" s="117"/>
      <x:c r="P196" s="117"/>
      <x:c r="Q196" s="117"/>
      <x:c r="R196" s="117"/>
      <x:c r="S196" s="117"/>
      <x:c r="T196" s="117"/>
      <x:c r="U196" s="117"/>
      <x:c r="V196" s="117"/>
      <x:c r="W196" s="117"/>
      <x:c r="X196" s="117"/>
      <x:c r="Y196" s="117"/>
      <x:c r="Z196" s="117"/>
    </x:row>
    <x:row r="197">
      <x:c r="A197" s="117"/>
      <x:c r="B197" s="117"/>
      <x:c r="C197" s="117"/>
      <x:c r="D197" s="117"/>
      <x:c r="E197" s="117"/>
      <x:c r="F197" s="117"/>
      <x:c r="G197" s="117"/>
      <x:c r="H197" s="117"/>
      <x:c r="I197" s="117"/>
      <x:c r="J197" s="117"/>
      <x:c r="K197" s="117"/>
      <x:c r="L197" s="117"/>
      <x:c r="M197" s="117"/>
      <x:c r="N197" s="117"/>
      <x:c r="O197" s="117"/>
      <x:c r="P197" s="117"/>
      <x:c r="Q197" s="117"/>
      <x:c r="R197" s="117"/>
      <x:c r="S197" s="117"/>
      <x:c r="T197" s="117"/>
      <x:c r="U197" s="117"/>
      <x:c r="V197" s="117"/>
      <x:c r="W197" s="117"/>
      <x:c r="X197" s="117"/>
      <x:c r="Y197" s="117"/>
      <x:c r="Z197" s="117"/>
    </x:row>
    <x:row r="198">
      <x:c r="A198" s="117"/>
      <x:c r="B198" s="117"/>
      <x:c r="C198" s="117"/>
      <x:c r="D198" s="117"/>
      <x:c r="E198" s="117"/>
      <x:c r="F198" s="117"/>
      <x:c r="G198" s="117"/>
      <x:c r="H198" s="117"/>
      <x:c r="I198" s="117"/>
      <x:c r="J198" s="117"/>
      <x:c r="K198" s="117"/>
      <x:c r="L198" s="117"/>
      <x:c r="M198" s="117"/>
      <x:c r="N198" s="117"/>
      <x:c r="O198" s="117"/>
      <x:c r="P198" s="117"/>
      <x:c r="Q198" s="117"/>
      <x:c r="R198" s="117"/>
      <x:c r="S198" s="117"/>
      <x:c r="T198" s="117"/>
      <x:c r="U198" s="117"/>
      <x:c r="V198" s="117"/>
      <x:c r="W198" s="117"/>
      <x:c r="X198" s="117"/>
      <x:c r="Y198" s="117"/>
      <x:c r="Z198" s="117"/>
    </x:row>
    <x:row r="199">
      <x:c r="A199" s="117"/>
      <x:c r="B199" s="117"/>
      <x:c r="C199" s="117"/>
      <x:c r="D199" s="117"/>
      <x:c r="E199" s="117"/>
      <x:c r="F199" s="117"/>
      <x:c r="G199" s="117"/>
      <x:c r="H199" s="117"/>
      <x:c r="I199" s="117"/>
      <x:c r="J199" s="117"/>
      <x:c r="K199" s="117"/>
      <x:c r="L199" s="117"/>
      <x:c r="M199" s="117"/>
      <x:c r="N199" s="117"/>
      <x:c r="O199" s="117"/>
      <x:c r="P199" s="117"/>
      <x:c r="Q199" s="117"/>
      <x:c r="R199" s="117"/>
      <x:c r="S199" s="117"/>
      <x:c r="T199" s="117"/>
      <x:c r="U199" s="117"/>
      <x:c r="V199" s="117"/>
      <x:c r="W199" s="117"/>
      <x:c r="X199" s="117"/>
      <x:c r="Y199" s="117"/>
      <x:c r="Z199" s="117"/>
    </x:row>
    <x:row r="200">
      <x:c r="A200" s="117"/>
      <x:c r="B200" s="117"/>
      <x:c r="C200" s="117"/>
      <x:c r="D200" s="117"/>
      <x:c r="E200" s="117"/>
      <x:c r="F200" s="117"/>
      <x:c r="G200" s="117"/>
      <x:c r="H200" s="117"/>
      <x:c r="I200" s="117"/>
      <x:c r="J200" s="117"/>
      <x:c r="K200" s="117"/>
      <x:c r="L200" s="117"/>
      <x:c r="M200" s="117"/>
      <x:c r="N200" s="117"/>
      <x:c r="O200" s="117"/>
      <x:c r="P200" s="117"/>
      <x:c r="Q200" s="117"/>
      <x:c r="R200" s="117"/>
      <x:c r="S200" s="117"/>
      <x:c r="T200" s="117"/>
      <x:c r="U200" s="117"/>
      <x:c r="V200" s="117"/>
      <x:c r="W200" s="117"/>
      <x:c r="X200" s="117"/>
      <x:c r="Y200" s="117"/>
      <x:c r="Z200" s="117"/>
    </x:row>
  </x:sheetData>
  <x:mergeCells>
    <x:mergeCell ref="A1:H1"/>
    <x:mergeCell ref="A2:H2"/>
  </x:mergeCells>
  <x:pageMargins left="0.7" right="0.7" top="0.75" bottom="0.75" header="0.3" footer="0.3"/>
</x:worksheet>
</file>

<file path=xl/worksheets/sheet8.xml><?xml version="1.0" encoding="utf-8"?>
<x:worksheet xmlns:x="http://schemas.openxmlformats.org/spreadsheetml/2006/main">
  <x:sheetFormatPr defaultRowHeight="15"/>
  <x:cols>
    <x:col min="1" max="1" width="20" hidden="0" customWidth="1"/>
    <x:col min="2" max="2" width="14" hidden="0" customWidth="1"/>
    <x:col min="3" max="3" width="18" hidden="0" customWidth="1"/>
    <x:col min="4" max="4" width="10" hidden="0" customWidth="1"/>
    <x:col min="5" max="5" width="34" hidden="0" customWidth="1"/>
    <x:col min="6" max="6" width="24" hidden="0" customWidth="1"/>
    <x:col min="7" max="7" width="9" hidden="0" customWidth="1"/>
    <x:col min="8" max="8" width="40" hidden="0" customWidth="1"/>
    <x:col min="9" max="9" width="42" hidden="0" customWidth="1"/>
    <x:col min="10" max="10" width="42" hidden="0" customWidth="1"/>
    <x:col min="11" max="11" width="42" hidden="0" customWidth="1"/>
    <x:col min="12" max="12" width="10" hidden="0" customWidth="1"/>
    <x:col min="13" max="13" width="24" hidden="0" customWidth="1"/>
    <x:col min="14" max="14" width="16" hidden="0" customWidth="1"/>
    <x:col min="15" max="15" width="14" hidden="0" customWidth="1"/>
    <x:col min="16" max="16" width="24" hidden="0" customWidth="1"/>
  </x:cols>
  <x:sheetData>
    <x:row r="1" ht="28" customHeight="1">
      <x:c r="A1" s="116" t="str">
        <x:v>07_コメントコード</x:v>
      </x:c>
      <x:c r="B1" s="116"/>
      <x:c r="C1" s="116"/>
      <x:c r="D1" s="116"/>
      <x:c r="E1" s="116"/>
      <x:c r="F1" s="116"/>
      <x:c r="G1" s="116"/>
      <x:c r="H1" s="116"/>
      <x:c r="I1" s="116"/>
      <x:c r="J1" s="116"/>
      <x:c r="K1" s="116"/>
      <x:c r="L1" s="116"/>
      <x:c r="M1" s="116"/>
      <x:c r="N1" s="116"/>
      <x:c r="O1" s="116"/>
      <x:c r="P1" s="116"/>
      <x:c r="Q1" s="117"/>
      <x:c r="R1" s="117"/>
      <x:c r="S1" s="117"/>
      <x:c r="T1" s="117"/>
      <x:c r="U1" s="117"/>
      <x:c r="V1" s="117"/>
      <x:c r="W1" s="117"/>
      <x:c r="X1" s="117"/>
      <x:c r="Y1" s="117"/>
      <x:c r="Z1" s="117"/>
    </x:row>
    <x:row r="2" ht="34" customHeight="1">
      <x:c r="A2" s="118" t="str">
        <x:v>承認済みコメント部品の初期骨格。AIは選択済み部品を意味変更せず整文する。</x:v>
      </x:c>
      <x:c r="B2" s="118"/>
      <x:c r="C2" s="118"/>
      <x:c r="D2" s="118"/>
      <x:c r="E2" s="118"/>
      <x:c r="F2" s="118"/>
      <x:c r="G2" s="118"/>
      <x:c r="H2" s="118"/>
      <x:c r="I2" s="118"/>
      <x:c r="J2" s="118"/>
      <x:c r="K2" s="118"/>
      <x:c r="L2" s="118"/>
      <x:c r="M2" s="118"/>
      <x:c r="N2" s="118"/>
      <x:c r="O2" s="118"/>
      <x:c r="P2" s="118"/>
      <x:c r="Q2" s="117"/>
      <x:c r="R2" s="117"/>
      <x:c r="S2" s="117"/>
      <x:c r="T2" s="117"/>
      <x:c r="U2" s="117"/>
      <x:c r="V2" s="117"/>
      <x:c r="W2" s="117"/>
      <x:c r="X2" s="117"/>
      <x:c r="Y2" s="117"/>
      <x:c r="Z2" s="117"/>
    </x:row>
    <x:row r="3">
      <x:c r="A3" s="117"/>
      <x:c r="B3" s="117"/>
      <x:c r="C3" s="117"/>
      <x:c r="D3" s="117"/>
      <x:c r="E3" s="117"/>
      <x:c r="F3" s="117"/>
      <x:c r="G3" s="117"/>
      <x:c r="H3" s="117"/>
      <x:c r="I3" s="117"/>
      <x:c r="J3" s="117"/>
      <x:c r="K3" s="117"/>
      <x:c r="L3" s="117"/>
      <x:c r="M3" s="117"/>
      <x:c r="N3" s="117"/>
      <x:c r="O3" s="117"/>
      <x:c r="P3" s="117"/>
      <x:c r="Q3" s="117"/>
      <x:c r="R3" s="117"/>
      <x:c r="S3" s="117"/>
      <x:c r="T3" s="117"/>
      <x:c r="U3" s="117"/>
      <x:c r="V3" s="117"/>
      <x:c r="W3" s="117"/>
      <x:c r="X3" s="117"/>
      <x:c r="Y3" s="117"/>
      <x:c r="Z3" s="117"/>
    </x:row>
    <x:row r="4" ht="38" customHeight="1">
      <x:c r="A4" s="139" t="str">
        <x:v>コメントコード</x:v>
      </x:c>
      <x:c r="B4" s="140" t="str">
        <x:v>課題群</x:v>
      </x:c>
      <x:c r="C4" s="140" t="str">
        <x:v>対象分野</x:v>
      </x:c>
      <x:c r="D4" s="140" t="str">
        <x:v>断定レベル</x:v>
      </x:c>
      <x:c r="E4" s="140" t="str">
        <x:v>発動条件概要</x:v>
      </x:c>
      <x:c r="F4" s="140" t="str">
        <x:v>除外条件</x:v>
      </x:c>
      <x:c r="G4" s="140" t="str">
        <x:v>優先度</x:v>
      </x:c>
      <x:c r="H4" s="140" t="str">
        <x:v>事実・状態文</x:v>
      </x:c>
      <x:c r="I4" s="140" t="str">
        <x:v>リスク解釈文</x:v>
      </x:c>
      <x:c r="J4" s="140" t="str">
        <x:v>判断上の留意点</x:v>
      </x:c>
      <x:c r="K4" s="140" t="str">
        <x:v>推奨行動文</x:v>
      </x:c>
      <x:c r="L4" s="140" t="str">
        <x:v>併記可否</x:v>
      </x:c>
      <x:c r="M4" s="140" t="str">
        <x:v>出力場所</x:v>
      </x:c>
      <x:c r="N4" s="140" t="str">
        <x:v>CTAコード</x:v>
      </x:c>
      <x:c r="O4" s="140" t="str">
        <x:v>承認状態</x:v>
      </x:c>
      <x:c r="P4" s="141" t="str">
        <x:v>備考</x:v>
      </x:c>
      <x:c r="Q4" s="278" t="str">
        <x:v>文章部品種別</x:v>
      </x:c>
      <x:c r="R4" s="279" t="str">
        <x:v>表示順位</x:v>
      </x:c>
      <x:c r="S4" s="279" t="str">
        <x:v>最大使用回数</x:v>
      </x:c>
      <x:c r="T4" s="279" t="str">
        <x:v>AI変更可否</x:v>
      </x:c>
      <x:c r="U4" s="279" t="str">
        <x:v>必須併記コード</x:v>
      </x:c>
      <x:c r="V4" s="280" t="str">
        <x:v>診断レベル使用可否</x:v>
      </x:c>
      <x:c r="W4" s="117"/>
      <x:c r="X4" s="117"/>
      <x:c r="Y4" s="117"/>
      <x:c r="Z4" s="117"/>
    </x:row>
    <x:row r="5">
      <x:c r="A5" s="144" t="str">
        <x:v>GR-EOL-L3-01</x:v>
      </x:c>
      <x:c r="B5" s="145" t="str">
        <x:v>EOL</x:v>
      </x:c>
      <x:c r="C5" s="145" t="str">
        <x:v>設備</x:v>
      </x:c>
      <x:c r="D5" s="145" t="str">
        <x:v>L3</x:v>
      </x:c>
      <x:c r="E5" s="145" t="str">
        <x:v>保守終了を正式資料で確認</x:v>
      </x:c>
      <x:c r="F5" s="145" t="str">
        <x:v>後継保守契約確認済み</x:v>
      </x:c>
      <x:c r="G5" s="145" t="str">
        <x:v>S</x:v>
      </x:c>
      <x:c r="H5" s="145" t="str">
        <x:v>メーカー保守終了が確認されています。</x:v>
      </x:c>
      <x:c r="I5" s="145" t="str">
        <x:v>故障時に交換部品の確保や復旧が長期化するリスクがあります。</x:v>
      </x:c>
      <x:c r="J5" s="145" t="str">
        <x:v>現在稼働していることだけを理由に対応を先送りしないことが重要です。</x:v>
      </x:c>
      <x:c r="K5" s="145" t="str">
        <x:v>対象型式、後継方式、概算費用、停止条件を整理してください。</x:v>
      </x:c>
      <x:c r="L5" s="145" t="str">
        <x:v>可</x:v>
      </x:c>
      <x:c r="M5" s="145" t="str">
        <x:v>Guardrail／総合所見</x:v>
      </x:c>
      <x:c r="N5" s="145" t="str">
        <x:v>CTA-MAKER</x:v>
      </x:c>
      <x:c r="O5" s="145" t="str">
        <x:v>レビュー前</x:v>
      </x:c>
      <x:c r="P5" s="146" t="str"/>
      <x:c r="Q5" s="297" t="str">
        <x:v>Guardrail</x:v>
      </x:c>
      <x:c r="R5" s="298" t="str">
        <x:v>S/A/B/Cに従う</x:v>
      </x:c>
      <x:c r="S5" s="298" t="n">
        <x:v>1</x:v>
      </x:c>
      <x:c r="T5" s="298" t="str">
        <x:v>接続・語尾のみ可</x:v>
      </x:c>
      <x:c r="U5" s="298" t="str">
        <x:v>L0/L1時は確認行動コード</x:v>
      </x:c>
      <x:c r="V5" s="299" t="str">
        <x:v>Level1～3（断定レベルに従う）</x:v>
      </x:c>
      <x:c r="W5" s="117"/>
      <x:c r="X5" s="117"/>
      <x:c r="Y5" s="117"/>
      <x:c r="Z5" s="117"/>
    </x:row>
    <x:row r="6">
      <x:c r="A6" s="147" t="str">
        <x:v>GR-EOL-L2-01</x:v>
      </x:c>
      <x:c r="B6" s="148" t="str">
        <x:v>EOL</x:v>
      </x:c>
      <x:c r="C6" s="148" t="str">
        <x:v>設備</x:v>
      </x:c>
      <x:c r="D6" s="148" t="str">
        <x:v>L2</x:v>
      </x:c>
      <x:c r="E6" s="148" t="str">
        <x:v>保守終了を自己申告</x:v>
      </x:c>
      <x:c r="F6" s="148" t="str">
        <x:v>継続回答あり</x:v>
      </x:c>
      <x:c r="G6" s="148" t="str">
        <x:v>A</x:v>
      </x:c>
      <x:c r="H6" s="148" t="str">
        <x:v>メーカー保守が終了している可能性があります。</x:v>
      </x:c>
      <x:c r="I6" s="148" t="str">
        <x:v>故障時の復旧条件が不明確な状態です。</x:v>
      </x:c>
      <x:c r="J6" s="148" t="str">
        <x:v>現時点では保守終了を確定できません。</x:v>
      </x:c>
      <x:c r="K6" s="148" t="str">
        <x:v>型式とメーカー回答を確認してください。</x:v>
      </x:c>
      <x:c r="L6" s="148" t="str">
        <x:v>可</x:v>
      </x:c>
      <x:c r="M6" s="148" t="str">
        <x:v>Guardrail／不足情報</x:v>
      </x:c>
      <x:c r="N6" s="148" t="str">
        <x:v>CTA-MAKER</x:v>
      </x:c>
      <x:c r="O6" s="148" t="str">
        <x:v>レビュー前</x:v>
      </x:c>
      <x:c r="P6" s="149" t="str"/>
      <x:c r="Q6" s="300" t="str">
        <x:v>Guardrail</x:v>
      </x:c>
      <x:c r="R6" s="148" t="str">
        <x:v>S/A/B/Cに従う</x:v>
      </x:c>
      <x:c r="S6" s="148" t="n">
        <x:v>1</x:v>
      </x:c>
      <x:c r="T6" s="148" t="str">
        <x:v>接続・語尾のみ可</x:v>
      </x:c>
      <x:c r="U6" s="148" t="str">
        <x:v>L0/L1時は確認行動コード</x:v>
      </x:c>
      <x:c r="V6" s="301" t="str">
        <x:v>Level1～3（断定レベルに従う）</x:v>
      </x:c>
      <x:c r="W6" s="117"/>
      <x:c r="X6" s="117"/>
      <x:c r="Y6" s="117"/>
      <x:c r="Z6" s="117"/>
    </x:row>
    <x:row r="7">
      <x:c r="A7" s="147" t="str">
        <x:v>GR-EOL-L1-01</x:v>
      </x:c>
      <x:c r="B7" s="148" t="str">
        <x:v>EOL</x:v>
      </x:c>
      <x:c r="C7" s="148" t="str">
        <x:v>設備</x:v>
      </x:c>
      <x:c r="D7" s="148" t="str">
        <x:v>L1</x:v>
      </x:c>
      <x:c r="E7" s="148" t="str">
        <x:v>保守状況不明</x:v>
      </x:c>
      <x:c r="F7" s="148" t="str">
        <x:v>なし</x:v>
      </x:c>
      <x:c r="G7" s="148" t="str">
        <x:v>B</x:v>
      </x:c>
      <x:c r="H7" s="148" t="str">
        <x:v>保守対応状況を判断する情報が不足しています。</x:v>
      </x:c>
      <x:c r="I7" s="148" t="str">
        <x:v>故障時の復旧可否を評価できません。</x:v>
      </x:c>
      <x:c r="J7" s="148" t="str">
        <x:v>情報不足を設備状態不良とは判定しません。</x:v>
      </x:c>
      <x:c r="K7" s="148" t="str">
        <x:v>型式確認とメーカー照会を推奨します。</x:v>
      </x:c>
      <x:c r="L7" s="148" t="str">
        <x:v>可</x:v>
      </x:c>
      <x:c r="M7" s="148" t="str">
        <x:v>不足情報／総合所見</x:v>
      </x:c>
      <x:c r="N7" s="148" t="str">
        <x:v>CTA-MAKER</x:v>
      </x:c>
      <x:c r="O7" s="148" t="str">
        <x:v>レビュー前</x:v>
      </x:c>
      <x:c r="P7" s="149" t="str"/>
      <x:c r="Q7" s="300" t="str">
        <x:v>Guardrail</x:v>
      </x:c>
      <x:c r="R7" s="148" t="str">
        <x:v>S/A/B/Cに従う</x:v>
      </x:c>
      <x:c r="S7" s="148" t="n">
        <x:v>1</x:v>
      </x:c>
      <x:c r="T7" s="148" t="str">
        <x:v>接続・語尾のみ可</x:v>
      </x:c>
      <x:c r="U7" s="148" t="str">
        <x:v>L0/L1時は確認行動コード</x:v>
      </x:c>
      <x:c r="V7" s="301" t="str">
        <x:v>Level1～3（断定レベルに従う）</x:v>
      </x:c>
      <x:c r="W7" s="117"/>
      <x:c r="X7" s="117"/>
      <x:c r="Y7" s="117"/>
      <x:c r="Z7" s="117"/>
    </x:row>
    <x:row r="8">
      <x:c r="A8" s="147" t="str">
        <x:v>GR-EOL-L0-01</x:v>
      </x:c>
      <x:c r="B8" s="148" t="str">
        <x:v>EOL</x:v>
      </x:c>
      <x:c r="C8" s="148" t="str">
        <x:v>設備</x:v>
      </x:c>
      <x:c r="D8" s="148" t="str">
        <x:v>L0</x:v>
      </x:c>
      <x:c r="E8" s="148" t="str">
        <x:v>回答と資料が矛盾</x:v>
      </x:c>
      <x:c r="F8" s="148" t="str">
        <x:v>なし</x:v>
      </x:c>
      <x:c r="G8" s="148" t="str">
        <x:v>S</x:v>
      </x:c>
      <x:c r="H8" s="148" t="str">
        <x:v>回答内容と登録資料に相違があります。</x:v>
      </x:c>
      <x:c r="I8" s="148" t="str">
        <x:v>保守状況を正しく判定できません。</x:v>
      </x:c>
      <x:c r="J8" s="148" t="str">
        <x:v>矛盾解消まで更新優先度の根拠として使用しません。</x:v>
      </x:c>
      <x:c r="K8" s="148" t="str">
        <x:v>対象型式と資料の再確認が必要です。</x:v>
      </x:c>
      <x:c r="L8" s="148" t="str">
        <x:v>不可</x:v>
      </x:c>
      <x:c r="M8" s="148" t="str">
        <x:v>整合性警告</x:v>
      </x:c>
      <x:c r="N8" s="148" t="str">
        <x:v>CTA-RECHECK</x:v>
      </x:c>
      <x:c r="O8" s="148" t="str">
        <x:v>レビュー前</x:v>
      </x:c>
      <x:c r="P8" s="149" t="str"/>
      <x:c r="Q8" s="300" t="str">
        <x:v>Guardrail</x:v>
      </x:c>
      <x:c r="R8" s="148" t="str">
        <x:v>S/A/B/Cに従う</x:v>
      </x:c>
      <x:c r="S8" s="148" t="n">
        <x:v>1</x:v>
      </x:c>
      <x:c r="T8" s="148" t="str">
        <x:v>接続・語尾のみ可</x:v>
      </x:c>
      <x:c r="U8" s="148" t="str">
        <x:v>L0/L1時は確認行動コード</x:v>
      </x:c>
      <x:c r="V8" s="301" t="str">
        <x:v>Level1～3（断定レベルに従う）</x:v>
      </x:c>
      <x:c r="W8" s="117"/>
      <x:c r="X8" s="117"/>
      <x:c r="Y8" s="117"/>
      <x:c r="Z8" s="117"/>
    </x:row>
    <x:row r="9">
      <x:c r="A9" s="147" t="str">
        <x:v>GR-SAF-L3-01</x:v>
      </x:c>
      <x:c r="B9" s="148" t="str">
        <x:v>安全</x:v>
      </x:c>
      <x:c r="C9" s="148" t="str">
        <x:v>設備</x:v>
      </x:c>
      <x:c r="D9" s="148" t="str">
        <x:v>L3</x:v>
      </x:c>
      <x:c r="E9" s="148" t="str">
        <x:v>重大異常を確認</x:v>
      </x:c>
      <x:c r="F9" s="148" t="str">
        <x:v>是正完了</x:v>
      </x:c>
      <x:c r="G9" s="148" t="str">
        <x:v>S</x:v>
      </x:c>
      <x:c r="H9" s="148" t="str">
        <x:v>重大な異常兆候が確認されています。</x:v>
      </x:c>
      <x:c r="I9" s="148" t="str">
        <x:v>継続運転により人身、火災、設備損傷へ発展するおそれがあります。</x:v>
      </x:c>
      <x:c r="J9" s="148" t="str">
        <x:v>KPI点数にかかわらず、安全確認を優先します。</x:v>
      </x:c>
      <x:c r="K9" s="148" t="str">
        <x:v>運転継続可否を専門技術者へ確認し、必要な応急措置を実施してください。</x:v>
      </x:c>
      <x:c r="L9" s="148" t="str">
        <x:v>不可</x:v>
      </x:c>
      <x:c r="M9" s="148" t="str">
        <x:v>Guardrail最上位</x:v>
      </x:c>
      <x:c r="N9" s="148" t="str">
        <x:v>CTA-URGENT</x:v>
      </x:c>
      <x:c r="O9" s="148" t="str">
        <x:v>レビュー前</x:v>
      </x:c>
      <x:c r="P9" s="149" t="str"/>
      <x:c r="Q9" s="300" t="str">
        <x:v>Guardrail</x:v>
      </x:c>
      <x:c r="R9" s="148" t="str">
        <x:v>S/A/B/Cに従う</x:v>
      </x:c>
      <x:c r="S9" s="148" t="n">
        <x:v>1</x:v>
      </x:c>
      <x:c r="T9" s="148" t="str">
        <x:v>接続・語尾のみ可</x:v>
      </x:c>
      <x:c r="U9" s="148" t="str">
        <x:v>L0/L1時は確認行動コード</x:v>
      </x:c>
      <x:c r="V9" s="301" t="str">
        <x:v>Level1～3（断定レベルに従う）</x:v>
      </x:c>
      <x:c r="W9" s="117"/>
      <x:c r="X9" s="117"/>
      <x:c r="Y9" s="117"/>
      <x:c r="Z9" s="117"/>
    </x:row>
    <x:row r="10">
      <x:c r="A10" s="147" t="str">
        <x:v>GR-SAF-L2-01</x:v>
      </x:c>
      <x:c r="B10" s="148" t="str">
        <x:v>安全</x:v>
      </x:c>
      <x:c r="C10" s="148" t="str">
        <x:v>設備</x:v>
      </x:c>
      <x:c r="D10" s="148" t="str">
        <x:v>L2</x:v>
      </x:c>
      <x:c r="E10" s="148" t="str">
        <x:v>重大異常を自己申告</x:v>
      </x:c>
      <x:c r="F10" s="148" t="str">
        <x:v>なし</x:v>
      </x:c>
      <x:c r="G10" s="148" t="str">
        <x:v>S</x:v>
      </x:c>
      <x:c r="H10" s="148" t="str">
        <x:v>重大な異常兆候が発生している可能性があります。</x:v>
      </x:c>
      <x:c r="I10" s="148" t="str">
        <x:v>安全上の影響を否定できません。</x:v>
      </x:c>
      <x:c r="J10" s="148" t="str">
        <x:v>現時点では異常の程度と原因を確定できません。</x:v>
      </x:c>
      <x:c r="K10" s="148" t="str">
        <x:v>写真、点検記録、現地確認により運転継続可否を確認してください。</x:v>
      </x:c>
      <x:c r="L10" s="148" t="str">
        <x:v>不可</x:v>
      </x:c>
      <x:c r="M10" s="148" t="str">
        <x:v>Guardrail最上位</x:v>
      </x:c>
      <x:c r="N10" s="148" t="str">
        <x:v>CTA-URGENT</x:v>
      </x:c>
      <x:c r="O10" s="148" t="str">
        <x:v>レビュー前</x:v>
      </x:c>
      <x:c r="P10" s="149" t="str"/>
      <x:c r="Q10" s="300" t="str">
        <x:v>Guardrail</x:v>
      </x:c>
      <x:c r="R10" s="148" t="str">
        <x:v>S/A/B/Cに従う</x:v>
      </x:c>
      <x:c r="S10" s="148" t="n">
        <x:v>1</x:v>
      </x:c>
      <x:c r="T10" s="148" t="str">
        <x:v>接続・語尾のみ可</x:v>
      </x:c>
      <x:c r="U10" s="148" t="str">
        <x:v>L0/L1時は確認行動コード</x:v>
      </x:c>
      <x:c r="V10" s="301" t="str">
        <x:v>Level1～3（断定レベルに従う）</x:v>
      </x:c>
      <x:c r="W10" s="117"/>
      <x:c r="X10" s="117"/>
      <x:c r="Y10" s="117"/>
      <x:c r="Z10" s="117"/>
    </x:row>
    <x:row r="11">
      <x:c r="A11" s="147" t="str">
        <x:v>GR-SAF-L1-01</x:v>
      </x:c>
      <x:c r="B11" s="148" t="str">
        <x:v>安全</x:v>
      </x:c>
      <x:c r="C11" s="148" t="str">
        <x:v>設備</x:v>
      </x:c>
      <x:c r="D11" s="148" t="str">
        <x:v>L1</x:v>
      </x:c>
      <x:c r="E11" s="148" t="str">
        <x:v>異常有無不明</x:v>
      </x:c>
      <x:c r="F11" s="148" t="str">
        <x:v>なし</x:v>
      </x:c>
      <x:c r="G11" s="148" t="str">
        <x:v>A</x:v>
      </x:c>
      <x:c r="H11" s="148" t="str">
        <x:v>安全状態を判断する情報が不足しています。</x:v>
      </x:c>
      <x:c r="I11" s="148" t="str">
        <x:v>重大異常の有無を確認できません。</x:v>
      </x:c>
      <x:c r="J11" s="148" t="str">
        <x:v>未確認をもって安全とは判断しません。</x:v>
      </x:c>
      <x:c r="K11" s="148" t="str">
        <x:v>現場確認と点検記録の確認を推奨します。</x:v>
      </x:c>
      <x:c r="L11" s="148" t="str">
        <x:v>可</x:v>
      </x:c>
      <x:c r="M11" s="148" t="str">
        <x:v>不足情報／Guardrail</x:v>
      </x:c>
      <x:c r="N11" s="148" t="str">
        <x:v>CTA-URGENT</x:v>
      </x:c>
      <x:c r="O11" s="148" t="str">
        <x:v>レビュー前</x:v>
      </x:c>
      <x:c r="P11" s="149" t="str"/>
      <x:c r="Q11" s="300" t="str">
        <x:v>Guardrail</x:v>
      </x:c>
      <x:c r="R11" s="148" t="str">
        <x:v>S/A/B/Cに従う</x:v>
      </x:c>
      <x:c r="S11" s="148" t="n">
        <x:v>1</x:v>
      </x:c>
      <x:c r="T11" s="148" t="str">
        <x:v>接続・語尾のみ可</x:v>
      </x:c>
      <x:c r="U11" s="148" t="str">
        <x:v>L0/L1時は確認行動コード</x:v>
      </x:c>
      <x:c r="V11" s="301" t="str">
        <x:v>Level1～3（断定レベルに従う）</x:v>
      </x:c>
      <x:c r="W11" s="117"/>
      <x:c r="X11" s="117"/>
      <x:c r="Y11" s="117"/>
      <x:c r="Z11" s="117"/>
    </x:row>
    <x:row r="12">
      <x:c r="A12" s="150" t="str">
        <x:v>GR-LEG-L3-01</x:v>
      </x:c>
      <x:c r="B12" s="89" t="str">
        <x:v>法令</x:v>
      </x:c>
      <x:c r="C12" s="89" t="str">
        <x:v>管理</x:v>
      </x:c>
      <x:c r="D12" s="89" t="str">
        <x:v>L3</x:v>
      </x:c>
      <x:c r="E12" s="89" t="str">
        <x:v>未是正または点検期限超過を確認</x:v>
      </x:c>
      <x:c r="F12" s="89" t="str">
        <x:v>是正完了</x:v>
      </x:c>
      <x:c r="G12" s="89" t="str">
        <x:v>S</x:v>
      </x:c>
      <x:c r="H12" s="89" t="str">
        <x:v>法定点検または保安上の未是正事項が確認されています。</x:v>
      </x:c>
      <x:c r="I12" s="89" t="str">
        <x:v>法令順守、安全、保険条件へ影響する可能性があります。</x:v>
      </x:c>
      <x:c r="J12" s="89" t="str">
        <x:v>一般的な更新検討より是正対応を優先します。</x:v>
      </x:c>
      <x:c r="K12" s="89" t="str">
        <x:v>指摘内容、期限、責任者、是正計画を直ちに確認してください。</x:v>
      </x:c>
      <x:c r="L12" s="89" t="str">
        <x:v>不可</x:v>
      </x:c>
      <x:c r="M12" s="89" t="str">
        <x:v>Guardrail最上位</x:v>
      </x:c>
      <x:c r="N12" s="89" t="str">
        <x:v>CTA-URGENT</x:v>
      </x:c>
      <x:c r="O12" s="89" t="str">
        <x:v>レビュー前</x:v>
      </x:c>
      <x:c r="P12" s="151" t="str"/>
      <x:c r="Q12" s="300" t="str">
        <x:v>Guardrail</x:v>
      </x:c>
      <x:c r="R12" s="148" t="str">
        <x:v>S/A/B/Cに従う</x:v>
      </x:c>
      <x:c r="S12" s="148" t="n">
        <x:v>1</x:v>
      </x:c>
      <x:c r="T12" s="148" t="str">
        <x:v>接続・語尾のみ可</x:v>
      </x:c>
      <x:c r="U12" s="148" t="str">
        <x:v>L0/L1時は確認行動コード</x:v>
      </x:c>
      <x:c r="V12" s="301" t="str">
        <x:v>Level1～3（断定レベルに従う）</x:v>
      </x:c>
      <x:c r="W12" s="117"/>
      <x:c r="X12" s="117"/>
      <x:c r="Y12" s="117"/>
      <x:c r="Z12" s="117"/>
    </x:row>
    <x:row r="13">
      <x:c r="A13" s="147" t="str">
        <x:v>GR-BCP-L3-01</x:v>
      </x:c>
      <x:c r="B13" s="148" t="str">
        <x:v>BCP</x:v>
      </x:c>
      <x:c r="C13" s="148" t="str">
        <x:v>経営・更新管理</x:v>
      </x:c>
      <x:c r="D13" s="148" t="str">
        <x:v>L3</x:v>
      </x:c>
      <x:c r="E13" s="148" t="str">
        <x:v>停止影響大・代替なしを資料で確認</x:v>
      </x:c>
      <x:c r="F13" s="148" t="str">
        <x:v>代替手段確立</x:v>
      </x:c>
      <x:c r="G13" s="148" t="str">
        <x:v>S</x:v>
      </x:c>
      <x:c r="H13" s="148" t="str">
        <x:v>対象設備の停止が事業継続に重大な影響を与え、代替手段がないことが確認されています。</x:v>
      </x:c>
      <x:c r="I13" s="148" t="str">
        <x:v>故障後対応では、生産・出荷の長期停止につながる可能性があります。</x:v>
      </x:c>
      <x:c r="J13" s="148" t="str">
        <x:v>設備状態だけでなく、復旧時間と供給責任を含めて判断する必要があります。</x:v>
      </x:c>
      <x:c r="K13" s="148" t="str">
        <x:v>予備品、代替運転、復旧計画、予防更新の優先順位を整理してください。</x:v>
      </x:c>
      <x:c r="L13" s="148" t="str">
        <x:v>可</x:v>
      </x:c>
      <x:c r="M13" s="148" t="str">
        <x:v>Guardrail／EPI詳細</x:v>
      </x:c>
      <x:c r="N13" s="148" t="str">
        <x:v>CTA-BCP</x:v>
      </x:c>
      <x:c r="O13" s="148" t="str">
        <x:v>レビュー前</x:v>
      </x:c>
      <x:c r="P13" s="149" t="str"/>
      <x:c r="Q13" s="300" t="str">
        <x:v>Guardrail</x:v>
      </x:c>
      <x:c r="R13" s="148" t="str">
        <x:v>S/A/B/Cに従う</x:v>
      </x:c>
      <x:c r="S13" s="148" t="n">
        <x:v>1</x:v>
      </x:c>
      <x:c r="T13" s="148" t="str">
        <x:v>接続・語尾のみ可</x:v>
      </x:c>
      <x:c r="U13" s="148" t="str">
        <x:v>L0/L1時は確認行動コード</x:v>
      </x:c>
      <x:c r="V13" s="301" t="str">
        <x:v>Level1～3（断定レベルに従う）</x:v>
      </x:c>
      <x:c r="W13" s="117"/>
      <x:c r="X13" s="117"/>
      <x:c r="Y13" s="117"/>
      <x:c r="Z13" s="117"/>
    </x:row>
    <x:row r="14">
      <x:c r="A14" s="147" t="str">
        <x:v>GR-BCP-L2-01</x:v>
      </x:c>
      <x:c r="B14" s="148" t="str">
        <x:v>BCP</x:v>
      </x:c>
      <x:c r="C14" s="148" t="str">
        <x:v>経営・更新管理</x:v>
      </x:c>
      <x:c r="D14" s="148" t="str">
        <x:v>L2</x:v>
      </x:c>
      <x:c r="E14" s="148" t="str">
        <x:v>停止影響大・代替なしを自己申告</x:v>
      </x:c>
      <x:c r="F14" s="148" t="str">
        <x:v>なし</x:v>
      </x:c>
      <x:c r="G14" s="148" t="str">
        <x:v>A</x:v>
      </x:c>
      <x:c r="H14" s="148" t="str">
        <x:v>故障時に代替運転ができないと申告されています。</x:v>
      </x:c>
      <x:c r="I14" s="148" t="str">
        <x:v>設備停止が生産・出荷へ直接影響する可能性があります。</x:v>
      </x:c>
      <x:c r="J14" s="148" t="str">
        <x:v>停止影響額と復旧時間は未確認です。</x:v>
      </x:c>
      <x:c r="K14" s="148" t="str">
        <x:v>停止影響、代替手段、予備品の有無を確認してください。</x:v>
      </x:c>
      <x:c r="L14" s="148" t="str">
        <x:v>可</x:v>
      </x:c>
      <x:c r="M14" s="148" t="str">
        <x:v>Guardrail／EPI詳細</x:v>
      </x:c>
      <x:c r="N14" s="148" t="str">
        <x:v>CTA-BCP</x:v>
      </x:c>
      <x:c r="O14" s="148" t="str">
        <x:v>レビュー前</x:v>
      </x:c>
      <x:c r="P14" s="149" t="str"/>
      <x:c r="Q14" s="300" t="str">
        <x:v>Guardrail</x:v>
      </x:c>
      <x:c r="R14" s="148" t="str">
        <x:v>S/A/B/Cに従う</x:v>
      </x:c>
      <x:c r="S14" s="148" t="n">
        <x:v>1</x:v>
      </x:c>
      <x:c r="T14" s="148" t="str">
        <x:v>接続・語尾のみ可</x:v>
      </x:c>
      <x:c r="U14" s="148" t="str">
        <x:v>L0/L1時は確認行動コード</x:v>
      </x:c>
      <x:c r="V14" s="301" t="str">
        <x:v>Level1～3（断定レベルに従う）</x:v>
      </x:c>
      <x:c r="W14" s="117"/>
      <x:c r="X14" s="117"/>
      <x:c r="Y14" s="117"/>
      <x:c r="Z14" s="117"/>
    </x:row>
    <x:row r="15">
      <x:c r="A15" s="147" t="str">
        <x:v>GR-DUE-L3-01</x:v>
      </x:c>
      <x:c r="B15" s="148" t="str">
        <x:v>期限</x:v>
      </x:c>
      <x:c r="C15" s="148" t="str">
        <x:v>管理</x:v>
      </x:c>
      <x:c r="D15" s="148" t="str">
        <x:v>L3</x:v>
      </x:c>
      <x:c r="E15" s="148" t="str">
        <x:v>3か月以内の期限を資料で確認</x:v>
      </x:c>
      <x:c r="F15" s="148" t="str">
        <x:v>期限変更済み</x:v>
      </x:c>
      <x:c r="G15" s="148" t="str">
        <x:v>A</x:v>
      </x:c>
      <x:c r="H15" s="148" t="str">
        <x:v>対応期限が3か月以内であることが確認されています。</x:v>
      </x:c>
      <x:c r="I15" s="148" t="str">
        <x:v>確認、見積、稟議、工事準備の時間を考慮すると、判断の先送りが実施機会の喪失につながります。</x:v>
      </x:c>
      <x:c r="J15" s="148" t="str">
        <x:v>設備リスクと手続期限を分けずに計画する必要があります。</x:v>
      </x:c>
      <x:c r="K15" s="148" t="str">
        <x:v>担当者、判断期限、必要資料、見積期限を設定してください。</x:v>
      </x:c>
      <x:c r="L15" s="148" t="str">
        <x:v>可</x:v>
      </x:c>
      <x:c r="M15" s="148" t="str">
        <x:v>Guardrail／ロードマップ</x:v>
      </x:c>
      <x:c r="N15" s="148" t="str">
        <x:v>CTA-PLAN</x:v>
      </x:c>
      <x:c r="O15" s="148" t="str">
        <x:v>レビュー前</x:v>
      </x:c>
      <x:c r="P15" s="149" t="str"/>
      <x:c r="Q15" s="300" t="str">
        <x:v>Guardrail</x:v>
      </x:c>
      <x:c r="R15" s="148" t="str">
        <x:v>S/A/B/Cに従う</x:v>
      </x:c>
      <x:c r="S15" s="148" t="n">
        <x:v>1</x:v>
      </x:c>
      <x:c r="T15" s="148" t="str">
        <x:v>接続・語尾のみ可</x:v>
      </x:c>
      <x:c r="U15" s="148" t="str">
        <x:v>L0/L1時は確認行動コード</x:v>
      </x:c>
      <x:c r="V15" s="301" t="str">
        <x:v>Level1～3（断定レベルに従う）</x:v>
      </x:c>
      <x:c r="W15" s="117"/>
      <x:c r="X15" s="117"/>
      <x:c r="Y15" s="117"/>
      <x:c r="Z15" s="117"/>
    </x:row>
    <x:row r="16">
      <x:c r="A16" s="147" t="str">
        <x:v>GR-DUE-L2-01</x:v>
      </x:c>
      <x:c r="B16" s="148" t="str">
        <x:v>期限</x:v>
      </x:c>
      <x:c r="C16" s="148" t="str">
        <x:v>管理</x:v>
      </x:c>
      <x:c r="D16" s="148" t="str">
        <x:v>L2</x:v>
      </x:c>
      <x:c r="E16" s="148" t="str">
        <x:v>3か月以内の期限を自己申告</x:v>
      </x:c>
      <x:c r="F16" s="148" t="str">
        <x:v>なし</x:v>
      </x:c>
      <x:c r="G16" s="148" t="str">
        <x:v>A</x:v>
      </x:c>
      <x:c r="H16" s="148" t="str">
        <x:v>3か月以内に対応期限がある可能性があります。</x:v>
      </x:c>
      <x:c r="I16" s="148" t="str">
        <x:v>準備着手が遅れると期限内実施が難しくなる可能性があります。</x:v>
      </x:c>
      <x:c r="J16" s="148" t="str">
        <x:v>期限の根拠と変更可否は未確認です。</x:v>
      </x:c>
      <x:c r="K16" s="148" t="str">
        <x:v>正式な期限資料と社内決裁日程を確認してください。</x:v>
      </x:c>
      <x:c r="L16" s="148" t="str">
        <x:v>可</x:v>
      </x:c>
      <x:c r="M16" s="148" t="str">
        <x:v>Guardrail／ロードマップ</x:v>
      </x:c>
      <x:c r="N16" s="148" t="str">
        <x:v>CTA-PLAN</x:v>
      </x:c>
      <x:c r="O16" s="148" t="str">
        <x:v>レビュー前</x:v>
      </x:c>
      <x:c r="P16" s="149" t="str"/>
      <x:c r="Q16" s="300" t="str">
        <x:v>Guardrail</x:v>
      </x:c>
      <x:c r="R16" s="148" t="str">
        <x:v>S/A/B/Cに従う</x:v>
      </x:c>
      <x:c r="S16" s="148" t="n">
        <x:v>1</x:v>
      </x:c>
      <x:c r="T16" s="148" t="str">
        <x:v>接続・語尾のみ可</x:v>
      </x:c>
      <x:c r="U16" s="148" t="str">
        <x:v>L0/L1時は確認行動コード</x:v>
      </x:c>
      <x:c r="V16" s="301" t="str">
        <x:v>Level1～3（断定レベルに従う）</x:v>
      </x:c>
      <x:c r="W16" s="117"/>
      <x:c r="X16" s="117"/>
      <x:c r="Y16" s="117"/>
      <x:c r="Z16" s="117"/>
    </x:row>
    <x:row r="17">
      <x:c r="A17" s="147" t="str">
        <x:v>EDI-AGE-L3-01</x:v>
      </x:c>
      <x:c r="B17" s="148" t="str">
        <x:v>経年</x:v>
      </x:c>
      <x:c r="C17" s="148" t="str">
        <x:v>設備</x:v>
      </x:c>
      <x:c r="D17" s="148" t="str">
        <x:v>L3</x:v>
      </x:c>
      <x:c r="E17" s="148" t="str">
        <x:v>20年以上を資料で確認</x:v>
      </x:c>
      <x:c r="F17" s="148" t="str">
        <x:v>更新済み</x:v>
      </x:c>
      <x:c r="G17" s="148" t="str">
        <x:v>A</x:v>
      </x:c>
      <x:c r="H17" s="148" t="str">
        <x:v>設置後20年以上が経過しています。</x:v>
      </x:c>
      <x:c r="I17" s="148" t="str">
        <x:v>経年劣化や部品入手性低下への備えが必要な時期です。</x:v>
      </x:c>
      <x:c r="J17" s="148" t="str">
        <x:v>経年だけで直ちに更新要と断定せず、点検結果と停止影響を併せて判断します。</x:v>
      </x:c>
      <x:c r="K17" s="148" t="str">
        <x:v>点検結果、保守期限、停止影響を整理してください。</x:v>
      </x:c>
      <x:c r="L17" s="148" t="str">
        <x:v>可</x:v>
      </x:c>
      <x:c r="M17" s="148" t="str">
        <x:v>EDI詳細／TOP5</x:v>
      </x:c>
      <x:c r="N17" s="148" t="str">
        <x:v>CTA-EQP</x:v>
      </x:c>
      <x:c r="O17" s="148" t="str">
        <x:v>レビュー前</x:v>
      </x:c>
      <x:c r="P17" s="149" t="str"/>
      <x:c r="Q17" s="300" t="str">
        <x:v>Guardrail</x:v>
      </x:c>
      <x:c r="R17" s="148" t="str">
        <x:v>S/A/B/Cに従う</x:v>
      </x:c>
      <x:c r="S17" s="148" t="n">
        <x:v>1</x:v>
      </x:c>
      <x:c r="T17" s="148" t="str">
        <x:v>接続・語尾のみ可</x:v>
      </x:c>
      <x:c r="U17" s="148" t="str">
        <x:v>L0/L1時は確認行動コード</x:v>
      </x:c>
      <x:c r="V17" s="301" t="str">
        <x:v>Level1～3（断定レベルに従う）</x:v>
      </x:c>
      <x:c r="W17" s="117"/>
      <x:c r="X17" s="117"/>
      <x:c r="Y17" s="117"/>
      <x:c r="Z17" s="117"/>
    </x:row>
    <x:row r="18">
      <x:c r="A18" s="147" t="str">
        <x:v>EDI-FAIL-L2-01</x:v>
      </x:c>
      <x:c r="B18" s="148" t="str">
        <x:v>故障傾向</x:v>
      </x:c>
      <x:c r="C18" s="148" t="str">
        <x:v>設備</x:v>
      </x:c>
      <x:c r="D18" s="148" t="str">
        <x:v>L2</x:v>
      </x:c>
      <x:c r="E18" s="148" t="str">
        <x:v>故障増加を自己申告</x:v>
      </x:c>
      <x:c r="F18" s="148" t="str">
        <x:v>なし</x:v>
      </x:c>
      <x:c r="G18" s="148" t="str">
        <x:v>A</x:v>
      </x:c>
      <x:c r="H18" s="148" t="str">
        <x:v>故障・異常の発生頻度が増加している可能性があります。</x:v>
      </x:c>
      <x:c r="I18" s="148" t="str">
        <x:v>突発停止や修理費増加の前兆である可能性があります。</x:v>
      </x:c>
      <x:c r="J18" s="148" t="str">
        <x:v>故障内容と原因傾向は未確認です。</x:v>
      </x:c>
      <x:c r="K18" s="148" t="str">
        <x:v>直近3年の故障履歴を設備別に整理してください。</x:v>
      </x:c>
      <x:c r="L18" s="148" t="str">
        <x:v>可</x:v>
      </x:c>
      <x:c r="M18" s="148" t="str">
        <x:v>EDI詳細／TOP5</x:v>
      </x:c>
      <x:c r="N18" s="148" t="str">
        <x:v>CTA-EQP</x:v>
      </x:c>
      <x:c r="O18" s="148" t="str">
        <x:v>レビュー前</x:v>
      </x:c>
      <x:c r="P18" s="149" t="str"/>
      <x:c r="Q18" s="300" t="str">
        <x:v>KPI所見</x:v>
      </x:c>
      <x:c r="R18" s="148" t="str">
        <x:v>S/A/B/Cに従う</x:v>
      </x:c>
      <x:c r="S18" s="148" t="n">
        <x:v>1</x:v>
      </x:c>
      <x:c r="T18" s="148" t="str">
        <x:v>接続・語尾のみ可</x:v>
      </x:c>
      <x:c r="U18" s="148" t="str">
        <x:v>L0/L1時は確認行動コード</x:v>
      </x:c>
      <x:c r="V18" s="301" t="str">
        <x:v>Level1～3（断定レベルに従う）</x:v>
      </x:c>
      <x:c r="W18" s="117"/>
      <x:c r="X18" s="117"/>
      <x:c r="Y18" s="117"/>
      <x:c r="Z18" s="117"/>
    </x:row>
    <x:row r="19">
      <x:c r="A19" s="147" t="str">
        <x:v>EDI-METER-L1-01</x:v>
      </x:c>
      <x:c r="B19" s="148" t="str">
        <x:v>電力未把握</x:v>
      </x:c>
      <x:c r="C19" s="148" t="str">
        <x:v>エネルギー</x:v>
      </x:c>
      <x:c r="D19" s="148" t="str">
        <x:v>L1</x:v>
      </x:c>
      <x:c r="E19" s="148" t="str">
        <x:v>設備別計測なし</x:v>
      </x:c>
      <x:c r="F19" s="148" t="str">
        <x:v>なし</x:v>
      </x:c>
      <x:c r="G19" s="148" t="str">
        <x:v>B</x:v>
      </x:c>
      <x:c r="H19" s="148" t="str">
        <x:v>設備別の電力使用状況を判断する情報が不足しています。</x:v>
      </x:c>
      <x:c r="I19" s="148" t="str">
        <x:v>省エネ効果の大きい対象を特定できません。</x:v>
      </x:c>
      <x:c r="J19" s="148" t="str">
        <x:v>請求額だけでは設備別の改善優先度を確定できません。</x:v>
      </x:c>
      <x:c r="K19" s="148" t="str">
        <x:v>主要設備の簡易計測または電力監視を推奨します。</x:v>
      </x:c>
      <x:c r="L19" s="148" t="str">
        <x:v>可</x:v>
      </x:c>
      <x:c r="M19" s="148" t="str">
        <x:v>エネルギー評価／不足情報</x:v>
      </x:c>
      <x:c r="N19" s="148" t="str">
        <x:v>CTA-METER</x:v>
      </x:c>
      <x:c r="O19" s="148" t="str">
        <x:v>レビュー前</x:v>
      </x:c>
      <x:c r="P19" s="149" t="str"/>
      <x:c r="Q19" s="300" t="str">
        <x:v>KPI所見</x:v>
      </x:c>
      <x:c r="R19" s="148" t="str">
        <x:v>S/A/B/Cに従う</x:v>
      </x:c>
      <x:c r="S19" s="148" t="n">
        <x:v>1</x:v>
      </x:c>
      <x:c r="T19" s="148" t="str">
        <x:v>接続・語尾のみ可</x:v>
      </x:c>
      <x:c r="U19" s="148" t="str">
        <x:v>L0/L1時は確認行動コード</x:v>
      </x:c>
      <x:c r="V19" s="301" t="str">
        <x:v>Level1～3（断定レベルに従う）</x:v>
      </x:c>
      <x:c r="W19" s="117"/>
      <x:c r="X19" s="117"/>
      <x:c r="Y19" s="117"/>
      <x:c r="Z19" s="117"/>
    </x:row>
    <x:row r="20">
      <x:c r="A20" s="147" t="str">
        <x:v>EDI-BLD-L2-01</x:v>
      </x:c>
      <x:c r="B20" s="148" t="str">
        <x:v>結露</x:v>
      </x:c>
      <x:c r="C20" s="148" t="str">
        <x:v>建物・環境</x:v>
      </x:c>
      <x:c r="D20" s="148" t="str">
        <x:v>L2</x:v>
      </x:c>
      <x:c r="E20" s="148" t="str">
        <x:v>結露ありを自己申告</x:v>
      </x:c>
      <x:c r="F20" s="148" t="str">
        <x:v>一時的事象確認済み</x:v>
      </x:c>
      <x:c r="G20" s="148" t="str">
        <x:v>A</x:v>
      </x:c>
      <x:c r="H20" s="148" t="str">
        <x:v>天井裏または建屋内で結露が発生している可能性があります。</x:v>
      </x:c>
      <x:c r="I20" s="148" t="str">
        <x:v>衛生、腐食、漏電、製品品質への影響が懸念されます。</x:v>
      </x:c>
      <x:c r="J20" s="148" t="str">
        <x:v>発生位置、季節、温湿度条件が未確認です。</x:v>
      </x:c>
      <x:c r="K20" s="148" t="str">
        <x:v>現地確認と温湿度・表面温度の確認を推奨します。</x:v>
      </x:c>
      <x:c r="L20" s="148" t="str">
        <x:v>可</x:v>
      </x:c>
      <x:c r="M20" s="148" t="str">
        <x:v>建物評価／TOP5</x:v>
      </x:c>
      <x:c r="N20" s="148" t="str">
        <x:v>CTA-BLD</x:v>
      </x:c>
      <x:c r="O20" s="148" t="str">
        <x:v>レビュー前</x:v>
      </x:c>
      <x:c r="P20" s="149" t="str"/>
      <x:c r="Q20" s="300" t="str">
        <x:v>KPI所見</x:v>
      </x:c>
      <x:c r="R20" s="148" t="str">
        <x:v>S/A/B/Cに従う</x:v>
      </x:c>
      <x:c r="S20" s="148" t="n">
        <x:v>1</x:v>
      </x:c>
      <x:c r="T20" s="148" t="str">
        <x:v>接続・語尾のみ可</x:v>
      </x:c>
      <x:c r="U20" s="148" t="str">
        <x:v>L0/L1時は確認行動コード</x:v>
      </x:c>
      <x:c r="V20" s="301" t="str">
        <x:v>Level1～3（断定レベルに従う）</x:v>
      </x:c>
      <x:c r="W20" s="117"/>
      <x:c r="X20" s="117"/>
      <x:c r="Y20" s="117"/>
      <x:c r="Z20" s="117"/>
    </x:row>
    <x:row r="21">
      <x:c r="A21" s="147" t="str">
        <x:v>DRI-DOC-L1-01</x:v>
      </x:c>
      <x:c r="B21" s="148" t="str">
        <x:v>図面不足</x:v>
      </x:c>
      <x:c r="C21" s="148" t="str">
        <x:v>経営・更新管理</x:v>
      </x:c>
      <x:c r="D21" s="148" t="str">
        <x:v>L1</x:v>
      </x:c>
      <x:c r="E21" s="148" t="str">
        <x:v>現行図面なし・不明</x:v>
      </x:c>
      <x:c r="F21" s="148" t="str">
        <x:v>なし</x:v>
      </x:c>
      <x:c r="G21" s="148" t="str">
        <x:v>A</x:v>
      </x:c>
      <x:c r="H21" s="148" t="str">
        <x:v>更新判断に必要な図面情報が不足しています。</x:v>
      </x:c>
      <x:c r="I21" s="148" t="str">
        <x:v>更新範囲や工事条件の確定に時間を要する可能性があります。</x:v>
      </x:c>
      <x:c r="J21" s="148" t="str">
        <x:v>図面不足は設備状態の悪化とは別に扱います。</x:v>
      </x:c>
      <x:c r="K21" s="148" t="str">
        <x:v>既存図面の探索または現地調査による現況図作成を推奨します。</x:v>
      </x:c>
      <x:c r="L21" s="148" t="str">
        <x:v>可</x:v>
      </x:c>
      <x:c r="M21" s="148" t="str">
        <x:v>DRI詳細／不足情報</x:v>
      </x:c>
      <x:c r="N21" s="148" t="str">
        <x:v>CTA-DOC</x:v>
      </x:c>
      <x:c r="O21" s="148" t="str">
        <x:v>レビュー前</x:v>
      </x:c>
      <x:c r="P21" s="149" t="str"/>
      <x:c r="Q21" s="300" t="str">
        <x:v>KPI所見</x:v>
      </x:c>
      <x:c r="R21" s="148" t="str">
        <x:v>S/A/B/Cに従う</x:v>
      </x:c>
      <x:c r="S21" s="148" t="n">
        <x:v>1</x:v>
      </x:c>
      <x:c r="T21" s="148" t="str">
        <x:v>接続・語尾のみ可</x:v>
      </x:c>
      <x:c r="U21" s="148" t="str">
        <x:v>L0/L1時は確認行動コード</x:v>
      </x:c>
      <x:c r="V21" s="301" t="str">
        <x:v>Level1～3（断定レベルに従う）</x:v>
      </x:c>
      <x:c r="W21" s="117"/>
      <x:c r="X21" s="117"/>
      <x:c r="Y21" s="117"/>
      <x:c r="Z21" s="117"/>
    </x:row>
    <x:row r="22">
      <x:c r="A22" s="147" t="str">
        <x:v>DRI-BUDGET-L2-01</x:v>
      </x:c>
      <x:c r="B22" s="148" t="str">
        <x:v>予算</x:v>
      </x:c>
      <x:c r="C22" s="148" t="str">
        <x:v>経営・更新管理</x:v>
      </x:c>
      <x:c r="D22" s="148" t="str">
        <x:v>L2</x:v>
      </x:c>
      <x:c r="E22" s="148" t="str">
        <x:v>予算未定・自己申告</x:v>
      </x:c>
      <x:c r="F22" s="148" t="str">
        <x:v>なし</x:v>
      </x:c>
      <x:c r="G22" s="148" t="str">
        <x:v>B</x:v>
      </x:c>
      <x:c r="H22" s="148" t="str">
        <x:v>更新予算または予算化時期が未定です。</x:v>
      </x:c>
      <x:c r="I22" s="148" t="str">
        <x:v>技術的に必要な対応でも、意思決定時期が定まらない可能性があります。</x:v>
      </x:c>
      <x:c r="J22" s="148" t="str">
        <x:v>金額の大小だけでなく、予算申請の締切確認が必要です。</x:v>
      </x:c>
      <x:c r="K22" s="148" t="str">
        <x:v>概算費用レンジと予算申請時期を整理してください。</x:v>
      </x:c>
      <x:c r="L22" s="148" t="str">
        <x:v>可</x:v>
      </x:c>
      <x:c r="M22" s="148" t="str">
        <x:v>DRI詳細／ロードマップ</x:v>
      </x:c>
      <x:c r="N22" s="148" t="str">
        <x:v>CTA-QUOTE</x:v>
      </x:c>
      <x:c r="O22" s="148" t="str">
        <x:v>レビュー前</x:v>
      </x:c>
      <x:c r="P22" s="149" t="str"/>
      <x:c r="Q22" s="300" t="str">
        <x:v>不足・推奨</x:v>
      </x:c>
      <x:c r="R22" s="148" t="str">
        <x:v>S/A/B/Cに従う</x:v>
      </x:c>
      <x:c r="S22" s="148" t="n">
        <x:v>1</x:v>
      </x:c>
      <x:c r="T22" s="148" t="str">
        <x:v>接続・語尾のみ可</x:v>
      </x:c>
      <x:c r="U22" s="148" t="str">
        <x:v>L0/L1時は確認行動コード</x:v>
      </x:c>
      <x:c r="V22" s="301" t="str">
        <x:v>Level1～3（断定レベルに従う）</x:v>
      </x:c>
      <x:c r="W22" s="117"/>
      <x:c r="X22" s="117"/>
      <x:c r="Y22" s="117"/>
      <x:c r="Z22" s="117"/>
    </x:row>
    <x:row r="23">
      <x:c r="A23" s="147" t="str">
        <x:v>EPI-RISK-L3-01</x:v>
      </x:c>
      <x:c r="B23" s="148" t="str">
        <x:v>故障優先度</x:v>
      </x:c>
      <x:c r="C23" s="148" t="str">
        <x:v>設備</x:v>
      </x:c>
      <x:c r="D23" s="148" t="str">
        <x:v>L3</x:v>
      </x:c>
      <x:c r="E23" s="148" t="str">
        <x:v>故障リスク上昇を資料で確認</x:v>
      </x:c>
      <x:c r="F23" s="148" t="str">
        <x:v>対策済み</x:v>
      </x:c>
      <x:c r="G23" s="148" t="str">
        <x:v>A</x:v>
      </x:c>
      <x:c r="H23" s="148" t="str">
        <x:v>点検結果または故障履歴から、今後の故障リスク上昇が確認されています。</x:v>
      </x:c>
      <x:c r="I23" s="148" t="str">
        <x:v>対応を先送りすると、計画更新ではなく緊急復旧になる可能性があります。</x:v>
      </x:c>
      <x:c r="J23" s="148" t="str">
        <x:v>停止影響と実施工期を含めて優先度を判断します。</x:v>
      </x:c>
      <x:c r="K23" s="148" t="str">
        <x:v>更新・予備品・監視強化の比較を行ってください。</x:v>
      </x:c>
      <x:c r="L23" s="148" t="str">
        <x:v>可</x:v>
      </x:c>
      <x:c r="M23" s="148" t="str">
        <x:v>EPI詳細／TOP5</x:v>
      </x:c>
      <x:c r="N23" s="148" t="str">
        <x:v>CTA-PLAN</x:v>
      </x:c>
      <x:c r="O23" s="148" t="str">
        <x:v>レビュー前</x:v>
      </x:c>
      <x:c r="P23" s="149" t="str"/>
      <x:c r="Q23" s="300" t="str">
        <x:v>不足・推奨</x:v>
      </x:c>
      <x:c r="R23" s="148" t="str">
        <x:v>S/A/B/Cに従う</x:v>
      </x:c>
      <x:c r="S23" s="148" t="n">
        <x:v>1</x:v>
      </x:c>
      <x:c r="T23" s="148" t="str">
        <x:v>接続・語尾のみ可</x:v>
      </x:c>
      <x:c r="U23" s="148" t="str">
        <x:v>L0/L1時は確認行動コード</x:v>
      </x:c>
      <x:c r="V23" s="301" t="str">
        <x:v>Level1～3（断定レベルに従う）</x:v>
      </x:c>
      <x:c r="W23" s="117"/>
      <x:c r="X23" s="117"/>
      <x:c r="Y23" s="117"/>
      <x:c r="Z23" s="117"/>
    </x:row>
    <x:row r="24">
      <x:c r="A24" s="158" t="str">
        <x:v>EPI-ENE-L2-01</x:v>
      </x:c>
      <x:c r="B24" s="159" t="str">
        <x:v>省エネ機会</x:v>
      </x:c>
      <x:c r="C24" s="159" t="str">
        <x:v>エネルギー</x:v>
      </x:c>
      <x:c r="D24" s="159" t="str">
        <x:v>L2</x:v>
      </x:c>
      <x:c r="E24" s="159" t="str">
        <x:v>大きな効果見込みを自己申告</x:v>
      </x:c>
      <x:c r="F24" s="159" t="str">
        <x:v>なし</x:v>
      </x:c>
      <x:c r="G24" s="159" t="str">
        <x:v>B</x:v>
      </x:c>
      <x:c r="H24" s="159" t="str">
        <x:v>更新により大きな省エネ効果が得られる可能性があります。</x:v>
      </x:c>
      <x:c r="I24" s="159" t="str">
        <x:v>実施時期を逃すと、運転費削減の機会損失が継続します。</x:v>
      </x:c>
      <x:c r="J24" s="159" t="str">
        <x:v>効果額は計測条件と稼働条件の確認が必要です。</x:v>
      </x:c>
      <x:c r="K24" s="159" t="str">
        <x:v>現状計測と概算効果試算を行ってください。</x:v>
      </x:c>
      <x:c r="L24" s="159" t="str">
        <x:v>可</x:v>
      </x:c>
      <x:c r="M24" s="159" t="str">
        <x:v>EPI詳細／投資比較</x:v>
      </x:c>
      <x:c r="N24" s="159" t="str">
        <x:v>CTA-METER</x:v>
      </x:c>
      <x:c r="O24" s="159" t="str">
        <x:v>レビュー前</x:v>
      </x:c>
      <x:c r="P24" s="160" t="str"/>
      <x:c r="Q24" s="302" t="str">
        <x:v>不足・推奨</x:v>
      </x:c>
      <x:c r="R24" s="303" t="str">
        <x:v>S/A/B/Cに従う</x:v>
      </x:c>
      <x:c r="S24" s="303" t="n">
        <x:v>1</x:v>
      </x:c>
      <x:c r="T24" s="303" t="str">
        <x:v>接続・語尾のみ可</x:v>
      </x:c>
      <x:c r="U24" s="303" t="str">
        <x:v>L0/L1時は確認行動コード</x:v>
      </x:c>
      <x:c r="V24" s="304" t="str">
        <x:v>Level1～3（断定レベルに従う）</x:v>
      </x:c>
      <x:c r="W24" s="117"/>
      <x:c r="X24" s="117"/>
      <x:c r="Y24" s="117"/>
      <x:c r="Z24" s="117"/>
    </x:row>
    <x:row r="25">
      <x:c r="A25" s="363" t="str">
        <x:v>GR-SAF-L0-01</x:v>
      </x:c>
      <x:c r="B25" s="364" t="str">
        <x:v>安全</x:v>
      </x:c>
      <x:c r="C25" s="364" t="str">
        <x:v>設備</x:v>
      </x:c>
      <x:c r="D25" s="364" t="str">
        <x:v>L0</x:v>
      </x:c>
      <x:c r="E25" s="364" t="str">
        <x:v>安全回答と資料が矛盾</x:v>
      </x:c>
      <x:c r="F25" s="364" t="str">
        <x:v>なし</x:v>
      </x:c>
      <x:c r="G25" s="364" t="str">
        <x:v>S</x:v>
      </x:c>
      <x:c r="H25" s="364" t="str">
        <x:v>安全状態に関する回答と登録資料に相違があります。</x:v>
      </x:c>
      <x:c r="I25" s="364" t="str">
        <x:v>運転継続可否を正しく判断できません。</x:v>
      </x:c>
      <x:c r="J25" s="364" t="str">
        <x:v>矛盾解消まで安全評価を停止します。</x:v>
      </x:c>
      <x:c r="K25" s="364" t="str">
        <x:v>対象設備、異常箇所、点検結果を再確認してください。</x:v>
      </x:c>
      <x:c r="L25" s="364" t="str">
        <x:v>不可</x:v>
      </x:c>
      <x:c r="M25" s="364" t="str">
        <x:v>整合性警告</x:v>
      </x:c>
      <x:c r="N25" s="364" t="str">
        <x:v>CTA-RECHECK</x:v>
      </x:c>
      <x:c r="O25" s="364" t="str">
        <x:v>レビュー前</x:v>
      </x:c>
      <x:c r="P25" s="365" t="str"/>
      <x:c r="Q25" s="117"/>
      <x:c r="R25" s="117"/>
      <x:c r="S25" s="117"/>
      <x:c r="T25" s="117"/>
      <x:c r="U25" s="117"/>
      <x:c r="V25" s="117"/>
      <x:c r="W25" s="117"/>
      <x:c r="X25" s="117"/>
      <x:c r="Y25" s="117"/>
      <x:c r="Z25" s="117"/>
    </x:row>
    <x:row r="26">
      <x:c r="A26" s="366" t="str">
        <x:v>GR-LEG-L2-01</x:v>
      </x:c>
      <x:c r="B26" s="148" t="str">
        <x:v>法令</x:v>
      </x:c>
      <x:c r="C26" s="148" t="str">
        <x:v>管理</x:v>
      </x:c>
      <x:c r="D26" s="148" t="str">
        <x:v>L2</x:v>
      </x:c>
      <x:c r="E26" s="148" t="str">
        <x:v>未是正・期限超過を自己申告</x:v>
      </x:c>
      <x:c r="F26" s="148" t="str">
        <x:v>なし</x:v>
      </x:c>
      <x:c r="G26" s="148" t="str">
        <x:v>S</x:v>
      </x:c>
      <x:c r="H26" s="148" t="str">
        <x:v>法定点検または保安上の未是正事項がある可能性があります。</x:v>
      </x:c>
      <x:c r="I26" s="148" t="str">
        <x:v>法令順守や安全管理へ影響する可能性があります。</x:v>
      </x:c>
      <x:c r="J26" s="148" t="str">
        <x:v>正式な指摘内容と期限は未確認です。</x:v>
      </x:c>
      <x:c r="K26" s="148" t="str">
        <x:v>点検報告書と是正期限を確認してください。</x:v>
      </x:c>
      <x:c r="L26" s="148" t="str">
        <x:v>不可</x:v>
      </x:c>
      <x:c r="M26" s="148" t="str">
        <x:v>Guardrail</x:v>
      </x:c>
      <x:c r="N26" s="148" t="str">
        <x:v>CTA-URGENT</x:v>
      </x:c>
      <x:c r="O26" s="148" t="str">
        <x:v>レビュー前</x:v>
      </x:c>
      <x:c r="P26" s="367" t="str"/>
      <x:c r="Q26" s="117"/>
      <x:c r="R26" s="117"/>
      <x:c r="S26" s="117"/>
      <x:c r="T26" s="117"/>
      <x:c r="U26" s="117"/>
      <x:c r="V26" s="117"/>
      <x:c r="W26" s="117"/>
      <x:c r="X26" s="117"/>
      <x:c r="Y26" s="117"/>
      <x:c r="Z26" s="117"/>
    </x:row>
    <x:row r="27">
      <x:c r="A27" s="366" t="str">
        <x:v>GR-LEG-L1-01</x:v>
      </x:c>
      <x:c r="B27" s="148" t="str">
        <x:v>法令</x:v>
      </x:c>
      <x:c r="C27" s="148" t="str">
        <x:v>管理</x:v>
      </x:c>
      <x:c r="D27" s="148" t="str">
        <x:v>L1</x:v>
      </x:c>
      <x:c r="E27" s="148" t="str">
        <x:v>点検・是正状況不明</x:v>
      </x:c>
      <x:c r="F27" s="148" t="str">
        <x:v>なし</x:v>
      </x:c>
      <x:c r="G27" s="148" t="str">
        <x:v>A</x:v>
      </x:c>
      <x:c r="H27" s="148" t="str">
        <x:v>法定点検および是正状況を判断する情報が不足しています。</x:v>
      </x:c>
      <x:c r="I27" s="148" t="str">
        <x:v>期限超過や未是正の有無を確認できません。</x:v>
      </x:c>
      <x:c r="J27" s="148" t="str">
        <x:v>未確認をもって適合とは判断しません。</x:v>
      </x:c>
      <x:c r="K27" s="148" t="str">
        <x:v>対象点検、実施日、指摘事項を確認してください。</x:v>
      </x:c>
      <x:c r="L27" s="148" t="str">
        <x:v>可</x:v>
      </x:c>
      <x:c r="M27" s="148" t="str">
        <x:v>不足情報／Guardrail</x:v>
      </x:c>
      <x:c r="N27" s="148" t="str">
        <x:v>CTA-URGENT</x:v>
      </x:c>
      <x:c r="O27" s="148" t="str">
        <x:v>レビュー前</x:v>
      </x:c>
      <x:c r="P27" s="367" t="str"/>
      <x:c r="Q27" s="117"/>
      <x:c r="R27" s="117"/>
      <x:c r="S27" s="117"/>
      <x:c r="T27" s="117"/>
      <x:c r="U27" s="117"/>
      <x:c r="V27" s="117"/>
      <x:c r="W27" s="117"/>
      <x:c r="X27" s="117"/>
      <x:c r="Y27" s="117"/>
      <x:c r="Z27" s="117"/>
    </x:row>
    <x:row r="28">
      <x:c r="A28" s="366" t="str">
        <x:v>GR-LEG-L0-01</x:v>
      </x:c>
      <x:c r="B28" s="148" t="str">
        <x:v>法令</x:v>
      </x:c>
      <x:c r="C28" s="148" t="str">
        <x:v>管理</x:v>
      </x:c>
      <x:c r="D28" s="148" t="str">
        <x:v>L0</x:v>
      </x:c>
      <x:c r="E28" s="148" t="str">
        <x:v>回答と点検資料が矛盾</x:v>
      </x:c>
      <x:c r="F28" s="148" t="str">
        <x:v>なし</x:v>
      </x:c>
      <x:c r="G28" s="148" t="str">
        <x:v>S</x:v>
      </x:c>
      <x:c r="H28" s="148" t="str">
        <x:v>点検・是正状況に関する回答と資料に相違があります。</x:v>
      </x:c>
      <x:c r="I28" s="148" t="str">
        <x:v>法令順守状態を正しく判断できません。</x:v>
      </x:c>
      <x:c r="J28" s="148" t="str">
        <x:v>矛盾解消まで適合判定を停止します。</x:v>
      </x:c>
      <x:c r="K28" s="148" t="str">
        <x:v>報告書、是正記録、対象設備を再確認してください。</x:v>
      </x:c>
      <x:c r="L28" s="148" t="str">
        <x:v>不可</x:v>
      </x:c>
      <x:c r="M28" s="148" t="str">
        <x:v>整合性警告</x:v>
      </x:c>
      <x:c r="N28" s="148" t="str">
        <x:v>CTA-RECHECK</x:v>
      </x:c>
      <x:c r="O28" s="148" t="str">
        <x:v>レビュー前</x:v>
      </x:c>
      <x:c r="P28" s="367" t="str"/>
      <x:c r="Q28" s="117"/>
      <x:c r="R28" s="117"/>
      <x:c r="S28" s="117"/>
      <x:c r="T28" s="117"/>
      <x:c r="U28" s="117"/>
      <x:c r="V28" s="117"/>
      <x:c r="W28" s="117"/>
      <x:c r="X28" s="117"/>
      <x:c r="Y28" s="117"/>
      <x:c r="Z28" s="117"/>
    </x:row>
    <x:row r="29">
      <x:c r="A29" s="366" t="str">
        <x:v>GR-BCP-L1-01</x:v>
      </x:c>
      <x:c r="B29" s="148" t="str">
        <x:v>BCP</x:v>
      </x:c>
      <x:c r="C29" s="148" t="str">
        <x:v>経営・更新管理</x:v>
      </x:c>
      <x:c r="D29" s="148" t="str">
        <x:v>L1</x:v>
      </x:c>
      <x:c r="E29" s="148" t="str">
        <x:v>停止影響・代替性不明</x:v>
      </x:c>
      <x:c r="F29" s="148" t="str">
        <x:v>なし</x:v>
      </x:c>
      <x:c r="G29" s="148" t="str">
        <x:v>A</x:v>
      </x:c>
      <x:c r="H29" s="148" t="str">
        <x:v>設備停止時の事業影響と代替手段を判断する情報が不足しています。</x:v>
      </x:c>
      <x:c r="I29" s="148" t="str">
        <x:v>復旧遅延が生産・出荷へ与える影響を評価できません。</x:v>
      </x:c>
      <x:c r="J29" s="148" t="str">
        <x:v>情報不足をもって影響が小さいとは判断しません。</x:v>
      </x:c>
      <x:c r="K29" s="148" t="str">
        <x:v>停止影響、代替運転、復旧時間を確認してください。</x:v>
      </x:c>
      <x:c r="L29" s="148" t="str">
        <x:v>可</x:v>
      </x:c>
      <x:c r="M29" s="148" t="str">
        <x:v>不足情報／Guardrail</x:v>
      </x:c>
      <x:c r="N29" s="148" t="str">
        <x:v>CTA-BCP</x:v>
      </x:c>
      <x:c r="O29" s="148" t="str">
        <x:v>レビュー前</x:v>
      </x:c>
      <x:c r="P29" s="367" t="str"/>
      <x:c r="Q29" s="117"/>
      <x:c r="R29" s="117"/>
      <x:c r="S29" s="117"/>
      <x:c r="T29" s="117"/>
      <x:c r="U29" s="117"/>
      <x:c r="V29" s="117"/>
      <x:c r="W29" s="117"/>
      <x:c r="X29" s="117"/>
      <x:c r="Y29" s="117"/>
      <x:c r="Z29" s="117"/>
    </x:row>
    <x:row r="30">
      <x:c r="A30" s="366" t="str">
        <x:v>GR-BCP-L0-01</x:v>
      </x:c>
      <x:c r="B30" s="148" t="str">
        <x:v>BCP</x:v>
      </x:c>
      <x:c r="C30" s="148" t="str">
        <x:v>経営・更新管理</x:v>
      </x:c>
      <x:c r="D30" s="148" t="str">
        <x:v>L0</x:v>
      </x:c>
      <x:c r="E30" s="148" t="str">
        <x:v>影響・代替回答と資料が矛盾</x:v>
      </x:c>
      <x:c r="F30" s="148" t="str">
        <x:v>なし</x:v>
      </x:c>
      <x:c r="G30" s="148" t="str">
        <x:v>S</x:v>
      </x:c>
      <x:c r="H30" s="148" t="str">
        <x:v>事業影響または代替手段に関する回答と資料に相違があります。</x:v>
      </x:c>
      <x:c r="I30" s="148" t="str">
        <x:v>BCP上の優先度を正しく判定できません。</x:v>
      </x:c>
      <x:c r="J30" s="148" t="str">
        <x:v>矛盾解消まで推奨判断へ使用しません。</x:v>
      </x:c>
      <x:c r="K30" s="148" t="str">
        <x:v>設備構成、代替手順、停止影響を再確認してください。</x:v>
      </x:c>
      <x:c r="L30" s="148" t="str">
        <x:v>不可</x:v>
      </x:c>
      <x:c r="M30" s="148" t="str">
        <x:v>整合性警告</x:v>
      </x:c>
      <x:c r="N30" s="148" t="str">
        <x:v>CTA-RECHECK</x:v>
      </x:c>
      <x:c r="O30" s="148" t="str">
        <x:v>レビュー前</x:v>
      </x:c>
      <x:c r="P30" s="367" t="str"/>
      <x:c r="Q30" s="117"/>
      <x:c r="R30" s="117"/>
      <x:c r="S30" s="117"/>
      <x:c r="T30" s="117"/>
      <x:c r="U30" s="117"/>
      <x:c r="V30" s="117"/>
      <x:c r="W30" s="117"/>
      <x:c r="X30" s="117"/>
      <x:c r="Y30" s="117"/>
      <x:c r="Z30" s="117"/>
    </x:row>
    <x:row r="31">
      <x:c r="A31" s="366" t="str">
        <x:v>GR-DUE-L1-01</x:v>
      </x:c>
      <x:c r="B31" s="148" t="str">
        <x:v>期限</x:v>
      </x:c>
      <x:c r="C31" s="148" t="str">
        <x:v>管理</x:v>
      </x:c>
      <x:c r="D31" s="148" t="str">
        <x:v>L1</x:v>
      </x:c>
      <x:c r="E31" s="148" t="str">
        <x:v>期限状況不明</x:v>
      </x:c>
      <x:c r="F31" s="148" t="str">
        <x:v>なし</x:v>
      </x:c>
      <x:c r="G31" s="148" t="str">
        <x:v>B</x:v>
      </x:c>
      <x:c r="H31" s="148" t="str">
        <x:v>対応期限を判断する情報が不足しています。</x:v>
      </x:c>
      <x:c r="I31" s="148" t="str">
        <x:v>見積、稟議、工事準備に必要な期間を評価できません。</x:v>
      </x:c>
      <x:c r="J31" s="148" t="str">
        <x:v>期限不明をもって余裕があるとは判断しません。</x:v>
      </x:c>
      <x:c r="K31" s="148" t="str">
        <x:v>予算日程、監査期限、定修日程を確認してください。</x:v>
      </x:c>
      <x:c r="L31" s="148" t="str">
        <x:v>可</x:v>
      </x:c>
      <x:c r="M31" s="148" t="str">
        <x:v>不足情報／ロードマップ</x:v>
      </x:c>
      <x:c r="N31" s="148" t="str">
        <x:v>CTA-PLAN</x:v>
      </x:c>
      <x:c r="O31" s="148" t="str">
        <x:v>レビュー前</x:v>
      </x:c>
      <x:c r="P31" s="367" t="str"/>
      <x:c r="Q31" s="117"/>
      <x:c r="R31" s="117"/>
      <x:c r="S31" s="117"/>
      <x:c r="T31" s="117"/>
      <x:c r="U31" s="117"/>
      <x:c r="V31" s="117"/>
      <x:c r="W31" s="117"/>
      <x:c r="X31" s="117"/>
      <x:c r="Y31" s="117"/>
      <x:c r="Z31" s="117"/>
    </x:row>
    <x:row r="32">
      <x:c r="A32" s="366" t="str">
        <x:v>GR-DUE-L0-01</x:v>
      </x:c>
      <x:c r="B32" s="148" t="str">
        <x:v>期限</x:v>
      </x:c>
      <x:c r="C32" s="148" t="str">
        <x:v>管理</x:v>
      </x:c>
      <x:c r="D32" s="148" t="str">
        <x:v>L0</x:v>
      </x:c>
      <x:c r="E32" s="148" t="str">
        <x:v>期限回答と資料が矛盾</x:v>
      </x:c>
      <x:c r="F32" s="148" t="str">
        <x:v>なし</x:v>
      </x:c>
      <x:c r="G32" s="148" t="str">
        <x:v>A</x:v>
      </x:c>
      <x:c r="H32" s="148" t="str">
        <x:v>対応期限に関する回答と登録資料に相違があります。</x:v>
      </x:c>
      <x:c r="I32" s="148" t="str">
        <x:v>着手時期を正しく設定できません。</x:v>
      </x:c>
      <x:c r="J32" s="148" t="str">
        <x:v>矛盾解消までロードマップ確定を停止します。</x:v>
      </x:c>
      <x:c r="K32" s="148" t="str">
        <x:v>正式期限と社内決裁日程を再確認してください。</x:v>
      </x:c>
      <x:c r="L32" s="148" t="str">
        <x:v>不可</x:v>
      </x:c>
      <x:c r="M32" s="148" t="str">
        <x:v>整合性警告</x:v>
      </x:c>
      <x:c r="N32" s="148" t="str">
        <x:v>CTA-RECHECK</x:v>
      </x:c>
      <x:c r="O32" s="148" t="str">
        <x:v>レビュー前</x:v>
      </x:c>
      <x:c r="P32" s="367" t="str"/>
      <x:c r="Q32" s="117"/>
      <x:c r="R32" s="117"/>
      <x:c r="S32" s="117"/>
      <x:c r="T32" s="117"/>
      <x:c r="U32" s="117"/>
      <x:c r="V32" s="117"/>
      <x:c r="W32" s="117"/>
      <x:c r="X32" s="117"/>
      <x:c r="Y32" s="117"/>
      <x:c r="Z32" s="117"/>
    </x:row>
    <x:row r="33">
      <x:c r="A33" s="366" t="str">
        <x:v>GR-CUST-L3-01</x:v>
      </x:c>
      <x:c r="B33" s="148" t="str">
        <x:v>顧客要求</x:v>
      </x:c>
      <x:c r="C33" s="148" t="str">
        <x:v>品質・管理</x:v>
      </x:c>
      <x:c r="D33" s="148" t="str">
        <x:v>L3</x:v>
      </x:c>
      <x:c r="E33" s="148" t="str">
        <x:v>重大要求を正式文書で確認</x:v>
      </x:c>
      <x:c r="F33" s="148" t="str">
        <x:v>是正完了</x:v>
      </x:c>
      <x:c r="G33" s="148" t="str">
        <x:v>S</x:v>
      </x:c>
      <x:c r="H33" s="148" t="str">
        <x:v>顧客、監査または外部機関からの改善要求が確認されています。</x:v>
      </x:c>
      <x:c r="I33" s="148" t="str">
        <x:v>未対応の場合、取引、品質保証、認証維持へ影響する可能性があります。</x:v>
      </x:c>
      <x:c r="J33" s="148" t="str">
        <x:v>設備課題と外部期限を一体で管理する必要があります。</x:v>
      </x:c>
      <x:c r="K33" s="148" t="str">
        <x:v>要求内容、期限、責任者、是正計画を整理してください。</x:v>
      </x:c>
      <x:c r="L33" s="148" t="str">
        <x:v>不可</x:v>
      </x:c>
      <x:c r="M33" s="148" t="str">
        <x:v>Guardrail</x:v>
      </x:c>
      <x:c r="N33" s="148" t="str">
        <x:v>CTA-QUALITY</x:v>
      </x:c>
      <x:c r="O33" s="148" t="str">
        <x:v>レビュー前</x:v>
      </x:c>
      <x:c r="P33" s="367" t="str"/>
      <x:c r="Q33" s="117"/>
      <x:c r="R33" s="117"/>
      <x:c r="S33" s="117"/>
      <x:c r="T33" s="117"/>
      <x:c r="U33" s="117"/>
      <x:c r="V33" s="117"/>
      <x:c r="W33" s="117"/>
      <x:c r="X33" s="117"/>
      <x:c r="Y33" s="117"/>
      <x:c r="Z33" s="117"/>
    </x:row>
    <x:row r="34">
      <x:c r="A34" s="366" t="str">
        <x:v>GR-CUST-L2-01</x:v>
      </x:c>
      <x:c r="B34" s="148" t="str">
        <x:v>顧客要求</x:v>
      </x:c>
      <x:c r="C34" s="148" t="str">
        <x:v>品質・管理</x:v>
      </x:c>
      <x:c r="D34" s="148" t="str">
        <x:v>L2</x:v>
      </x:c>
      <x:c r="E34" s="148" t="str">
        <x:v>改善要求を自己申告</x:v>
      </x:c>
      <x:c r="F34" s="148" t="str">
        <x:v>なし</x:v>
      </x:c>
      <x:c r="G34" s="148" t="str">
        <x:v>A</x:v>
      </x:c>
      <x:c r="H34" s="148" t="str">
        <x:v>顧客または監査上の改善要求がある可能性があります。</x:v>
      </x:c>
      <x:c r="I34" s="148" t="str">
        <x:v>対応遅れが品質保証や取引条件へ影響する可能性があります。</x:v>
      </x:c>
      <x:c r="J34" s="148" t="str">
        <x:v>要求内容と期限は未確認です。</x:v>
      </x:c>
      <x:c r="K34" s="148" t="str">
        <x:v>正式な要求書と社内対応状況を確認してください。</x:v>
      </x:c>
      <x:c r="L34" s="148" t="str">
        <x:v>可</x:v>
      </x:c>
      <x:c r="M34" s="148" t="str">
        <x:v>Guardrail</x:v>
      </x:c>
      <x:c r="N34" s="148" t="str">
        <x:v>CTA-QUALITY</x:v>
      </x:c>
      <x:c r="O34" s="148" t="str">
        <x:v>レビュー前</x:v>
      </x:c>
      <x:c r="P34" s="367" t="str"/>
      <x:c r="Q34" s="117"/>
      <x:c r="R34" s="117"/>
      <x:c r="S34" s="117"/>
      <x:c r="T34" s="117"/>
      <x:c r="U34" s="117"/>
      <x:c r="V34" s="117"/>
      <x:c r="W34" s="117"/>
      <x:c r="X34" s="117"/>
      <x:c r="Y34" s="117"/>
      <x:c r="Z34" s="117"/>
    </x:row>
    <x:row r="35">
      <x:c r="A35" s="366" t="str">
        <x:v>GR-CUST-L1-01</x:v>
      </x:c>
      <x:c r="B35" s="148" t="str">
        <x:v>顧客要求</x:v>
      </x:c>
      <x:c r="C35" s="148" t="str">
        <x:v>品質・管理</x:v>
      </x:c>
      <x:c r="D35" s="148" t="str">
        <x:v>L1</x:v>
      </x:c>
      <x:c r="E35" s="148" t="str">
        <x:v>外部要求状況不明</x:v>
      </x:c>
      <x:c r="F35" s="148" t="str">
        <x:v>なし</x:v>
      </x:c>
      <x:c r="G35" s="148" t="str">
        <x:v>B</x:v>
      </x:c>
      <x:c r="H35" s="148" t="str">
        <x:v>顧客・監査要求を判断する情報が不足しています。</x:v>
      </x:c>
      <x:c r="I35" s="148" t="str">
        <x:v>外部期限や是正条件を評価できません。</x:v>
      </x:c>
      <x:c r="J35" s="148" t="str">
        <x:v>未確認をもって要求なしとは判断しません。</x:v>
      </x:c>
      <x:c r="K35" s="148" t="str">
        <x:v>監査記録、顧客通知、是正依頼を確認してください。</x:v>
      </x:c>
      <x:c r="L35" s="148" t="str">
        <x:v>可</x:v>
      </x:c>
      <x:c r="M35" s="148" t="str">
        <x:v>不足情報</x:v>
      </x:c>
      <x:c r="N35" s="148" t="str">
        <x:v>CTA-QUALITY</x:v>
      </x:c>
      <x:c r="O35" s="148" t="str">
        <x:v>レビュー前</x:v>
      </x:c>
      <x:c r="P35" s="367" t="str"/>
      <x:c r="Q35" s="117"/>
      <x:c r="R35" s="117"/>
      <x:c r="S35" s="117"/>
      <x:c r="T35" s="117"/>
      <x:c r="U35" s="117"/>
      <x:c r="V35" s="117"/>
      <x:c r="W35" s="117"/>
      <x:c r="X35" s="117"/>
      <x:c r="Y35" s="117"/>
      <x:c r="Z35" s="117"/>
    </x:row>
    <x:row r="36">
      <x:c r="A36" s="366" t="str">
        <x:v>GR-CUST-L0-01</x:v>
      </x:c>
      <x:c r="B36" s="148" t="str">
        <x:v>顧客要求</x:v>
      </x:c>
      <x:c r="C36" s="148" t="str">
        <x:v>品質・管理</x:v>
      </x:c>
      <x:c r="D36" s="148" t="str">
        <x:v>L0</x:v>
      </x:c>
      <x:c r="E36" s="148" t="str">
        <x:v>回答と要求書が矛盾</x:v>
      </x:c>
      <x:c r="F36" s="148" t="str">
        <x:v>なし</x:v>
      </x:c>
      <x:c r="G36" s="148" t="str">
        <x:v>S</x:v>
      </x:c>
      <x:c r="H36" s="148" t="str">
        <x:v>顧客・監査要求に関する回答と資料に相違があります。</x:v>
      </x:c>
      <x:c r="I36" s="148" t="str">
        <x:v>外部要求への対応状況を正しく判断できません。</x:v>
      </x:c>
      <x:c r="J36" s="148" t="str">
        <x:v>矛盾解消まで適合・対応済みの判定を停止します。</x:v>
      </x:c>
      <x:c r="K36" s="148" t="str">
        <x:v>要求書、期限、是正記録を再確認してください。</x:v>
      </x:c>
      <x:c r="L36" s="148" t="str">
        <x:v>不可</x:v>
      </x:c>
      <x:c r="M36" s="148" t="str">
        <x:v>整合性警告</x:v>
      </x:c>
      <x:c r="N36" s="148" t="str">
        <x:v>CTA-RECHECK</x:v>
      </x:c>
      <x:c r="O36" s="148" t="str">
        <x:v>レビュー前</x:v>
      </x:c>
      <x:c r="P36" s="367" t="str"/>
      <x:c r="Q36" s="117"/>
      <x:c r="R36" s="117"/>
      <x:c r="S36" s="117"/>
      <x:c r="T36" s="117"/>
      <x:c r="U36" s="117"/>
      <x:c r="V36" s="117"/>
      <x:c r="W36" s="117"/>
      <x:c r="X36" s="117"/>
      <x:c r="Y36" s="117"/>
      <x:c r="Z36" s="117"/>
    </x:row>
    <x:row r="37">
      <x:c r="A37" s="366" t="str">
        <x:v>GR-BLD-L3-01</x:v>
      </x:c>
      <x:c r="B37" s="148" t="str">
        <x:v>建屋安全</x:v>
      </x:c>
      <x:c r="C37" s="148" t="str">
        <x:v>建物・環境</x:v>
      </x:c>
      <x:c r="D37" s="148" t="str">
        <x:v>L3</x:v>
      </x:c>
      <x:c r="E37" s="148" t="str">
        <x:v>重大な雨漏り・結露を確認</x:v>
      </x:c>
      <x:c r="F37" s="148" t="str">
        <x:v>是正完了</x:v>
      </x:c>
      <x:c r="G37" s="148" t="str">
        <x:v>A</x:v>
      </x:c>
      <x:c r="H37" s="148" t="str">
        <x:v>雨漏りまたは結露が継続していることが確認されています。</x:v>
      </x:c>
      <x:c r="I37" s="148" t="str">
        <x:v>衛生、腐食、漏電、設備故障、製品品質へ影響するおそれがあります。</x:v>
      </x:c>
      <x:c r="J37" s="148" t="str">
        <x:v>応急処置だけでなく発生原因と再発条件の確認が必要です。</x:v>
      </x:c>
      <x:c r="K37" s="148" t="str">
        <x:v>発生位置、温湿度、表面温度、影響範囲を現地確認してください。</x:v>
      </x:c>
      <x:c r="L37" s="148" t="str">
        <x:v>可</x:v>
      </x:c>
      <x:c r="M37" s="148" t="str">
        <x:v>Guardrail／建物評価</x:v>
      </x:c>
      <x:c r="N37" s="148" t="str">
        <x:v>CTA-BLD</x:v>
      </x:c>
      <x:c r="O37" s="148" t="str">
        <x:v>レビュー前</x:v>
      </x:c>
      <x:c r="P37" s="367" t="str"/>
      <x:c r="Q37" s="117"/>
      <x:c r="R37" s="117"/>
      <x:c r="S37" s="117"/>
      <x:c r="T37" s="117"/>
      <x:c r="U37" s="117"/>
      <x:c r="V37" s="117"/>
      <x:c r="W37" s="117"/>
      <x:c r="X37" s="117"/>
      <x:c r="Y37" s="117"/>
      <x:c r="Z37" s="117"/>
    </x:row>
    <x:row r="38">
      <x:c r="A38" s="366" t="str">
        <x:v>GR-BLD-L1-01</x:v>
      </x:c>
      <x:c r="B38" s="148" t="str">
        <x:v>建屋安全</x:v>
      </x:c>
      <x:c r="C38" s="148" t="str">
        <x:v>建物・環境</x:v>
      </x:c>
      <x:c r="D38" s="148" t="str">
        <x:v>L1</x:v>
      </x:c>
      <x:c r="E38" s="148" t="str">
        <x:v>建屋異常の有無不明</x:v>
      </x:c>
      <x:c r="F38" s="148" t="str">
        <x:v>なし</x:v>
      </x:c>
      <x:c r="G38" s="148" t="str">
        <x:v>B</x:v>
      </x:c>
      <x:c r="H38" s="148" t="str">
        <x:v>雨漏り・結露等の発生状況を判断する情報が不足しています。</x:v>
      </x:c>
      <x:c r="I38" s="148" t="str">
        <x:v>設備・品質への影響を評価できません。</x:v>
      </x:c>
      <x:c r="J38" s="148" t="str">
        <x:v>未確認をもって問題なしとは判断しません。</x:v>
      </x:c>
      <x:c r="K38" s="148" t="str">
        <x:v>写真、発生時期、温湿度、修繕履歴を確認してください。</x:v>
      </x:c>
      <x:c r="L38" s="148" t="str">
        <x:v>可</x:v>
      </x:c>
      <x:c r="M38" s="148" t="str">
        <x:v>不足情報／建物評価</x:v>
      </x:c>
      <x:c r="N38" s="148" t="str">
        <x:v>CTA-BLD</x:v>
      </x:c>
      <x:c r="O38" s="148" t="str">
        <x:v>レビュー前</x:v>
      </x:c>
      <x:c r="P38" s="367" t="str"/>
      <x:c r="Q38" s="117"/>
      <x:c r="R38" s="117"/>
      <x:c r="S38" s="117"/>
      <x:c r="T38" s="117"/>
      <x:c r="U38" s="117"/>
      <x:c r="V38" s="117"/>
      <x:c r="W38" s="117"/>
      <x:c r="X38" s="117"/>
      <x:c r="Y38" s="117"/>
      <x:c r="Z38" s="117"/>
    </x:row>
    <x:row r="39">
      <x:c r="A39" s="366" t="str">
        <x:v>GR-BLD-L0-01</x:v>
      </x:c>
      <x:c r="B39" s="148" t="str">
        <x:v>建屋安全</x:v>
      </x:c>
      <x:c r="C39" s="148" t="str">
        <x:v>建物・環境</x:v>
      </x:c>
      <x:c r="D39" s="148" t="str">
        <x:v>L0</x:v>
      </x:c>
      <x:c r="E39" s="148" t="str">
        <x:v>回答と写真・記録が矛盾</x:v>
      </x:c>
      <x:c r="F39" s="148" t="str">
        <x:v>なし</x:v>
      </x:c>
      <x:c r="G39" s="148" t="str">
        <x:v>A</x:v>
      </x:c>
      <x:c r="H39" s="148" t="str">
        <x:v>建屋不具合に関する回答と登録資料に相違があります。</x:v>
      </x:c>
      <x:c r="I39" s="148" t="str">
        <x:v>影響範囲と優先度を正しく判定できません。</x:v>
      </x:c>
      <x:c r="J39" s="148" t="str">
        <x:v>矛盾解消まで建屋Guardrail判定を停止します。</x:v>
      </x:c>
      <x:c r="K39" s="148" t="str">
        <x:v>対象箇所、発生日、写真、修繕履歴を再確認してください。</x:v>
      </x:c>
      <x:c r="L39" s="148" t="str">
        <x:v>不可</x:v>
      </x:c>
      <x:c r="M39" s="148" t="str">
        <x:v>整合性警告</x:v>
      </x:c>
      <x:c r="N39" s="148" t="str">
        <x:v>CTA-RECHECK</x:v>
      </x:c>
      <x:c r="O39" s="148" t="str">
        <x:v>レビュー前</x:v>
      </x:c>
      <x:c r="P39" s="367" t="str"/>
      <x:c r="Q39" s="117"/>
      <x:c r="R39" s="117"/>
      <x:c r="S39" s="117"/>
      <x:c r="T39" s="117"/>
      <x:c r="U39" s="117"/>
      <x:c r="V39" s="117"/>
      <x:c r="W39" s="117"/>
      <x:c r="X39" s="117"/>
      <x:c r="Y39" s="117"/>
      <x:c r="Z39" s="117"/>
    </x:row>
    <x:row r="40">
      <x:c r="A40" s="366" t="str">
        <x:v>EDI-AGE-L2-01</x:v>
      </x:c>
      <x:c r="B40" s="148" t="str">
        <x:v>経年</x:v>
      </x:c>
      <x:c r="C40" s="148" t="str">
        <x:v>設備</x:v>
      </x:c>
      <x:c r="D40" s="148" t="str">
        <x:v>L2</x:v>
      </x:c>
      <x:c r="E40" s="148" t="str">
        <x:v>20年以上を自己申告</x:v>
      </x:c>
      <x:c r="F40" s="148" t="str">
        <x:v>更新済み</x:v>
      </x:c>
      <x:c r="G40" s="148" t="str">
        <x:v>A</x:v>
      </x:c>
      <x:c r="H40" s="148" t="str">
        <x:v>主要設備の一部または多くが設置後20年以上経過している可能性があります。</x:v>
      </x:c>
      <x:c r="I40" s="148" t="str">
        <x:v>経年劣化や部品入手性低下への備えが必要な可能性があります。</x:v>
      </x:c>
      <x:c r="J40" s="148" t="str">
        <x:v>設置年と更新履歴は未確認です。</x:v>
      </x:c>
      <x:c r="K40" s="148" t="str">
        <x:v>銘板、設備台帳、更新履歴を確認してください。</x:v>
      </x:c>
      <x:c r="L40" s="148" t="str">
        <x:v>可</x:v>
      </x:c>
      <x:c r="M40" s="148" t="str">
        <x:v>EDI詳細／TOP5</x:v>
      </x:c>
      <x:c r="N40" s="148" t="str">
        <x:v>CTA-EQP</x:v>
      </x:c>
      <x:c r="O40" s="148" t="str">
        <x:v>レビュー前</x:v>
      </x:c>
      <x:c r="P40" s="367" t="str"/>
      <x:c r="Q40" s="117"/>
      <x:c r="R40" s="117"/>
      <x:c r="S40" s="117"/>
      <x:c r="T40" s="117"/>
      <x:c r="U40" s="117"/>
      <x:c r="V40" s="117"/>
      <x:c r="W40" s="117"/>
      <x:c r="X40" s="117"/>
      <x:c r="Y40" s="117"/>
      <x:c r="Z40" s="117"/>
    </x:row>
    <x:row r="41">
      <x:c r="A41" s="366" t="str">
        <x:v>EDI-AGE-L1-01</x:v>
      </x:c>
      <x:c r="B41" s="148" t="str">
        <x:v>経年</x:v>
      </x:c>
      <x:c r="C41" s="148" t="str">
        <x:v>設備</x:v>
      </x:c>
      <x:c r="D41" s="148" t="str">
        <x:v>L1</x:v>
      </x:c>
      <x:c r="E41" s="148" t="str">
        <x:v>設置年不明</x:v>
      </x:c>
      <x:c r="F41" s="148" t="str">
        <x:v>なし</x:v>
      </x:c>
      <x:c r="G41" s="148" t="str">
        <x:v>B</x:v>
      </x:c>
      <x:c r="H41" s="148" t="str">
        <x:v>主要設備の設置年または更新年を判断する情報が不足しています。</x:v>
      </x:c>
      <x:c r="I41" s="148" t="str">
        <x:v>経年リスクと更新時期を評価できません。</x:v>
      </x:c>
      <x:c r="J41" s="148" t="str">
        <x:v>年式不明をもって新しい設備とは判断しません。</x:v>
      </x:c>
      <x:c r="K41" s="148" t="str">
        <x:v>銘板写真と設備台帳を確認してください。</x:v>
      </x:c>
      <x:c r="L41" s="148" t="str">
        <x:v>可</x:v>
      </x:c>
      <x:c r="M41" s="148" t="str">
        <x:v>不足情報／EDI詳細</x:v>
      </x:c>
      <x:c r="N41" s="148" t="str">
        <x:v>CTA-EQP</x:v>
      </x:c>
      <x:c r="O41" s="148" t="str">
        <x:v>レビュー前</x:v>
      </x:c>
      <x:c r="P41" s="367" t="str"/>
      <x:c r="Q41" s="117"/>
      <x:c r="R41" s="117"/>
      <x:c r="S41" s="117"/>
      <x:c r="T41" s="117"/>
      <x:c r="U41" s="117"/>
      <x:c r="V41" s="117"/>
      <x:c r="W41" s="117"/>
      <x:c r="X41" s="117"/>
      <x:c r="Y41" s="117"/>
      <x:c r="Z41" s="117"/>
    </x:row>
    <x:row r="42">
      <x:c r="A42" s="366" t="str">
        <x:v>EDI-AGE-L0-01</x:v>
      </x:c>
      <x:c r="B42" s="148" t="str">
        <x:v>経年</x:v>
      </x:c>
      <x:c r="C42" s="148" t="str">
        <x:v>設備</x:v>
      </x:c>
      <x:c r="D42" s="148" t="str">
        <x:v>L0</x:v>
      </x:c>
      <x:c r="E42" s="148" t="str">
        <x:v>設置年と更新履歴が矛盾</x:v>
      </x:c>
      <x:c r="F42" s="148" t="str">
        <x:v>なし</x:v>
      </x:c>
      <x:c r="G42" s="148" t="str">
        <x:v>A</x:v>
      </x:c>
      <x:c r="H42" s="148" t="str">
        <x:v>設置年または更新年に関する回答と資料に相違があります。</x:v>
      </x:c>
      <x:c r="I42" s="148" t="str">
        <x:v>設備年齢を正しく算定できません。</x:v>
      </x:c>
      <x:c r="J42" s="148" t="str">
        <x:v>矛盾解消まで経年評価を停止します。</x:v>
      </x:c>
      <x:c r="K42" s="148" t="str">
        <x:v>銘板、更新記録、台帳を再確認してください。</x:v>
      </x:c>
      <x:c r="L42" s="148" t="str">
        <x:v>不可</x:v>
      </x:c>
      <x:c r="M42" s="148" t="str">
        <x:v>整合性警告</x:v>
      </x:c>
      <x:c r="N42" s="148" t="str">
        <x:v>CTA-RECHECK</x:v>
      </x:c>
      <x:c r="O42" s="148" t="str">
        <x:v>レビュー前</x:v>
      </x:c>
      <x:c r="P42" s="367" t="str"/>
      <x:c r="Q42" s="117"/>
      <x:c r="R42" s="117"/>
      <x:c r="S42" s="117"/>
      <x:c r="T42" s="117"/>
      <x:c r="U42" s="117"/>
      <x:c r="V42" s="117"/>
      <x:c r="W42" s="117"/>
      <x:c r="X42" s="117"/>
      <x:c r="Y42" s="117"/>
      <x:c r="Z42" s="117"/>
    </x:row>
    <x:row r="43">
      <x:c r="A43" s="366" t="str">
        <x:v>EDI-FAIL-L3-01</x:v>
      </x:c>
      <x:c r="B43" s="148" t="str">
        <x:v>故障傾向</x:v>
      </x:c>
      <x:c r="C43" s="148" t="str">
        <x:v>設備</x:v>
      </x:c>
      <x:c r="D43" s="148" t="str">
        <x:v>L3</x:v>
      </x:c>
      <x:c r="E43" s="148" t="str">
        <x:v>故障増加を履歴で確認</x:v>
      </x:c>
      <x:c r="F43" s="148" t="str">
        <x:v>対策完了</x:v>
      </x:c>
      <x:c r="G43" s="148" t="str">
        <x:v>A</x:v>
      </x:c>
      <x:c r="H43" s="148" t="str">
        <x:v>故障・異常の発生頻度が増加していることが確認されています。</x:v>
      </x:c>
      <x:c r="I43" s="148" t="str">
        <x:v>突発停止や修理費増加につながる可能性があります。</x:v>
      </x:c>
      <x:c r="J43" s="148" t="str">
        <x:v>故障件数だけでなく原因傾向と停止影響を確認する必要があります。</x:v>
      </x:c>
      <x:c r="K43" s="148" t="str">
        <x:v>直近3年の故障履歴を原因別に整理し、更新・監視・予備品を比較してください。</x:v>
      </x:c>
      <x:c r="L43" s="148" t="str">
        <x:v>可</x:v>
      </x:c>
      <x:c r="M43" s="148" t="str">
        <x:v>EDI詳細／TOP5</x:v>
      </x:c>
      <x:c r="N43" s="148" t="str">
        <x:v>CTA-EQP</x:v>
      </x:c>
      <x:c r="O43" s="148" t="str">
        <x:v>レビュー前</x:v>
      </x:c>
      <x:c r="P43" s="367" t="str"/>
      <x:c r="Q43" s="117"/>
      <x:c r="R43" s="117"/>
      <x:c r="S43" s="117"/>
      <x:c r="T43" s="117"/>
      <x:c r="U43" s="117"/>
      <x:c r="V43" s="117"/>
      <x:c r="W43" s="117"/>
      <x:c r="X43" s="117"/>
      <x:c r="Y43" s="117"/>
      <x:c r="Z43" s="117"/>
    </x:row>
    <x:row r="44">
      <x:c r="A44" s="366" t="str">
        <x:v>EDI-FAIL-L1-01</x:v>
      </x:c>
      <x:c r="B44" s="148" t="str">
        <x:v>故障傾向</x:v>
      </x:c>
      <x:c r="C44" s="148" t="str">
        <x:v>設備</x:v>
      </x:c>
      <x:c r="D44" s="148" t="str">
        <x:v>L1</x:v>
      </x:c>
      <x:c r="E44" s="148" t="str">
        <x:v>故障履歴不明</x:v>
      </x:c>
      <x:c r="F44" s="148" t="str">
        <x:v>なし</x:v>
      </x:c>
      <x:c r="G44" s="148" t="str">
        <x:v>B</x:v>
      </x:c>
      <x:c r="H44" s="148" t="str">
        <x:v>故障・異常の発生傾向を判断する情報が不足しています。</x:v>
      </x:c>
      <x:c r="I44" s="148" t="str">
        <x:v>状態悪化の兆候を評価できません。</x:v>
      </x:c>
      <x:c r="J44" s="148" t="str">
        <x:v>記憶だけで故障傾向を断定しません。</x:v>
      </x:c>
      <x:c r="K44" s="148" t="str">
        <x:v>設備別の故障・修理履歴を整理してください。</x:v>
      </x:c>
      <x:c r="L44" s="148" t="str">
        <x:v>可</x:v>
      </x:c>
      <x:c r="M44" s="148" t="str">
        <x:v>不足情報／EDI詳細</x:v>
      </x:c>
      <x:c r="N44" s="148" t="str">
        <x:v>CTA-EQP</x:v>
      </x:c>
      <x:c r="O44" s="148" t="str">
        <x:v>レビュー前</x:v>
      </x:c>
      <x:c r="P44" s="367" t="str"/>
      <x:c r="Q44" s="117"/>
      <x:c r="R44" s="117"/>
      <x:c r="S44" s="117"/>
      <x:c r="T44" s="117"/>
      <x:c r="U44" s="117"/>
      <x:c r="V44" s="117"/>
      <x:c r="W44" s="117"/>
      <x:c r="X44" s="117"/>
      <x:c r="Y44" s="117"/>
      <x:c r="Z44" s="117"/>
    </x:row>
    <x:row r="45">
      <x:c r="A45" s="366" t="str">
        <x:v>EDI-FAIL-L0-01</x:v>
      </x:c>
      <x:c r="B45" s="148" t="str">
        <x:v>故障傾向</x:v>
      </x:c>
      <x:c r="C45" s="148" t="str">
        <x:v>設備</x:v>
      </x:c>
      <x:c r="D45" s="148" t="str">
        <x:v>L0</x:v>
      </x:c>
      <x:c r="E45" s="148" t="str">
        <x:v>回答と故障履歴が矛盾</x:v>
      </x:c>
      <x:c r="F45" s="148" t="str">
        <x:v>なし</x:v>
      </x:c>
      <x:c r="G45" s="148" t="str">
        <x:v>A</x:v>
      </x:c>
      <x:c r="H45" s="148" t="str">
        <x:v>故障傾向に関する回答と履歴資料に相違があります。</x:v>
      </x:c>
      <x:c r="I45" s="148" t="str">
        <x:v>状態悪化の有無を正しく判定できません。</x:v>
      </x:c>
      <x:c r="J45" s="148" t="str">
        <x:v>矛盾解消まで故障傾向評価を停止します。</x:v>
      </x:c>
      <x:c r="K45" s="148" t="str">
        <x:v>故障件数、対象設備、集計期間を再確認してください。</x:v>
      </x:c>
      <x:c r="L45" s="148" t="str">
        <x:v>不可</x:v>
      </x:c>
      <x:c r="M45" s="148" t="str">
        <x:v>整合性警告</x:v>
      </x:c>
      <x:c r="N45" s="148" t="str">
        <x:v>CTA-RECHECK</x:v>
      </x:c>
      <x:c r="O45" s="148" t="str">
        <x:v>レビュー前</x:v>
      </x:c>
      <x:c r="P45" s="367" t="str"/>
      <x:c r="Q45" s="117"/>
      <x:c r="R45" s="117"/>
      <x:c r="S45" s="117"/>
      <x:c r="T45" s="117"/>
      <x:c r="U45" s="117"/>
      <x:c r="V45" s="117"/>
      <x:c r="W45" s="117"/>
      <x:c r="X45" s="117"/>
      <x:c r="Y45" s="117"/>
      <x:c r="Z45" s="117"/>
    </x:row>
    <x:row r="46">
      <x:c r="A46" s="366" t="str">
        <x:v>EDI-MAINT-L3-01</x:v>
      </x:c>
      <x:c r="B46" s="148" t="str">
        <x:v>保全</x:v>
      </x:c>
      <x:c r="C46" s="148" t="str">
        <x:v>設備管理</x:v>
      </x:c>
      <x:c r="D46" s="148" t="str">
        <x:v>L3</x:v>
      </x:c>
      <x:c r="E46" s="148" t="str">
        <x:v>保全計画・履歴を確認</x:v>
      </x:c>
      <x:c r="F46" s="148" t="str">
        <x:v>なし</x:v>
      </x:c>
      <x:c r="G46" s="148" t="str">
        <x:v>B</x:v>
      </x:c>
      <x:c r="H46" s="148" t="str">
        <x:v>主要設備について定期保全または状態監視が実施されています。</x:v>
      </x:c>
      <x:c r="I46" s="148" t="str">
        <x:v>故障予防と状態把握の基盤が整っています。</x:v>
      </x:c>
      <x:c r="J46" s="148" t="str">
        <x:v>個別の未対応指摘は別途確認が必要です。</x:v>
      </x:c>
      <x:c r="K46" s="148" t="str">
        <x:v>点検結果と更新計画を継続的に連携してください。</x:v>
      </x:c>
      <x:c r="L46" s="148" t="str">
        <x:v>可</x:v>
      </x:c>
      <x:c r="M46" s="148" t="str">
        <x:v>EDI詳細</x:v>
      </x:c>
      <x:c r="N46" s="148" t="str">
        <x:v>CTA-EQP</x:v>
      </x:c>
      <x:c r="O46" s="148" t="str">
        <x:v>レビュー前</x:v>
      </x:c>
      <x:c r="P46" s="367" t="str"/>
      <x:c r="Q46" s="117"/>
      <x:c r="R46" s="117"/>
      <x:c r="S46" s="117"/>
      <x:c r="T46" s="117"/>
      <x:c r="U46" s="117"/>
      <x:c r="V46" s="117"/>
      <x:c r="W46" s="117"/>
      <x:c r="X46" s="117"/>
      <x:c r="Y46" s="117"/>
      <x:c r="Z46" s="117"/>
    </x:row>
    <x:row r="47">
      <x:c r="A47" s="366" t="str">
        <x:v>EDI-MAINT-L2-01</x:v>
      </x:c>
      <x:c r="B47" s="148" t="str">
        <x:v>保全</x:v>
      </x:c>
      <x:c r="C47" s="148" t="str">
        <x:v>設備管理</x:v>
      </x:c>
      <x:c r="D47" s="148" t="str">
        <x:v>L2</x:v>
      </x:c>
      <x:c r="E47" s="148" t="str">
        <x:v>保全実施を自己申告</x:v>
      </x:c>
      <x:c r="F47" s="148" t="str">
        <x:v>なし</x:v>
      </x:c>
      <x:c r="G47" s="148" t="str">
        <x:v>B</x:v>
      </x:c>
      <x:c r="H47" s="148" t="str">
        <x:v>主要設備に対して定期保全が実施されている可能性があります。</x:v>
      </x:c>
      <x:c r="I47" s="148" t="str">
        <x:v>保全内容と効果を確認できていません。</x:v>
      </x:c>
      <x:c r="J47" s="148" t="str">
        <x:v>実施有無だけで十分な保全とは断定しません。</x:v>
      </x:c>
      <x:c r="K47" s="148" t="str">
        <x:v>保全計画、周期、記録を確認してください。</x:v>
      </x:c>
      <x:c r="L47" s="148" t="str">
        <x:v>可</x:v>
      </x:c>
      <x:c r="M47" s="148" t="str">
        <x:v>EDI詳細</x:v>
      </x:c>
      <x:c r="N47" s="148" t="str">
        <x:v>CTA-EQP</x:v>
      </x:c>
      <x:c r="O47" s="148" t="str">
        <x:v>レビュー前</x:v>
      </x:c>
      <x:c r="P47" s="367" t="str"/>
      <x:c r="Q47" s="117"/>
      <x:c r="R47" s="117"/>
      <x:c r="S47" s="117"/>
      <x:c r="T47" s="117"/>
      <x:c r="U47" s="117"/>
      <x:c r="V47" s="117"/>
      <x:c r="W47" s="117"/>
      <x:c r="X47" s="117"/>
      <x:c r="Y47" s="117"/>
      <x:c r="Z47" s="117"/>
    </x:row>
    <x:row r="48">
      <x:c r="A48" s="366" t="str">
        <x:v>EDI-MAINT-L1-01</x:v>
      </x:c>
      <x:c r="B48" s="148" t="str">
        <x:v>保全</x:v>
      </x:c>
      <x:c r="C48" s="148" t="str">
        <x:v>設備管理</x:v>
      </x:c>
      <x:c r="D48" s="148" t="str">
        <x:v>L1</x:v>
      </x:c>
      <x:c r="E48" s="148" t="str">
        <x:v>保全状況不明</x:v>
      </x:c>
      <x:c r="F48" s="148" t="str">
        <x:v>なし</x:v>
      </x:c>
      <x:c r="G48" s="148" t="str">
        <x:v>B</x:v>
      </x:c>
      <x:c r="H48" s="148" t="str">
        <x:v>主要設備の保全方式と実施状況を判断する情報が不足しています。</x:v>
      </x:c>
      <x:c r="I48" s="148" t="str">
        <x:v>故障予防の有効性を評価できません。</x:v>
      </x:c>
      <x:c r="J48" s="148" t="str">
        <x:v>情報不足をもって未実施とは判定しません。</x:v>
      </x:c>
      <x:c r="K48" s="148" t="str">
        <x:v>保全計画と点検記録を確認してください。</x:v>
      </x:c>
      <x:c r="L48" s="148" t="str">
        <x:v>可</x:v>
      </x:c>
      <x:c r="M48" s="148" t="str">
        <x:v>不足情報</x:v>
      </x:c>
      <x:c r="N48" s="148" t="str">
        <x:v>CTA-EQP</x:v>
      </x:c>
      <x:c r="O48" s="148" t="str">
        <x:v>レビュー前</x:v>
      </x:c>
      <x:c r="P48" s="367" t="str"/>
      <x:c r="Q48" s="117"/>
      <x:c r="R48" s="117"/>
      <x:c r="S48" s="117"/>
      <x:c r="T48" s="117"/>
      <x:c r="U48" s="117"/>
      <x:c r="V48" s="117"/>
      <x:c r="W48" s="117"/>
      <x:c r="X48" s="117"/>
      <x:c r="Y48" s="117"/>
      <x:c r="Z48" s="117"/>
    </x:row>
    <x:row r="49">
      <x:c r="A49" s="366" t="str">
        <x:v>EDI-MAINT-L0-01</x:v>
      </x:c>
      <x:c r="B49" s="148" t="str">
        <x:v>保全</x:v>
      </x:c>
      <x:c r="C49" s="148" t="str">
        <x:v>設備管理</x:v>
      </x:c>
      <x:c r="D49" s="148" t="str">
        <x:v>L0</x:v>
      </x:c>
      <x:c r="E49" s="148" t="str">
        <x:v>保全回答と履歴が矛盾</x:v>
      </x:c>
      <x:c r="F49" s="148" t="str">
        <x:v>なし</x:v>
      </x:c>
      <x:c r="G49" s="148" t="str">
        <x:v>A</x:v>
      </x:c>
      <x:c r="H49" s="148" t="str">
        <x:v>保全実施状況に関する回答と記録に相違があります。</x:v>
      </x:c>
      <x:c r="I49" s="148" t="str">
        <x:v>保全状態を正しく評価できません。</x:v>
      </x:c>
      <x:c r="J49" s="148" t="str">
        <x:v>矛盾解消まで保全評価を停止します。</x:v>
      </x:c>
      <x:c r="K49" s="148" t="str">
        <x:v>計画、実施記録、対象設備を再確認してください。</x:v>
      </x:c>
      <x:c r="L49" s="148" t="str">
        <x:v>不可</x:v>
      </x:c>
      <x:c r="M49" s="148" t="str">
        <x:v>整合性警告</x:v>
      </x:c>
      <x:c r="N49" s="148" t="str">
        <x:v>CTA-RECHECK</x:v>
      </x:c>
      <x:c r="O49" s="148" t="str">
        <x:v>レビュー前</x:v>
      </x:c>
      <x:c r="P49" s="367" t="str"/>
      <x:c r="Q49" s="117"/>
      <x:c r="R49" s="117"/>
      <x:c r="S49" s="117"/>
      <x:c r="T49" s="117"/>
      <x:c r="U49" s="117"/>
      <x:c r="V49" s="117"/>
      <x:c r="W49" s="117"/>
      <x:c r="X49" s="117"/>
      <x:c r="Y49" s="117"/>
      <x:c r="Z49" s="117"/>
    </x:row>
    <x:row r="50">
      <x:c r="A50" s="366" t="str">
        <x:v>EDI-METER-L3-01</x:v>
      </x:c>
      <x:c r="B50" s="148" t="str">
        <x:v>電力把握</x:v>
      </x:c>
      <x:c r="C50" s="148" t="str">
        <x:v>エネルギー</x:v>
      </x:c>
      <x:c r="D50" s="148" t="str">
        <x:v>L3</x:v>
      </x:c>
      <x:c r="E50" s="148" t="str">
        <x:v>設備別計測を確認</x:v>
      </x:c>
      <x:c r="F50" s="148" t="str">
        <x:v>なし</x:v>
      </x:c>
      <x:c r="G50" s="148" t="str">
        <x:v>B</x:v>
      </x:c>
      <x:c r="H50" s="148" t="str">
        <x:v>主要設備・工程別の電力使用量が把握されています。</x:v>
      </x:c>
      <x:c r="I50" s="148" t="str">
        <x:v>省エネ対象と効果検証を定量的に進められる状態です。</x:v>
      </x:c>
      <x:c r="J50" s="148" t="str">
        <x:v>計測点と生産条件の整合性は継続確認が必要です。</x:v>
      </x:c>
      <x:c r="K50" s="148" t="str">
        <x:v>原単位と改善効果を定期的に更新してください。</x:v>
      </x:c>
      <x:c r="L50" s="148" t="str">
        <x:v>可</x:v>
      </x:c>
      <x:c r="M50" s="148" t="str">
        <x:v>エネルギー評価</x:v>
      </x:c>
      <x:c r="N50" s="148" t="str">
        <x:v>CTA-METER</x:v>
      </x:c>
      <x:c r="O50" s="148" t="str">
        <x:v>レビュー前</x:v>
      </x:c>
      <x:c r="P50" s="367" t="str"/>
      <x:c r="Q50" s="117"/>
      <x:c r="R50" s="117"/>
      <x:c r="S50" s="117"/>
      <x:c r="T50" s="117"/>
      <x:c r="U50" s="117"/>
      <x:c r="V50" s="117"/>
      <x:c r="W50" s="117"/>
      <x:c r="X50" s="117"/>
      <x:c r="Y50" s="117"/>
      <x:c r="Z50" s="117"/>
    </x:row>
    <x:row r="51">
      <x:c r="A51" s="366" t="str">
        <x:v>EDI-METER-L2-01</x:v>
      </x:c>
      <x:c r="B51" s="148" t="str">
        <x:v>電力把握</x:v>
      </x:c>
      <x:c r="C51" s="148" t="str">
        <x:v>エネルギー</x:v>
      </x:c>
      <x:c r="D51" s="148" t="str">
        <x:v>L2</x:v>
      </x:c>
      <x:c r="E51" s="148" t="str">
        <x:v>一部計測を自己申告</x:v>
      </x:c>
      <x:c r="F51" s="148" t="str">
        <x:v>なし</x:v>
      </x:c>
      <x:c r="G51" s="148" t="str">
        <x:v>B</x:v>
      </x:c>
      <x:c r="H51" s="148" t="str">
        <x:v>主要設備の一部で電力使用量を把握している可能性があります。</x:v>
      </x:c>
      <x:c r="I51" s="148" t="str">
        <x:v>未計測設備の省エネ余地を比較できません。</x:v>
      </x:c>
      <x:c r="J51" s="148" t="str">
        <x:v>計測範囲と期間は未確認です。</x:v>
      </x:c>
      <x:c r="K51" s="148" t="str">
        <x:v>主要負荷から優先して計測範囲を確認してください。</x:v>
      </x:c>
      <x:c r="L51" s="148" t="str">
        <x:v>可</x:v>
      </x:c>
      <x:c r="M51" s="148" t="str">
        <x:v>エネルギー評価</x:v>
      </x:c>
      <x:c r="N51" s="148" t="str">
        <x:v>CTA-METER</x:v>
      </x:c>
      <x:c r="O51" s="148" t="str">
        <x:v>レビュー前</x:v>
      </x:c>
      <x:c r="P51" s="367" t="str"/>
      <x:c r="Q51" s="117"/>
      <x:c r="R51" s="117"/>
      <x:c r="S51" s="117"/>
      <x:c r="T51" s="117"/>
      <x:c r="U51" s="117"/>
      <x:c r="V51" s="117"/>
      <x:c r="W51" s="117"/>
      <x:c r="X51" s="117"/>
      <x:c r="Y51" s="117"/>
      <x:c r="Z51" s="117"/>
    </x:row>
    <x:row r="52">
      <x:c r="A52" s="366" t="str">
        <x:v>EDI-METER-L0-01</x:v>
      </x:c>
      <x:c r="B52" s="148" t="str">
        <x:v>電力把握</x:v>
      </x:c>
      <x:c r="C52" s="148" t="str">
        <x:v>エネルギー</x:v>
      </x:c>
      <x:c r="D52" s="148" t="str">
        <x:v>L0</x:v>
      </x:c>
      <x:c r="E52" s="148" t="str">
        <x:v>計測回答とデータが矛盾</x:v>
      </x:c>
      <x:c r="F52" s="148" t="str">
        <x:v>なし</x:v>
      </x:c>
      <x:c r="G52" s="148" t="str">
        <x:v>B</x:v>
      </x:c>
      <x:c r="H52" s="148" t="str">
        <x:v>設備別電力把握に関する回答と計測資料に相違があります。</x:v>
      </x:c>
      <x:c r="I52" s="148" t="str">
        <x:v>省エネ効果の算定条件を確定できません。</x:v>
      </x:c>
      <x:c r="J52" s="148" t="str">
        <x:v>矛盾解消まで効果評価を停止します。</x:v>
      </x:c>
      <x:c r="K52" s="148" t="str">
        <x:v>計測点、期間、単位、対象工程を再確認してください。</x:v>
      </x:c>
      <x:c r="L52" s="148" t="str">
        <x:v>不可</x:v>
      </x:c>
      <x:c r="M52" s="148" t="str">
        <x:v>整合性警告</x:v>
      </x:c>
      <x:c r="N52" s="148" t="str">
        <x:v>CTA-RECHECK</x:v>
      </x:c>
      <x:c r="O52" s="148" t="str">
        <x:v>レビュー前</x:v>
      </x:c>
      <x:c r="P52" s="367" t="str"/>
      <x:c r="Q52" s="117"/>
      <x:c r="R52" s="117"/>
      <x:c r="S52" s="117"/>
      <x:c r="T52" s="117"/>
      <x:c r="U52" s="117"/>
      <x:c r="V52" s="117"/>
      <x:c r="W52" s="117"/>
      <x:c r="X52" s="117"/>
      <x:c r="Y52" s="117"/>
      <x:c r="Z52" s="117"/>
    </x:row>
    <x:row r="53">
      <x:c r="A53" s="366" t="str">
        <x:v>DRI-DOC-L3-01</x:v>
      </x:c>
      <x:c r="B53" s="148" t="str">
        <x:v>図面</x:v>
      </x:c>
      <x:c r="C53" s="148" t="str">
        <x:v>経営・更新管理</x:v>
      </x:c>
      <x:c r="D53" s="148" t="str">
        <x:v>L3</x:v>
      </x:c>
      <x:c r="E53" s="148" t="str">
        <x:v>現行図面を確認</x:v>
      </x:c>
      <x:c r="F53" s="148" t="str">
        <x:v>なし</x:v>
      </x:c>
      <x:c r="G53" s="148" t="str">
        <x:v>B</x:v>
      </x:c>
      <x:c r="H53" s="148" t="str">
        <x:v>更新判断に必要な現行図面が確認されています。</x:v>
      </x:c>
      <x:c r="I53" s="148" t="str">
        <x:v>対象範囲と工事条件を具体化しやすい状態です。</x:v>
      </x:c>
      <x:c r="J53" s="148" t="str">
        <x:v>改造反映と版管理は継続確認が必要です。</x:v>
      </x:c>
      <x:c r="K53" s="148" t="str">
        <x:v>図面と現地の差異を確認したうえで仕様化してください。</x:v>
      </x:c>
      <x:c r="L53" s="148" t="str">
        <x:v>可</x:v>
      </x:c>
      <x:c r="M53" s="148" t="str">
        <x:v>DRI詳細</x:v>
      </x:c>
      <x:c r="N53" s="148" t="str">
        <x:v>CTA-DOC</x:v>
      </x:c>
      <x:c r="O53" s="148" t="str">
        <x:v>レビュー前</x:v>
      </x:c>
      <x:c r="P53" s="367" t="str"/>
      <x:c r="Q53" s="117"/>
      <x:c r="R53" s="117"/>
      <x:c r="S53" s="117"/>
      <x:c r="T53" s="117"/>
      <x:c r="U53" s="117"/>
      <x:c r="V53" s="117"/>
      <x:c r="W53" s="117"/>
      <x:c r="X53" s="117"/>
      <x:c r="Y53" s="117"/>
      <x:c r="Z53" s="117"/>
    </x:row>
    <x:row r="54">
      <x:c r="A54" s="366" t="str">
        <x:v>DRI-DOC-L2-01</x:v>
      </x:c>
      <x:c r="B54" s="148" t="str">
        <x:v>図面</x:v>
      </x:c>
      <x:c r="C54" s="148" t="str">
        <x:v>経営・更新管理</x:v>
      </x:c>
      <x:c r="D54" s="148" t="str">
        <x:v>L2</x:v>
      </x:c>
      <x:c r="E54" s="148" t="str">
        <x:v>図面ありを自己申告</x:v>
      </x:c>
      <x:c r="F54" s="148" t="str">
        <x:v>なし</x:v>
      </x:c>
      <x:c r="G54" s="148" t="str">
        <x:v>B</x:v>
      </x:c>
      <x:c r="H54" s="148" t="str">
        <x:v>更新判断に利用できる図面がある可能性があります。</x:v>
      </x:c>
      <x:c r="I54" s="148" t="str">
        <x:v>版や改造反映状況が不明な場合、現地との差異が残ります。</x:v>
      </x:c>
      <x:c r="J54" s="148" t="str">
        <x:v>現行図面として使用できるかは未確認です。</x:v>
      </x:c>
      <x:c r="K54" s="148" t="str">
        <x:v>図面版、更新日、対象範囲を確認してください。</x:v>
      </x:c>
      <x:c r="L54" s="148" t="str">
        <x:v>可</x:v>
      </x:c>
      <x:c r="M54" s="148" t="str">
        <x:v>DRI詳細</x:v>
      </x:c>
      <x:c r="N54" s="148" t="str">
        <x:v>CTA-DOC</x:v>
      </x:c>
      <x:c r="O54" s="148" t="str">
        <x:v>レビュー前</x:v>
      </x:c>
      <x:c r="P54" s="367" t="str"/>
      <x:c r="Q54" s="117"/>
      <x:c r="R54" s="117"/>
      <x:c r="S54" s="117"/>
      <x:c r="T54" s="117"/>
      <x:c r="U54" s="117"/>
      <x:c r="V54" s="117"/>
      <x:c r="W54" s="117"/>
      <x:c r="X54" s="117"/>
      <x:c r="Y54" s="117"/>
      <x:c r="Z54" s="117"/>
    </x:row>
    <x:row r="55">
      <x:c r="A55" s="366" t="str">
        <x:v>DRI-DOC-L0-01</x:v>
      </x:c>
      <x:c r="B55" s="148" t="str">
        <x:v>図面</x:v>
      </x:c>
      <x:c r="C55" s="148" t="str">
        <x:v>経営・更新管理</x:v>
      </x:c>
      <x:c r="D55" s="148" t="str">
        <x:v>L0</x:v>
      </x:c>
      <x:c r="E55" s="148" t="str">
        <x:v>図面回答と添付資料が矛盾</x:v>
      </x:c>
      <x:c r="F55" s="148" t="str">
        <x:v>なし</x:v>
      </x:c>
      <x:c r="G55" s="148" t="str">
        <x:v>A</x:v>
      </x:c>
      <x:c r="H55" s="148" t="str">
        <x:v>図面整備状況に関する回答と登録資料に相違があります。</x:v>
      </x:c>
      <x:c r="I55" s="148" t="str">
        <x:v>更新範囲を正しく判断できません。</x:v>
      </x:c>
      <x:c r="J55" s="148" t="str">
        <x:v>矛盾解消まで図面充足判定を停止します。</x:v>
      </x:c>
      <x:c r="K55" s="148" t="str">
        <x:v>図面版、対象設備、改造反映状況を再確認してください。</x:v>
      </x:c>
      <x:c r="L55" s="148" t="str">
        <x:v>不可</x:v>
      </x:c>
      <x:c r="M55" s="148" t="str">
        <x:v>整合性警告</x:v>
      </x:c>
      <x:c r="N55" s="148" t="str">
        <x:v>CTA-RECHECK</x:v>
      </x:c>
      <x:c r="O55" s="148" t="str">
        <x:v>レビュー前</x:v>
      </x:c>
      <x:c r="P55" s="367" t="str"/>
      <x:c r="Q55" s="117"/>
      <x:c r="R55" s="117"/>
      <x:c r="S55" s="117"/>
      <x:c r="T55" s="117"/>
      <x:c r="U55" s="117"/>
      <x:c r="V55" s="117"/>
      <x:c r="W55" s="117"/>
      <x:c r="X55" s="117"/>
      <x:c r="Y55" s="117"/>
      <x:c r="Z55" s="117"/>
    </x:row>
    <x:row r="56">
      <x:c r="A56" s="366" t="str">
        <x:v>DRI-BUDGET-L3-01</x:v>
      </x:c>
      <x:c r="B56" s="148" t="str">
        <x:v>予算</x:v>
      </x:c>
      <x:c r="C56" s="148" t="str">
        <x:v>経営・更新管理</x:v>
      </x:c>
      <x:c r="D56" s="148" t="str">
        <x:v>L3</x:v>
      </x:c>
      <x:c r="E56" s="148" t="str">
        <x:v>予算・見積を確認</x:v>
      </x:c>
      <x:c r="F56" s="148" t="str">
        <x:v>なし</x:v>
      </x:c>
      <x:c r="G56" s="148" t="str">
        <x:v>B</x:v>
      </x:c>
      <x:c r="H56" s="148" t="str">
        <x:v>概算費用と予算化時期が確認されています。</x:v>
      </x:c>
      <x:c r="I56" s="148" t="str">
        <x:v>技術案と社内決裁を具体的に比較できる状態です。</x:v>
      </x:c>
      <x:c r="J56" s="148" t="str">
        <x:v>見積有効期限と工事範囲は別途確認が必要です。</x:v>
      </x:c>
      <x:c r="K56" s="148" t="str">
        <x:v>停止条件と見積条件を揃えて投資比較を進めてください。</x:v>
      </x:c>
      <x:c r="L56" s="148" t="str">
        <x:v>可</x:v>
      </x:c>
      <x:c r="M56" s="148" t="str">
        <x:v>DRI詳細／投資比較</x:v>
      </x:c>
      <x:c r="N56" s="148" t="str">
        <x:v>CTA-QUOTE</x:v>
      </x:c>
      <x:c r="O56" s="148" t="str">
        <x:v>レビュー前</x:v>
      </x:c>
      <x:c r="P56" s="367" t="str"/>
      <x:c r="Q56" s="117"/>
      <x:c r="R56" s="117"/>
      <x:c r="S56" s="117"/>
      <x:c r="T56" s="117"/>
      <x:c r="U56" s="117"/>
      <x:c r="V56" s="117"/>
      <x:c r="W56" s="117"/>
      <x:c r="X56" s="117"/>
      <x:c r="Y56" s="117"/>
      <x:c r="Z56" s="117"/>
    </x:row>
    <x:row r="57">
      <x:c r="A57" s="366" t="str">
        <x:v>DRI-BUDGET-L1-01</x:v>
      </x:c>
      <x:c r="B57" s="148" t="str">
        <x:v>予算</x:v>
      </x:c>
      <x:c r="C57" s="148" t="str">
        <x:v>経営・更新管理</x:v>
      </x:c>
      <x:c r="D57" s="148" t="str">
        <x:v>L1</x:v>
      </x:c>
      <x:c r="E57" s="148" t="str">
        <x:v>予算・見積情報なし</x:v>
      </x:c>
      <x:c r="F57" s="148" t="str">
        <x:v>なし</x:v>
      </x:c>
      <x:c r="G57" s="148" t="str">
        <x:v>B</x:v>
      </x:c>
      <x:c r="H57" s="148" t="str">
        <x:v>概算費用と予算化時期を判断する情報が不足しています。</x:v>
      </x:c>
      <x:c r="I57" s="148" t="str">
        <x:v>技術的必要性と投資判断を結び付けられません。</x:v>
      </x:c>
      <x:c r="J57" s="148" t="str">
        <x:v>情報不足をもって投資不要とは判断しません。</x:v>
      </x:c>
      <x:c r="K57" s="148" t="str">
        <x:v>対象範囲を整理し、概算見積を取得してください。</x:v>
      </x:c>
      <x:c r="L57" s="148" t="str">
        <x:v>可</x:v>
      </x:c>
      <x:c r="M57" s="148" t="str">
        <x:v>不足情報／DRI詳細</x:v>
      </x:c>
      <x:c r="N57" s="148" t="str">
        <x:v>CTA-QUOTE</x:v>
      </x:c>
      <x:c r="O57" s="148" t="str">
        <x:v>レビュー前</x:v>
      </x:c>
      <x:c r="P57" s="367" t="str"/>
      <x:c r="Q57" s="117"/>
      <x:c r="R57" s="117"/>
      <x:c r="S57" s="117"/>
      <x:c r="T57" s="117"/>
      <x:c r="U57" s="117"/>
      <x:c r="V57" s="117"/>
      <x:c r="W57" s="117"/>
      <x:c r="X57" s="117"/>
      <x:c r="Y57" s="117"/>
      <x:c r="Z57" s="117"/>
    </x:row>
    <x:row r="58">
      <x:c r="A58" s="366" t="str">
        <x:v>DRI-BUDGET-L0-01</x:v>
      </x:c>
      <x:c r="B58" s="148" t="str">
        <x:v>予算</x:v>
      </x:c>
      <x:c r="C58" s="148" t="str">
        <x:v>経営・更新管理</x:v>
      </x:c>
      <x:c r="D58" s="148" t="str">
        <x:v>L0</x:v>
      </x:c>
      <x:c r="E58" s="148" t="str">
        <x:v>予算回答と見積が矛盾</x:v>
      </x:c>
      <x:c r="F58" s="148" t="str">
        <x:v>なし</x:v>
      </x:c>
      <x:c r="G58" s="148" t="str">
        <x:v>A</x:v>
      </x:c>
      <x:c r="H58" s="148" t="str">
        <x:v>予算・見積に関する回答と登録資料に相違があります。</x:v>
      </x:c>
      <x:c r="I58" s="148" t="str">
        <x:v>投資比較と実行時期を正しく判断できません。</x:v>
      </x:c>
      <x:c r="J58" s="148" t="str">
        <x:v>矛盾解消まで推奨案の金額評価を停止します。</x:v>
      </x:c>
      <x:c r="K58" s="148" t="str">
        <x:v>見積範囲、金額、予算年度を再確認してください。</x:v>
      </x:c>
      <x:c r="L58" s="148" t="str">
        <x:v>不可</x:v>
      </x:c>
      <x:c r="M58" s="148" t="str">
        <x:v>整合性警告</x:v>
      </x:c>
      <x:c r="N58" s="148" t="str">
        <x:v>CTA-RECHECK</x:v>
      </x:c>
      <x:c r="O58" s="148" t="str">
        <x:v>レビュー前</x:v>
      </x:c>
      <x:c r="P58" s="367" t="str"/>
      <x:c r="Q58" s="117"/>
      <x:c r="R58" s="117"/>
      <x:c r="S58" s="117"/>
      <x:c r="T58" s="117"/>
      <x:c r="U58" s="117"/>
      <x:c r="V58" s="117"/>
      <x:c r="W58" s="117"/>
      <x:c r="X58" s="117"/>
      <x:c r="Y58" s="117"/>
      <x:c r="Z58" s="117"/>
    </x:row>
    <x:row r="59">
      <x:c r="A59" s="366" t="str">
        <x:v>EPI-RISK-L2-01</x:v>
      </x:c>
      <x:c r="B59" s="148" t="str">
        <x:v>故障優先度</x:v>
      </x:c>
      <x:c r="C59" s="148" t="str">
        <x:v>設備</x:v>
      </x:c>
      <x:c r="D59" s="148" t="str">
        <x:v>L2</x:v>
      </x:c>
      <x:c r="E59" s="148" t="str">
        <x:v>故障リスク上昇を自己申告</x:v>
      </x:c>
      <x:c r="F59" s="148" t="str">
        <x:v>なし</x:v>
      </x:c>
      <x:c r="G59" s="148" t="str">
        <x:v>A</x:v>
      </x:c>
      <x:c r="H59" s="148" t="str">
        <x:v>今後の故障リスクが高まっている可能性があります。</x:v>
      </x:c>
      <x:c r="I59" s="148" t="str">
        <x:v>対応を先送りすると緊急復旧となる可能性があります。</x:v>
      </x:c>
      <x:c r="J59" s="148" t="str">
        <x:v>点検結果と故障履歴は未確認です。</x:v>
      </x:c>
      <x:c r="K59" s="148" t="str">
        <x:v>点検・履歴を確認し、更新・予備品・監視強化を比較してください。</x:v>
      </x:c>
      <x:c r="L59" s="148" t="str">
        <x:v>可</x:v>
      </x:c>
      <x:c r="M59" s="148" t="str">
        <x:v>EPI詳細／TOP5</x:v>
      </x:c>
      <x:c r="N59" s="148" t="str">
        <x:v>CTA-PLAN</x:v>
      </x:c>
      <x:c r="O59" s="148" t="str">
        <x:v>レビュー前</x:v>
      </x:c>
      <x:c r="P59" s="367" t="str"/>
      <x:c r="Q59" s="117"/>
      <x:c r="R59" s="117"/>
      <x:c r="S59" s="117"/>
      <x:c r="T59" s="117"/>
      <x:c r="U59" s="117"/>
      <x:c r="V59" s="117"/>
      <x:c r="W59" s="117"/>
      <x:c r="X59" s="117"/>
      <x:c r="Y59" s="117"/>
      <x:c r="Z59" s="117"/>
    </x:row>
    <x:row r="60">
      <x:c r="A60" s="366" t="str">
        <x:v>EPI-RISK-L1-01</x:v>
      </x:c>
      <x:c r="B60" s="148" t="str">
        <x:v>故障優先度</x:v>
      </x:c>
      <x:c r="C60" s="148" t="str">
        <x:v>設備</x:v>
      </x:c>
      <x:c r="D60" s="148" t="str">
        <x:v>L1</x:v>
      </x:c>
      <x:c r="E60" s="148" t="str">
        <x:v>故障リスク情報不足</x:v>
      </x:c>
      <x:c r="F60" s="148" t="str">
        <x:v>なし</x:v>
      </x:c>
      <x:c r="G60" s="148" t="str">
        <x:v>B</x:v>
      </x:c>
      <x:c r="H60" s="148" t="str">
        <x:v>今後の故障リスクを判断する情報が不足しています。</x:v>
      </x:c>
      <x:c r="I60" s="148" t="str">
        <x:v>更新時期の優先度を評価できません。</x:v>
      </x:c>
      <x:c r="J60" s="148" t="str">
        <x:v>情報不足をもって低リスクとは判断しません。</x:v>
      </x:c>
      <x:c r="K60" s="148" t="str">
        <x:v>点検結果、故障履歴、保守期限を確認してください。</x:v>
      </x:c>
      <x:c r="L60" s="148" t="str">
        <x:v>可</x:v>
      </x:c>
      <x:c r="M60" s="148" t="str">
        <x:v>不足情報／EPI詳細</x:v>
      </x:c>
      <x:c r="N60" s="148" t="str">
        <x:v>CTA-PLAN</x:v>
      </x:c>
      <x:c r="O60" s="148" t="str">
        <x:v>レビュー前</x:v>
      </x:c>
      <x:c r="P60" s="367" t="str"/>
      <x:c r="Q60" s="117"/>
      <x:c r="R60" s="117"/>
      <x:c r="S60" s="117"/>
      <x:c r="T60" s="117"/>
      <x:c r="U60" s="117"/>
      <x:c r="V60" s="117"/>
      <x:c r="W60" s="117"/>
      <x:c r="X60" s="117"/>
      <x:c r="Y60" s="117"/>
      <x:c r="Z60" s="117"/>
    </x:row>
    <x:row r="61">
      <x:c r="A61" s="366" t="str">
        <x:v>EPI-RISK-L0-01</x:v>
      </x:c>
      <x:c r="B61" s="148" t="str">
        <x:v>故障優先度</x:v>
      </x:c>
      <x:c r="C61" s="148" t="str">
        <x:v>設備</x:v>
      </x:c>
      <x:c r="D61" s="148" t="str">
        <x:v>L0</x:v>
      </x:c>
      <x:c r="E61" s="148" t="str">
        <x:v>リスク回答と資料が矛盾</x:v>
      </x:c>
      <x:c r="F61" s="148" t="str">
        <x:v>なし</x:v>
      </x:c>
      <x:c r="G61" s="148" t="str">
        <x:v>A</x:v>
      </x:c>
      <x:c r="H61" s="148" t="str">
        <x:v>故障リスクに関する回答と登録資料に相違があります。</x:v>
      </x:c>
      <x:c r="I61" s="148" t="str">
        <x:v>対応時期を正しく判定できません。</x:v>
      </x:c>
      <x:c r="J61" s="148" t="str">
        <x:v>矛盾解消まで優先度判定を停止します。</x:v>
      </x:c>
      <x:c r="K61" s="148" t="str">
        <x:v>対象設備、点検結果、故障履歴を再確認してください。</x:v>
      </x:c>
      <x:c r="L61" s="148" t="str">
        <x:v>不可</x:v>
      </x:c>
      <x:c r="M61" s="148" t="str">
        <x:v>整合性警告</x:v>
      </x:c>
      <x:c r="N61" s="148" t="str">
        <x:v>CTA-RECHECK</x:v>
      </x:c>
      <x:c r="O61" s="148" t="str">
        <x:v>レビュー前</x:v>
      </x:c>
      <x:c r="P61" s="367" t="str"/>
      <x:c r="Q61" s="117"/>
      <x:c r="R61" s="117"/>
      <x:c r="S61" s="117"/>
      <x:c r="T61" s="117"/>
      <x:c r="U61" s="117"/>
      <x:c r="V61" s="117"/>
      <x:c r="W61" s="117"/>
      <x:c r="X61" s="117"/>
      <x:c r="Y61" s="117"/>
      <x:c r="Z61" s="117"/>
    </x:row>
    <x:row r="62">
      <x:c r="A62" s="366" t="str">
        <x:v>EPI-ENE-L3-01</x:v>
      </x:c>
      <x:c r="B62" s="148" t="str">
        <x:v>省エネ機会</x:v>
      </x:c>
      <x:c r="C62" s="148" t="str">
        <x:v>エネルギー</x:v>
      </x:c>
      <x:c r="D62" s="148" t="str">
        <x:v>L3</x:v>
      </x:c>
      <x:c r="E62" s="148" t="str">
        <x:v>効果試算を確認</x:v>
      </x:c>
      <x:c r="F62" s="148" t="str">
        <x:v>なし</x:v>
      </x:c>
      <x:c r="G62" s="148" t="str">
        <x:v>B</x:v>
      </x:c>
      <x:c r="H62" s="148" t="str">
        <x:v>更新による大きな省エネ効果が確認されています。</x:v>
      </x:c>
      <x:c r="I62" s="148" t="str">
        <x:v>実施を先送りすると運転費削減の機会損失が継続します。</x:v>
      </x:c>
      <x:c r="J62" s="148" t="str">
        <x:v>投資回収は設備費、稼働条件、電力単価を含めて判断します。</x:v>
      </x:c>
      <x:c r="K62" s="148" t="str">
        <x:v>更新案、効果額、工事時期を比較してください。</x:v>
      </x:c>
      <x:c r="L62" s="148" t="str">
        <x:v>可</x:v>
      </x:c>
      <x:c r="M62" s="148" t="str">
        <x:v>EPI詳細／投資比較</x:v>
      </x:c>
      <x:c r="N62" s="148" t="str">
        <x:v>CTA-METER</x:v>
      </x:c>
      <x:c r="O62" s="148" t="str">
        <x:v>レビュー前</x:v>
      </x:c>
      <x:c r="P62" s="367" t="str"/>
      <x:c r="Q62" s="117"/>
      <x:c r="R62" s="117"/>
      <x:c r="S62" s="117"/>
      <x:c r="T62" s="117"/>
      <x:c r="U62" s="117"/>
      <x:c r="V62" s="117"/>
      <x:c r="W62" s="117"/>
      <x:c r="X62" s="117"/>
      <x:c r="Y62" s="117"/>
      <x:c r="Z62" s="117"/>
    </x:row>
    <x:row r="63">
      <x:c r="A63" s="366" t="str">
        <x:v>EPI-ENE-L1-01</x:v>
      </x:c>
      <x:c r="B63" s="148" t="str">
        <x:v>省エネ機会</x:v>
      </x:c>
      <x:c r="C63" s="148" t="str">
        <x:v>エネルギー</x:v>
      </x:c>
      <x:c r="D63" s="148" t="str">
        <x:v>L1</x:v>
      </x:c>
      <x:c r="E63" s="148" t="str">
        <x:v>効果情報不足</x:v>
      </x:c>
      <x:c r="F63" s="148" t="str">
        <x:v>なし</x:v>
      </x:c>
      <x:c r="G63" s="148" t="str">
        <x:v>B</x:v>
      </x:c>
      <x:c r="H63" s="148" t="str">
        <x:v>省エネ効果を判断する情報が不足しています。</x:v>
      </x:c>
      <x:c r="I63" s="148" t="str">
        <x:v>投資効果と優先対象を比較できません。</x:v>
      </x:c>
      <x:c r="J63" s="148" t="str">
        <x:v>未計測をもって効果が小さいとは判断しません。</x:v>
      </x:c>
      <x:c r="K63" s="148" t="str">
        <x:v>現状計測と概算効果試算を実施してください。</x:v>
      </x:c>
      <x:c r="L63" s="148" t="str">
        <x:v>可</x:v>
      </x:c>
      <x:c r="M63" s="148" t="str">
        <x:v>不足情報／EPI詳細</x:v>
      </x:c>
      <x:c r="N63" s="148" t="str">
        <x:v>CTA-METER</x:v>
      </x:c>
      <x:c r="O63" s="148" t="str">
        <x:v>レビュー前</x:v>
      </x:c>
      <x:c r="P63" s="367" t="str"/>
      <x:c r="Q63" s="117"/>
      <x:c r="R63" s="117"/>
      <x:c r="S63" s="117"/>
      <x:c r="T63" s="117"/>
      <x:c r="U63" s="117"/>
      <x:c r="V63" s="117"/>
      <x:c r="W63" s="117"/>
      <x:c r="X63" s="117"/>
      <x:c r="Y63" s="117"/>
      <x:c r="Z63" s="117"/>
    </x:row>
    <x:row r="64">
      <x:c r="A64" s="368" t="str">
        <x:v>EPI-ENE-L0-01</x:v>
      </x:c>
      <x:c r="B64" s="369" t="str">
        <x:v>省エネ機会</x:v>
      </x:c>
      <x:c r="C64" s="369" t="str">
        <x:v>エネルギー</x:v>
      </x:c>
      <x:c r="D64" s="369" t="str">
        <x:v>L0</x:v>
      </x:c>
      <x:c r="E64" s="369" t="str">
        <x:v>効果回答と計測資料が矛盾</x:v>
      </x:c>
      <x:c r="F64" s="369" t="str">
        <x:v>なし</x:v>
      </x:c>
      <x:c r="G64" s="369" t="str">
        <x:v>B</x:v>
      </x:c>
      <x:c r="H64" s="369" t="str">
        <x:v>省エネ効果に関する回答と計測資料に相違があります。</x:v>
      </x:c>
      <x:c r="I64" s="369" t="str">
        <x:v>期待効果を正しく算定できません。</x:v>
      </x:c>
      <x:c r="J64" s="369" t="str">
        <x:v>矛盾解消まで投資効果の判定を停止します。</x:v>
      </x:c>
      <x:c r="K64" s="369" t="str">
        <x:v>計測期間、稼働条件、試算前提を再確認してください。</x:v>
      </x:c>
      <x:c r="L64" s="369" t="str">
        <x:v>不可</x:v>
      </x:c>
      <x:c r="M64" s="369" t="str">
        <x:v>整合性警告</x:v>
      </x:c>
      <x:c r="N64" s="369" t="str">
        <x:v>CTA-RECHECK</x:v>
      </x:c>
      <x:c r="O64" s="369" t="str">
        <x:v>レビュー前</x:v>
      </x:c>
      <x:c r="P64" s="370" t="str"/>
      <x:c r="Q64" s="117"/>
      <x:c r="R64" s="117"/>
      <x:c r="S64" s="117"/>
      <x:c r="T64" s="117"/>
      <x:c r="U64" s="117"/>
      <x:c r="V64" s="117"/>
      <x:c r="W64" s="117"/>
      <x:c r="X64" s="117"/>
      <x:c r="Y64" s="117"/>
      <x:c r="Z64" s="117"/>
    </x:row>
    <x:row r="65">
      <x:c r="A65" s="117"/>
      <x:c r="B65" s="117"/>
      <x:c r="C65" s="117"/>
      <x:c r="D65" s="117"/>
      <x:c r="E65" s="117"/>
      <x:c r="F65" s="117"/>
      <x:c r="G65" s="117"/>
      <x:c r="H65" s="117"/>
      <x:c r="I65" s="117"/>
      <x:c r="J65" s="117"/>
      <x:c r="K65" s="117"/>
      <x:c r="L65" s="117"/>
      <x:c r="M65" s="117"/>
      <x:c r="N65" s="117"/>
      <x:c r="O65" s="117"/>
      <x:c r="P65" s="117"/>
      <x:c r="Q65" s="117"/>
      <x:c r="R65" s="117"/>
      <x:c r="S65" s="117"/>
      <x:c r="T65" s="117"/>
      <x:c r="U65" s="117"/>
      <x:c r="V65" s="117"/>
      <x:c r="W65" s="117"/>
      <x:c r="X65" s="117"/>
      <x:c r="Y65" s="117"/>
      <x:c r="Z65" s="117"/>
    </x:row>
    <x:row r="66">
      <x:c r="A66" s="117"/>
      <x:c r="B66" s="117"/>
      <x:c r="C66" s="117"/>
      <x:c r="D66" s="117"/>
      <x:c r="E66" s="117"/>
      <x:c r="F66" s="117"/>
      <x:c r="G66" s="117"/>
      <x:c r="H66" s="117"/>
      <x:c r="I66" s="117"/>
      <x:c r="J66" s="117"/>
      <x:c r="K66" s="117"/>
      <x:c r="L66" s="117"/>
      <x:c r="M66" s="117"/>
      <x:c r="N66" s="117"/>
      <x:c r="O66" s="117"/>
      <x:c r="P66" s="117"/>
      <x:c r="Q66" s="117"/>
      <x:c r="R66" s="117"/>
      <x:c r="S66" s="117"/>
      <x:c r="T66" s="117"/>
      <x:c r="U66" s="117"/>
      <x:c r="V66" s="117"/>
      <x:c r="W66" s="117"/>
      <x:c r="X66" s="117"/>
      <x:c r="Y66" s="117"/>
      <x:c r="Z66" s="117"/>
    </x:row>
    <x:row r="67">
      <x:c r="A67" s="117"/>
      <x:c r="B67" s="117"/>
      <x:c r="C67" s="117"/>
      <x:c r="D67" s="117"/>
      <x:c r="E67" s="117"/>
      <x:c r="F67" s="117"/>
      <x:c r="G67" s="117"/>
      <x:c r="H67" s="117"/>
      <x:c r="I67" s="117"/>
      <x:c r="J67" s="117"/>
      <x:c r="K67" s="117"/>
      <x:c r="L67" s="117"/>
      <x:c r="M67" s="117"/>
      <x:c r="N67" s="117"/>
      <x:c r="O67" s="117"/>
      <x:c r="P67" s="117"/>
      <x:c r="Q67" s="117"/>
      <x:c r="R67" s="117"/>
      <x:c r="S67" s="117"/>
      <x:c r="T67" s="117"/>
      <x:c r="U67" s="117"/>
      <x:c r="V67" s="117"/>
      <x:c r="W67" s="117"/>
      <x:c r="X67" s="117"/>
      <x:c r="Y67" s="117"/>
      <x:c r="Z67" s="117"/>
    </x:row>
    <x:row r="68">
      <x:c r="A68" s="117"/>
      <x:c r="B68" s="117"/>
      <x:c r="C68" s="117"/>
      <x:c r="D68" s="117"/>
      <x:c r="E68" s="117"/>
      <x:c r="F68" s="117"/>
      <x:c r="G68" s="117"/>
      <x:c r="H68" s="117"/>
      <x:c r="I68" s="117"/>
      <x:c r="J68" s="117"/>
      <x:c r="K68" s="117"/>
      <x:c r="L68" s="117"/>
      <x:c r="M68" s="117"/>
      <x:c r="N68" s="117"/>
      <x:c r="O68" s="117"/>
      <x:c r="P68" s="117"/>
      <x:c r="Q68" s="117"/>
      <x:c r="R68" s="117"/>
      <x:c r="S68" s="117"/>
      <x:c r="T68" s="117"/>
      <x:c r="U68" s="117"/>
      <x:c r="V68" s="117"/>
      <x:c r="W68" s="117"/>
      <x:c r="X68" s="117"/>
      <x:c r="Y68" s="117"/>
      <x:c r="Z68" s="117"/>
    </x:row>
    <x:row r="69">
      <x:c r="A69" s="117"/>
      <x:c r="B69" s="117"/>
      <x:c r="C69" s="117"/>
      <x:c r="D69" s="117"/>
      <x:c r="E69" s="117"/>
      <x:c r="F69" s="117"/>
      <x:c r="G69" s="117"/>
      <x:c r="H69" s="117"/>
      <x:c r="I69" s="117"/>
      <x:c r="J69" s="117"/>
      <x:c r="K69" s="117"/>
      <x:c r="L69" s="117"/>
      <x:c r="M69" s="117"/>
      <x:c r="N69" s="117"/>
      <x:c r="O69" s="117"/>
      <x:c r="P69" s="117"/>
      <x:c r="Q69" s="117"/>
      <x:c r="R69" s="117"/>
      <x:c r="S69" s="117"/>
      <x:c r="T69" s="117"/>
      <x:c r="U69" s="117"/>
      <x:c r="V69" s="117"/>
      <x:c r="W69" s="117"/>
      <x:c r="X69" s="117"/>
      <x:c r="Y69" s="117"/>
      <x:c r="Z69" s="117"/>
    </x:row>
    <x:row r="70">
      <x:c r="A70" s="117"/>
      <x:c r="B70" s="117"/>
      <x:c r="C70" s="117"/>
      <x:c r="D70" s="117"/>
      <x:c r="E70" s="117"/>
      <x:c r="F70" s="117"/>
      <x:c r="G70" s="117"/>
      <x:c r="H70" s="117"/>
      <x:c r="I70" s="117"/>
      <x:c r="J70" s="117"/>
      <x:c r="K70" s="117"/>
      <x:c r="L70" s="117"/>
      <x:c r="M70" s="117"/>
      <x:c r="N70" s="117"/>
      <x:c r="O70" s="117"/>
      <x:c r="P70" s="117"/>
      <x:c r="Q70" s="117"/>
      <x:c r="R70" s="117"/>
      <x:c r="S70" s="117"/>
      <x:c r="T70" s="117"/>
      <x:c r="U70" s="117"/>
      <x:c r="V70" s="117"/>
      <x:c r="W70" s="117"/>
      <x:c r="X70" s="117"/>
      <x:c r="Y70" s="117"/>
      <x:c r="Z70" s="117"/>
    </x:row>
    <x:row r="71">
      <x:c r="A71" s="117"/>
      <x:c r="B71" s="117"/>
      <x:c r="C71" s="117"/>
      <x:c r="D71" s="117"/>
      <x:c r="E71" s="117"/>
      <x:c r="F71" s="117"/>
      <x:c r="G71" s="117"/>
      <x:c r="H71" s="117"/>
      <x:c r="I71" s="117"/>
      <x:c r="J71" s="117"/>
      <x:c r="K71" s="117"/>
      <x:c r="L71" s="117"/>
      <x:c r="M71" s="117"/>
      <x:c r="N71" s="117"/>
      <x:c r="O71" s="117"/>
      <x:c r="P71" s="117"/>
      <x:c r="Q71" s="117"/>
      <x:c r="R71" s="117"/>
      <x:c r="S71" s="117"/>
      <x:c r="T71" s="117"/>
      <x:c r="U71" s="117"/>
      <x:c r="V71" s="117"/>
      <x:c r="W71" s="117"/>
      <x:c r="X71" s="117"/>
      <x:c r="Y71" s="117"/>
      <x:c r="Z71" s="117"/>
    </x:row>
    <x:row r="72">
      <x:c r="A72" s="117"/>
      <x:c r="B72" s="117"/>
      <x:c r="C72" s="117"/>
      <x:c r="D72" s="117"/>
      <x:c r="E72" s="117"/>
      <x:c r="F72" s="117"/>
      <x:c r="G72" s="117"/>
      <x:c r="H72" s="117"/>
      <x:c r="I72" s="117"/>
      <x:c r="J72" s="117"/>
      <x:c r="K72" s="117"/>
      <x:c r="L72" s="117"/>
      <x:c r="M72" s="117"/>
      <x:c r="N72" s="117"/>
      <x:c r="O72" s="117"/>
      <x:c r="P72" s="117"/>
      <x:c r="Q72" s="117"/>
      <x:c r="R72" s="117"/>
      <x:c r="S72" s="117"/>
      <x:c r="T72" s="117"/>
      <x:c r="U72" s="117"/>
      <x:c r="V72" s="117"/>
      <x:c r="W72" s="117"/>
      <x:c r="X72" s="117"/>
      <x:c r="Y72" s="117"/>
      <x:c r="Z72" s="117"/>
    </x:row>
    <x:row r="73">
      <x:c r="A73" s="117"/>
      <x:c r="B73" s="117"/>
      <x:c r="C73" s="117"/>
      <x:c r="D73" s="117"/>
      <x:c r="E73" s="117"/>
      <x:c r="F73" s="117"/>
      <x:c r="G73" s="117"/>
      <x:c r="H73" s="117"/>
      <x:c r="I73" s="117"/>
      <x:c r="J73" s="117"/>
      <x:c r="K73" s="117"/>
      <x:c r="L73" s="117"/>
      <x:c r="M73" s="117"/>
      <x:c r="N73" s="117"/>
      <x:c r="O73" s="117"/>
      <x:c r="P73" s="117"/>
      <x:c r="Q73" s="117"/>
      <x:c r="R73" s="117"/>
      <x:c r="S73" s="117"/>
      <x:c r="T73" s="117"/>
      <x:c r="U73" s="117"/>
      <x:c r="V73" s="117"/>
      <x:c r="W73" s="117"/>
      <x:c r="X73" s="117"/>
      <x:c r="Y73" s="117"/>
      <x:c r="Z73" s="117"/>
    </x:row>
    <x:row r="74">
      <x:c r="A74" s="117"/>
      <x:c r="B74" s="117"/>
      <x:c r="C74" s="117"/>
      <x:c r="D74" s="117"/>
      <x:c r="E74" s="117"/>
      <x:c r="F74" s="117"/>
      <x:c r="G74" s="117"/>
      <x:c r="H74" s="117"/>
      <x:c r="I74" s="117"/>
      <x:c r="J74" s="117"/>
      <x:c r="K74" s="117"/>
      <x:c r="L74" s="117"/>
      <x:c r="M74" s="117"/>
      <x:c r="N74" s="117"/>
      <x:c r="O74" s="117"/>
      <x:c r="P74" s="117"/>
      <x:c r="Q74" s="117"/>
      <x:c r="R74" s="117"/>
      <x:c r="S74" s="117"/>
      <x:c r="T74" s="117"/>
      <x:c r="U74" s="117"/>
      <x:c r="V74" s="117"/>
      <x:c r="W74" s="117"/>
      <x:c r="X74" s="117"/>
      <x:c r="Y74" s="117"/>
      <x:c r="Z74" s="117"/>
    </x:row>
    <x:row r="75">
      <x:c r="A75" s="117"/>
      <x:c r="B75" s="117"/>
      <x:c r="C75" s="117"/>
      <x:c r="D75" s="117"/>
      <x:c r="E75" s="117"/>
      <x:c r="F75" s="117"/>
      <x:c r="G75" s="117"/>
      <x:c r="H75" s="117"/>
      <x:c r="I75" s="117"/>
      <x:c r="J75" s="117"/>
      <x:c r="K75" s="117"/>
      <x:c r="L75" s="117"/>
      <x:c r="M75" s="117"/>
      <x:c r="N75" s="117"/>
      <x:c r="O75" s="117"/>
      <x:c r="P75" s="117"/>
      <x:c r="Q75" s="117"/>
      <x:c r="R75" s="117"/>
      <x:c r="S75" s="117"/>
      <x:c r="T75" s="117"/>
      <x:c r="U75" s="117"/>
      <x:c r="V75" s="117"/>
      <x:c r="W75" s="117"/>
      <x:c r="X75" s="117"/>
      <x:c r="Y75" s="117"/>
      <x:c r="Z75" s="117"/>
    </x:row>
    <x:row r="76">
      <x:c r="A76" s="117"/>
      <x:c r="B76" s="117"/>
      <x:c r="C76" s="117"/>
      <x:c r="D76" s="117"/>
      <x:c r="E76" s="117"/>
      <x:c r="F76" s="117"/>
      <x:c r="G76" s="117"/>
      <x:c r="H76" s="117"/>
      <x:c r="I76" s="117"/>
      <x:c r="J76" s="117"/>
      <x:c r="K76" s="117"/>
      <x:c r="L76" s="117"/>
      <x:c r="M76" s="117"/>
      <x:c r="N76" s="117"/>
      <x:c r="O76" s="117"/>
      <x:c r="P76" s="117"/>
      <x:c r="Q76" s="117"/>
      <x:c r="R76" s="117"/>
      <x:c r="S76" s="117"/>
      <x:c r="T76" s="117"/>
      <x:c r="U76" s="117"/>
      <x:c r="V76" s="117"/>
      <x:c r="W76" s="117"/>
      <x:c r="X76" s="117"/>
      <x:c r="Y76" s="117"/>
      <x:c r="Z76" s="117"/>
    </x:row>
    <x:row r="77">
      <x:c r="A77" s="117"/>
      <x:c r="B77" s="117"/>
      <x:c r="C77" s="117"/>
      <x:c r="D77" s="117"/>
      <x:c r="E77" s="117"/>
      <x:c r="F77" s="117"/>
      <x:c r="G77" s="117"/>
      <x:c r="H77" s="117"/>
      <x:c r="I77" s="117"/>
      <x:c r="J77" s="117"/>
      <x:c r="K77" s="117"/>
      <x:c r="L77" s="117"/>
      <x:c r="M77" s="117"/>
      <x:c r="N77" s="117"/>
      <x:c r="O77" s="117"/>
      <x:c r="P77" s="117"/>
      <x:c r="Q77" s="117"/>
      <x:c r="R77" s="117"/>
      <x:c r="S77" s="117"/>
      <x:c r="T77" s="117"/>
      <x:c r="U77" s="117"/>
      <x:c r="V77" s="117"/>
      <x:c r="W77" s="117"/>
      <x:c r="X77" s="117"/>
      <x:c r="Y77" s="117"/>
      <x:c r="Z77" s="117"/>
    </x:row>
    <x:row r="78">
      <x:c r="A78" s="117"/>
      <x:c r="B78" s="117"/>
      <x:c r="C78" s="117"/>
      <x:c r="D78" s="117"/>
      <x:c r="E78" s="117"/>
      <x:c r="F78" s="117"/>
      <x:c r="G78" s="117"/>
      <x:c r="H78" s="117"/>
      <x:c r="I78" s="117"/>
      <x:c r="J78" s="117"/>
      <x:c r="K78" s="117"/>
      <x:c r="L78" s="117"/>
      <x:c r="M78" s="117"/>
      <x:c r="N78" s="117"/>
      <x:c r="O78" s="117"/>
      <x:c r="P78" s="117"/>
      <x:c r="Q78" s="117"/>
      <x:c r="R78" s="117"/>
      <x:c r="S78" s="117"/>
      <x:c r="T78" s="117"/>
      <x:c r="U78" s="117"/>
      <x:c r="V78" s="117"/>
      <x:c r="W78" s="117"/>
      <x:c r="X78" s="117"/>
      <x:c r="Y78" s="117"/>
      <x:c r="Z78" s="117"/>
    </x:row>
    <x:row r="79">
      <x:c r="A79" s="117"/>
      <x:c r="B79" s="117"/>
      <x:c r="C79" s="117"/>
      <x:c r="D79" s="117"/>
      <x:c r="E79" s="117"/>
      <x:c r="F79" s="117"/>
      <x:c r="G79" s="117"/>
      <x:c r="H79" s="117"/>
      <x:c r="I79" s="117"/>
      <x:c r="J79" s="117"/>
      <x:c r="K79" s="117"/>
      <x:c r="L79" s="117"/>
      <x:c r="M79" s="117"/>
      <x:c r="N79" s="117"/>
      <x:c r="O79" s="117"/>
      <x:c r="P79" s="117"/>
      <x:c r="Q79" s="117"/>
      <x:c r="R79" s="117"/>
      <x:c r="S79" s="117"/>
      <x:c r="T79" s="117"/>
      <x:c r="U79" s="117"/>
      <x:c r="V79" s="117"/>
      <x:c r="W79" s="117"/>
      <x:c r="X79" s="117"/>
      <x:c r="Y79" s="117"/>
      <x:c r="Z79" s="117"/>
    </x:row>
    <x:row r="80">
      <x:c r="A80" s="117"/>
      <x:c r="B80" s="117"/>
      <x:c r="C80" s="117"/>
      <x:c r="D80" s="117"/>
      <x:c r="E80" s="117"/>
      <x:c r="F80" s="117"/>
      <x:c r="G80" s="117"/>
      <x:c r="H80" s="117"/>
      <x:c r="I80" s="117"/>
      <x:c r="J80" s="117"/>
      <x:c r="K80" s="117"/>
      <x:c r="L80" s="117"/>
      <x:c r="M80" s="117"/>
      <x:c r="N80" s="117"/>
      <x:c r="O80" s="117"/>
      <x:c r="P80" s="117"/>
      <x:c r="Q80" s="117"/>
      <x:c r="R80" s="117"/>
      <x:c r="S80" s="117"/>
      <x:c r="T80" s="117"/>
      <x:c r="U80" s="117"/>
      <x:c r="V80" s="117"/>
      <x:c r="W80" s="117"/>
      <x:c r="X80" s="117"/>
      <x:c r="Y80" s="117"/>
      <x:c r="Z80" s="117"/>
    </x:row>
    <x:row r="81">
      <x:c r="A81" s="117"/>
      <x:c r="B81" s="117"/>
      <x:c r="C81" s="117"/>
      <x:c r="D81" s="117"/>
      <x:c r="E81" s="117"/>
      <x:c r="F81" s="117"/>
      <x:c r="G81" s="117"/>
      <x:c r="H81" s="117"/>
      <x:c r="I81" s="117"/>
      <x:c r="J81" s="117"/>
      <x:c r="K81" s="117"/>
      <x:c r="L81" s="117"/>
      <x:c r="M81" s="117"/>
      <x:c r="N81" s="117"/>
      <x:c r="O81" s="117"/>
      <x:c r="P81" s="117"/>
      <x:c r="Q81" s="117"/>
      <x:c r="R81" s="117"/>
      <x:c r="S81" s="117"/>
      <x:c r="T81" s="117"/>
      <x:c r="U81" s="117"/>
      <x:c r="V81" s="117"/>
      <x:c r="W81" s="117"/>
      <x:c r="X81" s="117"/>
      <x:c r="Y81" s="117"/>
      <x:c r="Z81" s="117"/>
    </x:row>
    <x:row r="82">
      <x:c r="A82" s="117"/>
      <x:c r="B82" s="117"/>
      <x:c r="C82" s="117"/>
      <x:c r="D82" s="117"/>
      <x:c r="E82" s="117"/>
      <x:c r="F82" s="117"/>
      <x:c r="G82" s="117"/>
      <x:c r="H82" s="117"/>
      <x:c r="I82" s="117"/>
      <x:c r="J82" s="117"/>
      <x:c r="K82" s="117"/>
      <x:c r="L82" s="117"/>
      <x:c r="M82" s="117"/>
      <x:c r="N82" s="117"/>
      <x:c r="O82" s="117"/>
      <x:c r="P82" s="117"/>
      <x:c r="Q82" s="117"/>
      <x:c r="R82" s="117"/>
      <x:c r="S82" s="117"/>
      <x:c r="T82" s="117"/>
      <x:c r="U82" s="117"/>
      <x:c r="V82" s="117"/>
      <x:c r="W82" s="117"/>
      <x:c r="X82" s="117"/>
      <x:c r="Y82" s="117"/>
      <x:c r="Z82" s="117"/>
    </x:row>
    <x:row r="83">
      <x:c r="A83" s="117"/>
      <x:c r="B83" s="117"/>
      <x:c r="C83" s="117"/>
      <x:c r="D83" s="117"/>
      <x:c r="E83" s="117"/>
      <x:c r="F83" s="117"/>
      <x:c r="G83" s="117"/>
      <x:c r="H83" s="117"/>
      <x:c r="I83" s="117"/>
      <x:c r="J83" s="117"/>
      <x:c r="K83" s="117"/>
      <x:c r="L83" s="117"/>
      <x:c r="M83" s="117"/>
      <x:c r="N83" s="117"/>
      <x:c r="O83" s="117"/>
      <x:c r="P83" s="117"/>
      <x:c r="Q83" s="117"/>
      <x:c r="R83" s="117"/>
      <x:c r="S83" s="117"/>
      <x:c r="T83" s="117"/>
      <x:c r="U83" s="117"/>
      <x:c r="V83" s="117"/>
      <x:c r="W83" s="117"/>
      <x:c r="X83" s="117"/>
      <x:c r="Y83" s="117"/>
      <x:c r="Z83" s="117"/>
    </x:row>
    <x:row r="84">
      <x:c r="A84" s="117"/>
      <x:c r="B84" s="117"/>
      <x:c r="C84" s="117"/>
      <x:c r="D84" s="117"/>
      <x:c r="E84" s="117"/>
      <x:c r="F84" s="117"/>
      <x:c r="G84" s="117"/>
      <x:c r="H84" s="117"/>
      <x:c r="I84" s="117"/>
      <x:c r="J84" s="117"/>
      <x:c r="K84" s="117"/>
      <x:c r="L84" s="117"/>
      <x:c r="M84" s="117"/>
      <x:c r="N84" s="117"/>
      <x:c r="O84" s="117"/>
      <x:c r="P84" s="117"/>
      <x:c r="Q84" s="117"/>
      <x:c r="R84" s="117"/>
      <x:c r="S84" s="117"/>
      <x:c r="T84" s="117"/>
      <x:c r="U84" s="117"/>
      <x:c r="V84" s="117"/>
      <x:c r="W84" s="117"/>
      <x:c r="X84" s="117"/>
      <x:c r="Y84" s="117"/>
      <x:c r="Z84" s="117"/>
    </x:row>
    <x:row r="85">
      <x:c r="A85" s="117"/>
      <x:c r="B85" s="117"/>
      <x:c r="C85" s="117"/>
      <x:c r="D85" s="117"/>
      <x:c r="E85" s="117"/>
      <x:c r="F85" s="117"/>
      <x:c r="G85" s="117"/>
      <x:c r="H85" s="117"/>
      <x:c r="I85" s="117"/>
      <x:c r="J85" s="117"/>
      <x:c r="K85" s="117"/>
      <x:c r="L85" s="117"/>
      <x:c r="M85" s="117"/>
      <x:c r="N85" s="117"/>
      <x:c r="O85" s="117"/>
      <x:c r="P85" s="117"/>
      <x:c r="Q85" s="117"/>
      <x:c r="R85" s="117"/>
      <x:c r="S85" s="117"/>
      <x:c r="T85" s="117"/>
      <x:c r="U85" s="117"/>
      <x:c r="V85" s="117"/>
      <x:c r="W85" s="117"/>
      <x:c r="X85" s="117"/>
      <x:c r="Y85" s="117"/>
      <x:c r="Z85" s="117"/>
    </x:row>
    <x:row r="86">
      <x:c r="A86" s="117"/>
      <x:c r="B86" s="117"/>
      <x:c r="C86" s="117"/>
      <x:c r="D86" s="117"/>
      <x:c r="E86" s="117"/>
      <x:c r="F86" s="117"/>
      <x:c r="G86" s="117"/>
      <x:c r="H86" s="117"/>
      <x:c r="I86" s="117"/>
      <x:c r="J86" s="117"/>
      <x:c r="K86" s="117"/>
      <x:c r="L86" s="117"/>
      <x:c r="M86" s="117"/>
      <x:c r="N86" s="117"/>
      <x:c r="O86" s="117"/>
      <x:c r="P86" s="117"/>
      <x:c r="Q86" s="117"/>
      <x:c r="R86" s="117"/>
      <x:c r="S86" s="117"/>
      <x:c r="T86" s="117"/>
      <x:c r="U86" s="117"/>
      <x:c r="V86" s="117"/>
      <x:c r="W86" s="117"/>
      <x:c r="X86" s="117"/>
      <x:c r="Y86" s="117"/>
      <x:c r="Z86" s="117"/>
    </x:row>
    <x:row r="87">
      <x:c r="A87" s="117"/>
      <x:c r="B87" s="117"/>
      <x:c r="C87" s="117"/>
      <x:c r="D87" s="117"/>
      <x:c r="E87" s="117"/>
      <x:c r="F87" s="117"/>
      <x:c r="G87" s="117"/>
      <x:c r="H87" s="117"/>
      <x:c r="I87" s="117"/>
      <x:c r="J87" s="117"/>
      <x:c r="K87" s="117"/>
      <x:c r="L87" s="117"/>
      <x:c r="M87" s="117"/>
      <x:c r="N87" s="117"/>
      <x:c r="O87" s="117"/>
      <x:c r="P87" s="117"/>
      <x:c r="Q87" s="117"/>
      <x:c r="R87" s="117"/>
      <x:c r="S87" s="117"/>
      <x:c r="T87" s="117"/>
      <x:c r="U87" s="117"/>
      <x:c r="V87" s="117"/>
      <x:c r="W87" s="117"/>
      <x:c r="X87" s="117"/>
      <x:c r="Y87" s="117"/>
      <x:c r="Z87" s="117"/>
    </x:row>
    <x:row r="88">
      <x:c r="A88" s="117"/>
      <x:c r="B88" s="117"/>
      <x:c r="C88" s="117"/>
      <x:c r="D88" s="117"/>
      <x:c r="E88" s="117"/>
      <x:c r="F88" s="117"/>
      <x:c r="G88" s="117"/>
      <x:c r="H88" s="117"/>
      <x:c r="I88" s="117"/>
      <x:c r="J88" s="117"/>
      <x:c r="K88" s="117"/>
      <x:c r="L88" s="117"/>
      <x:c r="M88" s="117"/>
      <x:c r="N88" s="117"/>
      <x:c r="O88" s="117"/>
      <x:c r="P88" s="117"/>
      <x:c r="Q88" s="117"/>
      <x:c r="R88" s="117"/>
      <x:c r="S88" s="117"/>
      <x:c r="T88" s="117"/>
      <x:c r="U88" s="117"/>
      <x:c r="V88" s="117"/>
      <x:c r="W88" s="117"/>
      <x:c r="X88" s="117"/>
      <x:c r="Y88" s="117"/>
      <x:c r="Z88" s="117"/>
    </x:row>
    <x:row r="89">
      <x:c r="A89" s="117"/>
      <x:c r="B89" s="117"/>
      <x:c r="C89" s="117"/>
      <x:c r="D89" s="117"/>
      <x:c r="E89" s="117"/>
      <x:c r="F89" s="117"/>
      <x:c r="G89" s="117"/>
      <x:c r="H89" s="117"/>
      <x:c r="I89" s="117"/>
      <x:c r="J89" s="117"/>
      <x:c r="K89" s="117"/>
      <x:c r="L89" s="117"/>
      <x:c r="M89" s="117"/>
      <x:c r="N89" s="117"/>
      <x:c r="O89" s="117"/>
      <x:c r="P89" s="117"/>
      <x:c r="Q89" s="117"/>
      <x:c r="R89" s="117"/>
      <x:c r="S89" s="117"/>
      <x:c r="T89" s="117"/>
      <x:c r="U89" s="117"/>
      <x:c r="V89" s="117"/>
      <x:c r="W89" s="117"/>
      <x:c r="X89" s="117"/>
      <x:c r="Y89" s="117"/>
      <x:c r="Z89" s="117"/>
    </x:row>
    <x:row r="90">
      <x:c r="A90" s="117"/>
      <x:c r="B90" s="117"/>
      <x:c r="C90" s="117"/>
      <x:c r="D90" s="117"/>
      <x:c r="E90" s="117"/>
      <x:c r="F90" s="117"/>
      <x:c r="G90" s="117"/>
      <x:c r="H90" s="117"/>
      <x:c r="I90" s="117"/>
      <x:c r="J90" s="117"/>
      <x:c r="K90" s="117"/>
      <x:c r="L90" s="117"/>
      <x:c r="M90" s="117"/>
      <x:c r="N90" s="117"/>
      <x:c r="O90" s="117"/>
      <x:c r="P90" s="117"/>
      <x:c r="Q90" s="117"/>
      <x:c r="R90" s="117"/>
      <x:c r="S90" s="117"/>
      <x:c r="T90" s="117"/>
      <x:c r="U90" s="117"/>
      <x:c r="V90" s="117"/>
      <x:c r="W90" s="117"/>
      <x:c r="X90" s="117"/>
      <x:c r="Y90" s="117"/>
      <x:c r="Z90" s="117"/>
    </x:row>
    <x:row r="91">
      <x:c r="A91" s="117"/>
      <x:c r="B91" s="117"/>
      <x:c r="C91" s="117"/>
      <x:c r="D91" s="117"/>
      <x:c r="E91" s="117"/>
      <x:c r="F91" s="117"/>
      <x:c r="G91" s="117"/>
      <x:c r="H91" s="117"/>
      <x:c r="I91" s="117"/>
      <x:c r="J91" s="117"/>
      <x:c r="K91" s="117"/>
      <x:c r="L91" s="117"/>
      <x:c r="M91" s="117"/>
      <x:c r="N91" s="117"/>
      <x:c r="O91" s="117"/>
      <x:c r="P91" s="117"/>
      <x:c r="Q91" s="117"/>
      <x:c r="R91" s="117"/>
      <x:c r="S91" s="117"/>
      <x:c r="T91" s="117"/>
      <x:c r="U91" s="117"/>
      <x:c r="V91" s="117"/>
      <x:c r="W91" s="117"/>
      <x:c r="X91" s="117"/>
      <x:c r="Y91" s="117"/>
      <x:c r="Z91" s="117"/>
    </x:row>
    <x:row r="92">
      <x:c r="A92" s="117"/>
      <x:c r="B92" s="117"/>
      <x:c r="C92" s="117"/>
      <x:c r="D92" s="117"/>
      <x:c r="E92" s="117"/>
      <x:c r="F92" s="117"/>
      <x:c r="G92" s="117"/>
      <x:c r="H92" s="117"/>
      <x:c r="I92" s="117"/>
      <x:c r="J92" s="117"/>
      <x:c r="K92" s="117"/>
      <x:c r="L92" s="117"/>
      <x:c r="M92" s="117"/>
      <x:c r="N92" s="117"/>
      <x:c r="O92" s="117"/>
      <x:c r="P92" s="117"/>
      <x:c r="Q92" s="117"/>
      <x:c r="R92" s="117"/>
      <x:c r="S92" s="117"/>
      <x:c r="T92" s="117"/>
      <x:c r="U92" s="117"/>
      <x:c r="V92" s="117"/>
      <x:c r="W92" s="117"/>
      <x:c r="X92" s="117"/>
      <x:c r="Y92" s="117"/>
      <x:c r="Z92" s="117"/>
    </x:row>
    <x:row r="93">
      <x:c r="A93" s="117"/>
      <x:c r="B93" s="117"/>
      <x:c r="C93" s="117"/>
      <x:c r="D93" s="117"/>
      <x:c r="E93" s="117"/>
      <x:c r="F93" s="117"/>
      <x:c r="G93" s="117"/>
      <x:c r="H93" s="117"/>
      <x:c r="I93" s="117"/>
      <x:c r="J93" s="117"/>
      <x:c r="K93" s="117"/>
      <x:c r="L93" s="117"/>
      <x:c r="M93" s="117"/>
      <x:c r="N93" s="117"/>
      <x:c r="O93" s="117"/>
      <x:c r="P93" s="117"/>
      <x:c r="Q93" s="117"/>
      <x:c r="R93" s="117"/>
      <x:c r="S93" s="117"/>
      <x:c r="T93" s="117"/>
      <x:c r="U93" s="117"/>
      <x:c r="V93" s="117"/>
      <x:c r="W93" s="117"/>
      <x:c r="X93" s="117"/>
      <x:c r="Y93" s="117"/>
      <x:c r="Z93" s="117"/>
    </x:row>
    <x:row r="94">
      <x:c r="A94" s="117"/>
      <x:c r="B94" s="117"/>
      <x:c r="C94" s="117"/>
      <x:c r="D94" s="117"/>
      <x:c r="E94" s="117"/>
      <x:c r="F94" s="117"/>
      <x:c r="G94" s="117"/>
      <x:c r="H94" s="117"/>
      <x:c r="I94" s="117"/>
      <x:c r="J94" s="117"/>
      <x:c r="K94" s="117"/>
      <x:c r="L94" s="117"/>
      <x:c r="M94" s="117"/>
      <x:c r="N94" s="117"/>
      <x:c r="O94" s="117"/>
      <x:c r="P94" s="117"/>
      <x:c r="Q94" s="117"/>
      <x:c r="R94" s="117"/>
      <x:c r="S94" s="117"/>
      <x:c r="T94" s="117"/>
      <x:c r="U94" s="117"/>
      <x:c r="V94" s="117"/>
      <x:c r="W94" s="117"/>
      <x:c r="X94" s="117"/>
      <x:c r="Y94" s="117"/>
      <x:c r="Z94" s="117"/>
    </x:row>
    <x:row r="95">
      <x:c r="A95" s="117"/>
      <x:c r="B95" s="117"/>
      <x:c r="C95" s="117"/>
      <x:c r="D95" s="117"/>
      <x:c r="E95" s="117"/>
      <x:c r="F95" s="117"/>
      <x:c r="G95" s="117"/>
      <x:c r="H95" s="117"/>
      <x:c r="I95" s="117"/>
      <x:c r="J95" s="117"/>
      <x:c r="K95" s="117"/>
      <x:c r="L95" s="117"/>
      <x:c r="M95" s="117"/>
      <x:c r="N95" s="117"/>
      <x:c r="O95" s="117"/>
      <x:c r="P95" s="117"/>
      <x:c r="Q95" s="117"/>
      <x:c r="R95" s="117"/>
      <x:c r="S95" s="117"/>
      <x:c r="T95" s="117"/>
      <x:c r="U95" s="117"/>
      <x:c r="V95" s="117"/>
      <x:c r="W95" s="117"/>
      <x:c r="X95" s="117"/>
      <x:c r="Y95" s="117"/>
      <x:c r="Z95" s="117"/>
    </x:row>
    <x:row r="96">
      <x:c r="A96" s="117"/>
      <x:c r="B96" s="117"/>
      <x:c r="C96" s="117"/>
      <x:c r="D96" s="117"/>
      <x:c r="E96" s="117"/>
      <x:c r="F96" s="117"/>
      <x:c r="G96" s="117"/>
      <x:c r="H96" s="117"/>
      <x:c r="I96" s="117"/>
      <x:c r="J96" s="117"/>
      <x:c r="K96" s="117"/>
      <x:c r="L96" s="117"/>
      <x:c r="M96" s="117"/>
      <x:c r="N96" s="117"/>
      <x:c r="O96" s="117"/>
      <x:c r="P96" s="117"/>
      <x:c r="Q96" s="117"/>
      <x:c r="R96" s="117"/>
      <x:c r="S96" s="117"/>
      <x:c r="T96" s="117"/>
      <x:c r="U96" s="117"/>
      <x:c r="V96" s="117"/>
      <x:c r="W96" s="117"/>
      <x:c r="X96" s="117"/>
      <x:c r="Y96" s="117"/>
      <x:c r="Z96" s="117"/>
    </x:row>
    <x:row r="97">
      <x:c r="A97" s="117"/>
      <x:c r="B97" s="117"/>
      <x:c r="C97" s="117"/>
      <x:c r="D97" s="117"/>
      <x:c r="E97" s="117"/>
      <x:c r="F97" s="117"/>
      <x:c r="G97" s="117"/>
      <x:c r="H97" s="117"/>
      <x:c r="I97" s="117"/>
      <x:c r="J97" s="117"/>
      <x:c r="K97" s="117"/>
      <x:c r="L97" s="117"/>
      <x:c r="M97" s="117"/>
      <x:c r="N97" s="117"/>
      <x:c r="O97" s="117"/>
      <x:c r="P97" s="117"/>
      <x:c r="Q97" s="117"/>
      <x:c r="R97" s="117"/>
      <x:c r="S97" s="117"/>
      <x:c r="T97" s="117"/>
      <x:c r="U97" s="117"/>
      <x:c r="V97" s="117"/>
      <x:c r="W97" s="117"/>
      <x:c r="X97" s="117"/>
      <x:c r="Y97" s="117"/>
      <x:c r="Z97" s="117"/>
    </x:row>
    <x:row r="98">
      <x:c r="A98" s="117"/>
      <x:c r="B98" s="117"/>
      <x:c r="C98" s="117"/>
      <x:c r="D98" s="117"/>
      <x:c r="E98" s="117"/>
      <x:c r="F98" s="117"/>
      <x:c r="G98" s="117"/>
      <x:c r="H98" s="117"/>
      <x:c r="I98" s="117"/>
      <x:c r="J98" s="117"/>
      <x:c r="K98" s="117"/>
      <x:c r="L98" s="117"/>
      <x:c r="M98" s="117"/>
      <x:c r="N98" s="117"/>
      <x:c r="O98" s="117"/>
      <x:c r="P98" s="117"/>
      <x:c r="Q98" s="117"/>
      <x:c r="R98" s="117"/>
      <x:c r="S98" s="117"/>
      <x:c r="T98" s="117"/>
      <x:c r="U98" s="117"/>
      <x:c r="V98" s="117"/>
      <x:c r="W98" s="117"/>
      <x:c r="X98" s="117"/>
      <x:c r="Y98" s="117"/>
      <x:c r="Z98" s="117"/>
    </x:row>
    <x:row r="99">
      <x:c r="A99" s="117"/>
      <x:c r="B99" s="117"/>
      <x:c r="C99" s="117"/>
      <x:c r="D99" s="117"/>
      <x:c r="E99" s="117"/>
      <x:c r="F99" s="117"/>
      <x:c r="G99" s="117"/>
      <x:c r="H99" s="117"/>
      <x:c r="I99" s="117"/>
      <x:c r="J99" s="117"/>
      <x:c r="K99" s="117"/>
      <x:c r="L99" s="117"/>
      <x:c r="M99" s="117"/>
      <x:c r="N99" s="117"/>
      <x:c r="O99" s="117"/>
      <x:c r="P99" s="117"/>
      <x:c r="Q99" s="117"/>
      <x:c r="R99" s="117"/>
      <x:c r="S99" s="117"/>
      <x:c r="T99" s="117"/>
      <x:c r="U99" s="117"/>
      <x:c r="V99" s="117"/>
      <x:c r="W99" s="117"/>
      <x:c r="X99" s="117"/>
      <x:c r="Y99" s="117"/>
      <x:c r="Z99" s="117"/>
    </x:row>
    <x:row r="100">
      <x:c r="A100" s="117"/>
      <x:c r="B100" s="117"/>
      <x:c r="C100" s="117"/>
      <x:c r="D100" s="117"/>
      <x:c r="E100" s="117"/>
      <x:c r="F100" s="117"/>
      <x:c r="G100" s="117"/>
      <x:c r="H100" s="117"/>
      <x:c r="I100" s="117"/>
      <x:c r="J100" s="117"/>
      <x:c r="K100" s="117"/>
      <x:c r="L100" s="117"/>
      <x:c r="M100" s="117"/>
      <x:c r="N100" s="117"/>
      <x:c r="O100" s="117"/>
      <x:c r="P100" s="117"/>
      <x:c r="Q100" s="117"/>
      <x:c r="R100" s="117"/>
      <x:c r="S100" s="117"/>
      <x:c r="T100" s="117"/>
      <x:c r="U100" s="117"/>
      <x:c r="V100" s="117"/>
      <x:c r="W100" s="117"/>
      <x:c r="X100" s="117"/>
      <x:c r="Y100" s="117"/>
      <x:c r="Z100" s="117"/>
    </x:row>
    <x:row r="101">
      <x:c r="A101" s="117"/>
      <x:c r="B101" s="117"/>
      <x:c r="C101" s="117"/>
      <x:c r="D101" s="117"/>
      <x:c r="E101" s="117"/>
      <x:c r="F101" s="117"/>
      <x:c r="G101" s="117"/>
      <x:c r="H101" s="117"/>
      <x:c r="I101" s="117"/>
      <x:c r="J101" s="117"/>
      <x:c r="K101" s="117"/>
      <x:c r="L101" s="117"/>
      <x:c r="M101" s="117"/>
      <x:c r="N101" s="117"/>
      <x:c r="O101" s="117"/>
      <x:c r="P101" s="117"/>
      <x:c r="Q101" s="117"/>
      <x:c r="R101" s="117"/>
      <x:c r="S101" s="117"/>
      <x:c r="T101" s="117"/>
      <x:c r="U101" s="117"/>
      <x:c r="V101" s="117"/>
      <x:c r="W101" s="117"/>
      <x:c r="X101" s="117"/>
      <x:c r="Y101" s="117"/>
      <x:c r="Z101" s="117"/>
    </x:row>
    <x:row r="102">
      <x:c r="A102" s="117"/>
      <x:c r="B102" s="117"/>
      <x:c r="C102" s="117"/>
      <x:c r="D102" s="117"/>
      <x:c r="E102" s="117"/>
      <x:c r="F102" s="117"/>
      <x:c r="G102" s="117"/>
      <x:c r="H102" s="117"/>
      <x:c r="I102" s="117"/>
      <x:c r="J102" s="117"/>
      <x:c r="K102" s="117"/>
      <x:c r="L102" s="117"/>
      <x:c r="M102" s="117"/>
      <x:c r="N102" s="117"/>
      <x:c r="O102" s="117"/>
      <x:c r="P102" s="117"/>
      <x:c r="Q102" s="117"/>
      <x:c r="R102" s="117"/>
      <x:c r="S102" s="117"/>
      <x:c r="T102" s="117"/>
      <x:c r="U102" s="117"/>
      <x:c r="V102" s="117"/>
      <x:c r="W102" s="117"/>
      <x:c r="X102" s="117"/>
      <x:c r="Y102" s="117"/>
      <x:c r="Z102" s="117"/>
    </x:row>
    <x:row r="103">
      <x:c r="A103" s="117"/>
      <x:c r="B103" s="117"/>
      <x:c r="C103" s="117"/>
      <x:c r="D103" s="117"/>
      <x:c r="E103" s="117"/>
      <x:c r="F103" s="117"/>
      <x:c r="G103" s="117"/>
      <x:c r="H103" s="117"/>
      <x:c r="I103" s="117"/>
      <x:c r="J103" s="117"/>
      <x:c r="K103" s="117"/>
      <x:c r="L103" s="117"/>
      <x:c r="M103" s="117"/>
      <x:c r="N103" s="117"/>
      <x:c r="O103" s="117"/>
      <x:c r="P103" s="117"/>
      <x:c r="Q103" s="117"/>
      <x:c r="R103" s="117"/>
      <x:c r="S103" s="117"/>
      <x:c r="T103" s="117"/>
      <x:c r="U103" s="117"/>
      <x:c r="V103" s="117"/>
      <x:c r="W103" s="117"/>
      <x:c r="X103" s="117"/>
      <x:c r="Y103" s="117"/>
      <x:c r="Z103" s="117"/>
    </x:row>
    <x:row r="104">
      <x:c r="A104" s="117"/>
      <x:c r="B104" s="117"/>
      <x:c r="C104" s="117"/>
      <x:c r="D104" s="117"/>
      <x:c r="E104" s="117"/>
      <x:c r="F104" s="117"/>
      <x:c r="G104" s="117"/>
      <x:c r="H104" s="117"/>
      <x:c r="I104" s="117"/>
      <x:c r="J104" s="117"/>
      <x:c r="K104" s="117"/>
      <x:c r="L104" s="117"/>
      <x:c r="M104" s="117"/>
      <x:c r="N104" s="117"/>
      <x:c r="O104" s="117"/>
      <x:c r="P104" s="117"/>
      <x:c r="Q104" s="117"/>
      <x:c r="R104" s="117"/>
      <x:c r="S104" s="117"/>
      <x:c r="T104" s="117"/>
      <x:c r="U104" s="117"/>
      <x:c r="V104" s="117"/>
      <x:c r="W104" s="117"/>
      <x:c r="X104" s="117"/>
      <x:c r="Y104" s="117"/>
      <x:c r="Z104" s="117"/>
    </x:row>
    <x:row r="105">
      <x:c r="A105" s="117"/>
      <x:c r="B105" s="117"/>
      <x:c r="C105" s="117"/>
      <x:c r="D105" s="117"/>
      <x:c r="E105" s="117"/>
      <x:c r="F105" s="117"/>
      <x:c r="G105" s="117"/>
      <x:c r="H105" s="117"/>
      <x:c r="I105" s="117"/>
      <x:c r="J105" s="117"/>
      <x:c r="K105" s="117"/>
      <x:c r="L105" s="117"/>
      <x:c r="M105" s="117"/>
      <x:c r="N105" s="117"/>
      <x:c r="O105" s="117"/>
      <x:c r="P105" s="117"/>
      <x:c r="Q105" s="117"/>
      <x:c r="R105" s="117"/>
      <x:c r="S105" s="117"/>
      <x:c r="T105" s="117"/>
      <x:c r="U105" s="117"/>
      <x:c r="V105" s="117"/>
      <x:c r="W105" s="117"/>
      <x:c r="X105" s="117"/>
      <x:c r="Y105" s="117"/>
      <x:c r="Z105" s="117"/>
    </x:row>
    <x:row r="106">
      <x:c r="A106" s="117"/>
      <x:c r="B106" s="117"/>
      <x:c r="C106" s="117"/>
      <x:c r="D106" s="117"/>
      <x:c r="E106" s="117"/>
      <x:c r="F106" s="117"/>
      <x:c r="G106" s="117"/>
      <x:c r="H106" s="117"/>
      <x:c r="I106" s="117"/>
      <x:c r="J106" s="117"/>
      <x:c r="K106" s="117"/>
      <x:c r="L106" s="117"/>
      <x:c r="M106" s="117"/>
      <x:c r="N106" s="117"/>
      <x:c r="O106" s="117"/>
      <x:c r="P106" s="117"/>
      <x:c r="Q106" s="117"/>
      <x:c r="R106" s="117"/>
      <x:c r="S106" s="117"/>
      <x:c r="T106" s="117"/>
      <x:c r="U106" s="117"/>
      <x:c r="V106" s="117"/>
      <x:c r="W106" s="117"/>
      <x:c r="X106" s="117"/>
      <x:c r="Y106" s="117"/>
      <x:c r="Z106" s="117"/>
    </x:row>
    <x:row r="107">
      <x:c r="A107" s="117"/>
      <x:c r="B107" s="117"/>
      <x:c r="C107" s="117"/>
      <x:c r="D107" s="117"/>
      <x:c r="E107" s="117"/>
      <x:c r="F107" s="117"/>
      <x:c r="G107" s="117"/>
      <x:c r="H107" s="117"/>
      <x:c r="I107" s="117"/>
      <x:c r="J107" s="117"/>
      <x:c r="K107" s="117"/>
      <x:c r="L107" s="117"/>
      <x:c r="M107" s="117"/>
      <x:c r="N107" s="117"/>
      <x:c r="O107" s="117"/>
      <x:c r="P107" s="117"/>
      <x:c r="Q107" s="117"/>
      <x:c r="R107" s="117"/>
      <x:c r="S107" s="117"/>
      <x:c r="T107" s="117"/>
      <x:c r="U107" s="117"/>
      <x:c r="V107" s="117"/>
      <x:c r="W107" s="117"/>
      <x:c r="X107" s="117"/>
      <x:c r="Y107" s="117"/>
      <x:c r="Z107" s="117"/>
    </x:row>
    <x:row r="108">
      <x:c r="A108" s="117"/>
      <x:c r="B108" s="117"/>
      <x:c r="C108" s="117"/>
      <x:c r="D108" s="117"/>
      <x:c r="E108" s="117"/>
      <x:c r="F108" s="117"/>
      <x:c r="G108" s="117"/>
      <x:c r="H108" s="117"/>
      <x:c r="I108" s="117"/>
      <x:c r="J108" s="117"/>
      <x:c r="K108" s="117"/>
      <x:c r="L108" s="117"/>
      <x:c r="M108" s="117"/>
      <x:c r="N108" s="117"/>
      <x:c r="O108" s="117"/>
      <x:c r="P108" s="117"/>
      <x:c r="Q108" s="117"/>
      <x:c r="R108" s="117"/>
      <x:c r="S108" s="117"/>
      <x:c r="T108" s="117"/>
      <x:c r="U108" s="117"/>
      <x:c r="V108" s="117"/>
      <x:c r="W108" s="117"/>
      <x:c r="X108" s="117"/>
      <x:c r="Y108" s="117"/>
      <x:c r="Z108" s="117"/>
    </x:row>
    <x:row r="109">
      <x:c r="A109" s="117"/>
      <x:c r="B109" s="117"/>
      <x:c r="C109" s="117"/>
      <x:c r="D109" s="117"/>
      <x:c r="E109" s="117"/>
      <x:c r="F109" s="117"/>
      <x:c r="G109" s="117"/>
      <x:c r="H109" s="117"/>
      <x:c r="I109" s="117"/>
      <x:c r="J109" s="117"/>
      <x:c r="K109" s="117"/>
      <x:c r="L109" s="117"/>
      <x:c r="M109" s="117"/>
      <x:c r="N109" s="117"/>
      <x:c r="O109" s="117"/>
      <x:c r="P109" s="117"/>
      <x:c r="Q109" s="117"/>
      <x:c r="R109" s="117"/>
      <x:c r="S109" s="117"/>
      <x:c r="T109" s="117"/>
      <x:c r="U109" s="117"/>
      <x:c r="V109" s="117"/>
      <x:c r="W109" s="117"/>
      <x:c r="X109" s="117"/>
      <x:c r="Y109" s="117"/>
      <x:c r="Z109" s="117"/>
    </x:row>
    <x:row r="110">
      <x:c r="A110" s="117"/>
      <x:c r="B110" s="117"/>
      <x:c r="C110" s="117"/>
      <x:c r="D110" s="117"/>
      <x:c r="E110" s="117"/>
      <x:c r="F110" s="117"/>
      <x:c r="G110" s="117"/>
      <x:c r="H110" s="117"/>
      <x:c r="I110" s="117"/>
      <x:c r="J110" s="117"/>
      <x:c r="K110" s="117"/>
      <x:c r="L110" s="117"/>
      <x:c r="M110" s="117"/>
      <x:c r="N110" s="117"/>
      <x:c r="O110" s="117"/>
      <x:c r="P110" s="117"/>
      <x:c r="Q110" s="117"/>
      <x:c r="R110" s="117"/>
      <x:c r="S110" s="117"/>
      <x:c r="T110" s="117"/>
      <x:c r="U110" s="117"/>
      <x:c r="V110" s="117"/>
      <x:c r="W110" s="117"/>
      <x:c r="X110" s="117"/>
      <x:c r="Y110" s="117"/>
      <x:c r="Z110" s="117"/>
    </x:row>
    <x:row r="111">
      <x:c r="A111" s="117"/>
      <x:c r="B111" s="117"/>
      <x:c r="C111" s="117"/>
      <x:c r="D111" s="117"/>
      <x:c r="E111" s="117"/>
      <x:c r="F111" s="117"/>
      <x:c r="G111" s="117"/>
      <x:c r="H111" s="117"/>
      <x:c r="I111" s="117"/>
      <x:c r="J111" s="117"/>
      <x:c r="K111" s="117"/>
      <x:c r="L111" s="117"/>
      <x:c r="M111" s="117"/>
      <x:c r="N111" s="117"/>
      <x:c r="O111" s="117"/>
      <x:c r="P111" s="117"/>
      <x:c r="Q111" s="117"/>
      <x:c r="R111" s="117"/>
      <x:c r="S111" s="117"/>
      <x:c r="T111" s="117"/>
      <x:c r="U111" s="117"/>
      <x:c r="V111" s="117"/>
      <x:c r="W111" s="117"/>
      <x:c r="X111" s="117"/>
      <x:c r="Y111" s="117"/>
      <x:c r="Z111" s="117"/>
    </x:row>
    <x:row r="112">
      <x:c r="A112" s="117"/>
      <x:c r="B112" s="117"/>
      <x:c r="C112" s="117"/>
      <x:c r="D112" s="117"/>
      <x:c r="E112" s="117"/>
      <x:c r="F112" s="117"/>
      <x:c r="G112" s="117"/>
      <x:c r="H112" s="117"/>
      <x:c r="I112" s="117"/>
      <x:c r="J112" s="117"/>
      <x:c r="K112" s="117"/>
      <x:c r="L112" s="117"/>
      <x:c r="M112" s="117"/>
      <x:c r="N112" s="117"/>
      <x:c r="O112" s="117"/>
      <x:c r="P112" s="117"/>
      <x:c r="Q112" s="117"/>
      <x:c r="R112" s="117"/>
      <x:c r="S112" s="117"/>
      <x:c r="T112" s="117"/>
      <x:c r="U112" s="117"/>
      <x:c r="V112" s="117"/>
      <x:c r="W112" s="117"/>
      <x:c r="X112" s="117"/>
      <x:c r="Y112" s="117"/>
      <x:c r="Z112" s="117"/>
    </x:row>
    <x:row r="113">
      <x:c r="A113" s="117"/>
      <x:c r="B113" s="117"/>
      <x:c r="C113" s="117"/>
      <x:c r="D113" s="117"/>
      <x:c r="E113" s="117"/>
      <x:c r="F113" s="117"/>
      <x:c r="G113" s="117"/>
      <x:c r="H113" s="117"/>
      <x:c r="I113" s="117"/>
      <x:c r="J113" s="117"/>
      <x:c r="K113" s="117"/>
      <x:c r="L113" s="117"/>
      <x:c r="M113" s="117"/>
      <x:c r="N113" s="117"/>
      <x:c r="O113" s="117"/>
      <x:c r="P113" s="117"/>
      <x:c r="Q113" s="117"/>
      <x:c r="R113" s="117"/>
      <x:c r="S113" s="117"/>
      <x:c r="T113" s="117"/>
      <x:c r="U113" s="117"/>
      <x:c r="V113" s="117"/>
      <x:c r="W113" s="117"/>
      <x:c r="X113" s="117"/>
      <x:c r="Y113" s="117"/>
      <x:c r="Z113" s="117"/>
    </x:row>
    <x:row r="114">
      <x:c r="A114" s="117"/>
      <x:c r="B114" s="117"/>
      <x:c r="C114" s="117"/>
      <x:c r="D114" s="117"/>
      <x:c r="E114" s="117"/>
      <x:c r="F114" s="117"/>
      <x:c r="G114" s="117"/>
      <x:c r="H114" s="117"/>
      <x:c r="I114" s="117"/>
      <x:c r="J114" s="117"/>
      <x:c r="K114" s="117"/>
      <x:c r="L114" s="117"/>
      <x:c r="M114" s="117"/>
      <x:c r="N114" s="117"/>
      <x:c r="O114" s="117"/>
      <x:c r="P114" s="117"/>
      <x:c r="Q114" s="117"/>
      <x:c r="R114" s="117"/>
      <x:c r="S114" s="117"/>
      <x:c r="T114" s="117"/>
      <x:c r="U114" s="117"/>
      <x:c r="V114" s="117"/>
      <x:c r="W114" s="117"/>
      <x:c r="X114" s="117"/>
      <x:c r="Y114" s="117"/>
      <x:c r="Z114" s="117"/>
    </x:row>
    <x:row r="115">
      <x:c r="A115" s="117"/>
      <x:c r="B115" s="117"/>
      <x:c r="C115" s="117"/>
      <x:c r="D115" s="117"/>
      <x:c r="E115" s="117"/>
      <x:c r="F115" s="117"/>
      <x:c r="G115" s="117"/>
      <x:c r="H115" s="117"/>
      <x:c r="I115" s="117"/>
      <x:c r="J115" s="117"/>
      <x:c r="K115" s="117"/>
      <x:c r="L115" s="117"/>
      <x:c r="M115" s="117"/>
      <x:c r="N115" s="117"/>
      <x:c r="O115" s="117"/>
      <x:c r="P115" s="117"/>
      <x:c r="Q115" s="117"/>
      <x:c r="R115" s="117"/>
      <x:c r="S115" s="117"/>
      <x:c r="T115" s="117"/>
      <x:c r="U115" s="117"/>
      <x:c r="V115" s="117"/>
      <x:c r="W115" s="117"/>
      <x:c r="X115" s="117"/>
      <x:c r="Y115" s="117"/>
      <x:c r="Z115" s="117"/>
    </x:row>
    <x:row r="116">
      <x:c r="A116" s="117"/>
      <x:c r="B116" s="117"/>
      <x:c r="C116" s="117"/>
      <x:c r="D116" s="117"/>
      <x:c r="E116" s="117"/>
      <x:c r="F116" s="117"/>
      <x:c r="G116" s="117"/>
      <x:c r="H116" s="117"/>
      <x:c r="I116" s="117"/>
      <x:c r="J116" s="117"/>
      <x:c r="K116" s="117"/>
      <x:c r="L116" s="117"/>
      <x:c r="M116" s="117"/>
      <x:c r="N116" s="117"/>
      <x:c r="O116" s="117"/>
      <x:c r="P116" s="117"/>
      <x:c r="Q116" s="117"/>
      <x:c r="R116" s="117"/>
      <x:c r="S116" s="117"/>
      <x:c r="T116" s="117"/>
      <x:c r="U116" s="117"/>
      <x:c r="V116" s="117"/>
      <x:c r="W116" s="117"/>
      <x:c r="X116" s="117"/>
      <x:c r="Y116" s="117"/>
      <x:c r="Z116" s="117"/>
    </x:row>
    <x:row r="117">
      <x:c r="A117" s="117"/>
      <x:c r="B117" s="117"/>
      <x:c r="C117" s="117"/>
      <x:c r="D117" s="117"/>
      <x:c r="E117" s="117"/>
      <x:c r="F117" s="117"/>
      <x:c r="G117" s="117"/>
      <x:c r="H117" s="117"/>
      <x:c r="I117" s="117"/>
      <x:c r="J117" s="117"/>
      <x:c r="K117" s="117"/>
      <x:c r="L117" s="117"/>
      <x:c r="M117" s="117"/>
      <x:c r="N117" s="117"/>
      <x:c r="O117" s="117"/>
      <x:c r="P117" s="117"/>
      <x:c r="Q117" s="117"/>
      <x:c r="R117" s="117"/>
      <x:c r="S117" s="117"/>
      <x:c r="T117" s="117"/>
      <x:c r="U117" s="117"/>
      <x:c r="V117" s="117"/>
      <x:c r="W117" s="117"/>
      <x:c r="X117" s="117"/>
      <x:c r="Y117" s="117"/>
      <x:c r="Z117" s="117"/>
    </x:row>
    <x:row r="118">
      <x:c r="A118" s="117"/>
      <x:c r="B118" s="117"/>
      <x:c r="C118" s="117"/>
      <x:c r="D118" s="117"/>
      <x:c r="E118" s="117"/>
      <x:c r="F118" s="117"/>
      <x:c r="G118" s="117"/>
      <x:c r="H118" s="117"/>
      <x:c r="I118" s="117"/>
      <x:c r="J118" s="117"/>
      <x:c r="K118" s="117"/>
      <x:c r="L118" s="117"/>
      <x:c r="M118" s="117"/>
      <x:c r="N118" s="117"/>
      <x:c r="O118" s="117"/>
      <x:c r="P118" s="117"/>
      <x:c r="Q118" s="117"/>
      <x:c r="R118" s="117"/>
      <x:c r="S118" s="117"/>
      <x:c r="T118" s="117"/>
      <x:c r="U118" s="117"/>
      <x:c r="V118" s="117"/>
      <x:c r="W118" s="117"/>
      <x:c r="X118" s="117"/>
      <x:c r="Y118" s="117"/>
      <x:c r="Z118" s="117"/>
    </x:row>
    <x:row r="119">
      <x:c r="A119" s="117"/>
      <x:c r="B119" s="117"/>
      <x:c r="C119" s="117"/>
      <x:c r="D119" s="117"/>
      <x:c r="E119" s="117"/>
      <x:c r="F119" s="117"/>
      <x:c r="G119" s="117"/>
      <x:c r="H119" s="117"/>
      <x:c r="I119" s="117"/>
      <x:c r="J119" s="117"/>
      <x:c r="K119" s="117"/>
      <x:c r="L119" s="117"/>
      <x:c r="M119" s="117"/>
      <x:c r="N119" s="117"/>
      <x:c r="O119" s="117"/>
      <x:c r="P119" s="117"/>
      <x:c r="Q119" s="117"/>
      <x:c r="R119" s="117"/>
      <x:c r="S119" s="117"/>
      <x:c r="T119" s="117"/>
      <x:c r="U119" s="117"/>
      <x:c r="V119" s="117"/>
      <x:c r="W119" s="117"/>
      <x:c r="X119" s="117"/>
      <x:c r="Y119" s="117"/>
      <x:c r="Z119" s="117"/>
    </x:row>
    <x:row r="120">
      <x:c r="A120" s="117"/>
      <x:c r="B120" s="117"/>
      <x:c r="C120" s="117"/>
      <x:c r="D120" s="117"/>
      <x:c r="E120" s="117"/>
      <x:c r="F120" s="117"/>
      <x:c r="G120" s="117"/>
      <x:c r="H120" s="117"/>
      <x:c r="I120" s="117"/>
      <x:c r="J120" s="117"/>
      <x:c r="K120" s="117"/>
      <x:c r="L120" s="117"/>
      <x:c r="M120" s="117"/>
      <x:c r="N120" s="117"/>
      <x:c r="O120" s="117"/>
      <x:c r="P120" s="117"/>
      <x:c r="Q120" s="117"/>
      <x:c r="R120" s="117"/>
      <x:c r="S120" s="117"/>
      <x:c r="T120" s="117"/>
      <x:c r="U120" s="117"/>
      <x:c r="V120" s="117"/>
      <x:c r="W120" s="117"/>
      <x:c r="X120" s="117"/>
      <x:c r="Y120" s="117"/>
      <x:c r="Z120" s="117"/>
    </x:row>
    <x:row r="121">
      <x:c r="A121" s="117"/>
      <x:c r="B121" s="117"/>
      <x:c r="C121" s="117"/>
      <x:c r="D121" s="117"/>
      <x:c r="E121" s="117"/>
      <x:c r="F121" s="117"/>
      <x:c r="G121" s="117"/>
      <x:c r="H121" s="117"/>
      <x:c r="I121" s="117"/>
      <x:c r="J121" s="117"/>
      <x:c r="K121" s="117"/>
      <x:c r="L121" s="117"/>
      <x:c r="M121" s="117"/>
      <x:c r="N121" s="117"/>
      <x:c r="O121" s="117"/>
      <x:c r="P121" s="117"/>
      <x:c r="Q121" s="117"/>
      <x:c r="R121" s="117"/>
      <x:c r="S121" s="117"/>
      <x:c r="T121" s="117"/>
      <x:c r="U121" s="117"/>
      <x:c r="V121" s="117"/>
      <x:c r="W121" s="117"/>
      <x:c r="X121" s="117"/>
      <x:c r="Y121" s="117"/>
      <x:c r="Z121" s="117"/>
    </x:row>
    <x:row r="122">
      <x:c r="A122" s="117"/>
      <x:c r="B122" s="117"/>
      <x:c r="C122" s="117"/>
      <x:c r="D122" s="117"/>
      <x:c r="E122" s="117"/>
      <x:c r="F122" s="117"/>
      <x:c r="G122" s="117"/>
      <x:c r="H122" s="117"/>
      <x:c r="I122" s="117"/>
      <x:c r="J122" s="117"/>
      <x:c r="K122" s="117"/>
      <x:c r="L122" s="117"/>
      <x:c r="M122" s="117"/>
      <x:c r="N122" s="117"/>
      <x:c r="O122" s="117"/>
      <x:c r="P122" s="117"/>
      <x:c r="Q122" s="117"/>
      <x:c r="R122" s="117"/>
      <x:c r="S122" s="117"/>
      <x:c r="T122" s="117"/>
      <x:c r="U122" s="117"/>
      <x:c r="V122" s="117"/>
      <x:c r="W122" s="117"/>
      <x:c r="X122" s="117"/>
      <x:c r="Y122" s="117"/>
      <x:c r="Z122" s="117"/>
    </x:row>
    <x:row r="123">
      <x:c r="A123" s="117"/>
      <x:c r="B123" s="117"/>
      <x:c r="C123" s="117"/>
      <x:c r="D123" s="117"/>
      <x:c r="E123" s="117"/>
      <x:c r="F123" s="117"/>
      <x:c r="G123" s="117"/>
      <x:c r="H123" s="117"/>
      <x:c r="I123" s="117"/>
      <x:c r="J123" s="117"/>
      <x:c r="K123" s="117"/>
      <x:c r="L123" s="117"/>
      <x:c r="M123" s="117"/>
      <x:c r="N123" s="117"/>
      <x:c r="O123" s="117"/>
      <x:c r="P123" s="117"/>
      <x:c r="Q123" s="117"/>
      <x:c r="R123" s="117"/>
      <x:c r="S123" s="117"/>
      <x:c r="T123" s="117"/>
      <x:c r="U123" s="117"/>
      <x:c r="V123" s="117"/>
      <x:c r="W123" s="117"/>
      <x:c r="X123" s="117"/>
      <x:c r="Y123" s="117"/>
      <x:c r="Z123" s="117"/>
    </x:row>
    <x:row r="124">
      <x:c r="A124" s="117"/>
      <x:c r="B124" s="117"/>
      <x:c r="C124" s="117"/>
      <x:c r="D124" s="117"/>
      <x:c r="E124" s="117"/>
      <x:c r="F124" s="117"/>
      <x:c r="G124" s="117"/>
      <x:c r="H124" s="117"/>
      <x:c r="I124" s="117"/>
      <x:c r="J124" s="117"/>
      <x:c r="K124" s="117"/>
      <x:c r="L124" s="117"/>
      <x:c r="M124" s="117"/>
      <x:c r="N124" s="117"/>
      <x:c r="O124" s="117"/>
      <x:c r="P124" s="117"/>
      <x:c r="Q124" s="117"/>
      <x:c r="R124" s="117"/>
      <x:c r="S124" s="117"/>
      <x:c r="T124" s="117"/>
      <x:c r="U124" s="117"/>
      <x:c r="V124" s="117"/>
      <x:c r="W124" s="117"/>
      <x:c r="X124" s="117"/>
      <x:c r="Y124" s="117"/>
      <x:c r="Z124" s="117"/>
    </x:row>
    <x:row r="125">
      <x:c r="A125" s="117"/>
      <x:c r="B125" s="117"/>
      <x:c r="C125" s="117"/>
      <x:c r="D125" s="117"/>
      <x:c r="E125" s="117"/>
      <x:c r="F125" s="117"/>
      <x:c r="G125" s="117"/>
      <x:c r="H125" s="117"/>
      <x:c r="I125" s="117"/>
      <x:c r="J125" s="117"/>
      <x:c r="K125" s="117"/>
      <x:c r="L125" s="117"/>
      <x:c r="M125" s="117"/>
      <x:c r="N125" s="117"/>
      <x:c r="O125" s="117"/>
      <x:c r="P125" s="117"/>
      <x:c r="Q125" s="117"/>
      <x:c r="R125" s="117"/>
      <x:c r="S125" s="117"/>
      <x:c r="T125" s="117"/>
      <x:c r="U125" s="117"/>
      <x:c r="V125" s="117"/>
      <x:c r="W125" s="117"/>
      <x:c r="X125" s="117"/>
      <x:c r="Y125" s="117"/>
      <x:c r="Z125" s="117"/>
    </x:row>
    <x:row r="126">
      <x:c r="A126" s="117"/>
      <x:c r="B126" s="117"/>
      <x:c r="C126" s="117"/>
      <x:c r="D126" s="117"/>
      <x:c r="E126" s="117"/>
      <x:c r="F126" s="117"/>
      <x:c r="G126" s="117"/>
      <x:c r="H126" s="117"/>
      <x:c r="I126" s="117"/>
      <x:c r="J126" s="117"/>
      <x:c r="K126" s="117"/>
      <x:c r="L126" s="117"/>
      <x:c r="M126" s="117"/>
      <x:c r="N126" s="117"/>
      <x:c r="O126" s="117"/>
      <x:c r="P126" s="117"/>
      <x:c r="Q126" s="117"/>
      <x:c r="R126" s="117"/>
      <x:c r="S126" s="117"/>
      <x:c r="T126" s="117"/>
      <x:c r="U126" s="117"/>
      <x:c r="V126" s="117"/>
      <x:c r="W126" s="117"/>
      <x:c r="X126" s="117"/>
      <x:c r="Y126" s="117"/>
      <x:c r="Z126" s="117"/>
    </x:row>
    <x:row r="127">
      <x:c r="A127" s="117"/>
      <x:c r="B127" s="117"/>
      <x:c r="C127" s="117"/>
      <x:c r="D127" s="117"/>
      <x:c r="E127" s="117"/>
      <x:c r="F127" s="117"/>
      <x:c r="G127" s="117"/>
      <x:c r="H127" s="117"/>
      <x:c r="I127" s="117"/>
      <x:c r="J127" s="117"/>
      <x:c r="K127" s="117"/>
      <x:c r="L127" s="117"/>
      <x:c r="M127" s="117"/>
      <x:c r="N127" s="117"/>
      <x:c r="O127" s="117"/>
      <x:c r="P127" s="117"/>
      <x:c r="Q127" s="117"/>
      <x:c r="R127" s="117"/>
      <x:c r="S127" s="117"/>
      <x:c r="T127" s="117"/>
      <x:c r="U127" s="117"/>
      <x:c r="V127" s="117"/>
      <x:c r="W127" s="117"/>
      <x:c r="X127" s="117"/>
      <x:c r="Y127" s="117"/>
      <x:c r="Z127" s="117"/>
    </x:row>
    <x:row r="128">
      <x:c r="A128" s="117"/>
      <x:c r="B128" s="117"/>
      <x:c r="C128" s="117"/>
      <x:c r="D128" s="117"/>
      <x:c r="E128" s="117"/>
      <x:c r="F128" s="117"/>
      <x:c r="G128" s="117"/>
      <x:c r="H128" s="117"/>
      <x:c r="I128" s="117"/>
      <x:c r="J128" s="117"/>
      <x:c r="K128" s="117"/>
      <x:c r="L128" s="117"/>
      <x:c r="M128" s="117"/>
      <x:c r="N128" s="117"/>
      <x:c r="O128" s="117"/>
      <x:c r="P128" s="117"/>
      <x:c r="Q128" s="117"/>
      <x:c r="R128" s="117"/>
      <x:c r="S128" s="117"/>
      <x:c r="T128" s="117"/>
      <x:c r="U128" s="117"/>
      <x:c r="V128" s="117"/>
      <x:c r="W128" s="117"/>
      <x:c r="X128" s="117"/>
      <x:c r="Y128" s="117"/>
      <x:c r="Z128" s="117"/>
    </x:row>
    <x:row r="129">
      <x:c r="A129" s="117"/>
      <x:c r="B129" s="117"/>
      <x:c r="C129" s="117"/>
      <x:c r="D129" s="117"/>
      <x:c r="E129" s="117"/>
      <x:c r="F129" s="117"/>
      <x:c r="G129" s="117"/>
      <x:c r="H129" s="117"/>
      <x:c r="I129" s="117"/>
      <x:c r="J129" s="117"/>
      <x:c r="K129" s="117"/>
      <x:c r="L129" s="117"/>
      <x:c r="M129" s="117"/>
      <x:c r="N129" s="117"/>
      <x:c r="O129" s="117"/>
      <x:c r="P129" s="117"/>
      <x:c r="Q129" s="117"/>
      <x:c r="R129" s="117"/>
      <x:c r="S129" s="117"/>
      <x:c r="T129" s="117"/>
      <x:c r="U129" s="117"/>
      <x:c r="V129" s="117"/>
      <x:c r="W129" s="117"/>
      <x:c r="X129" s="117"/>
      <x:c r="Y129" s="117"/>
      <x:c r="Z129" s="117"/>
    </x:row>
    <x:row r="130">
      <x:c r="A130" s="117"/>
      <x:c r="B130" s="117"/>
      <x:c r="C130" s="117"/>
      <x:c r="D130" s="117"/>
      <x:c r="E130" s="117"/>
      <x:c r="F130" s="117"/>
      <x:c r="G130" s="117"/>
      <x:c r="H130" s="117"/>
      <x:c r="I130" s="117"/>
      <x:c r="J130" s="117"/>
      <x:c r="K130" s="117"/>
      <x:c r="L130" s="117"/>
      <x:c r="M130" s="117"/>
      <x:c r="N130" s="117"/>
      <x:c r="O130" s="117"/>
      <x:c r="P130" s="117"/>
      <x:c r="Q130" s="117"/>
      <x:c r="R130" s="117"/>
      <x:c r="S130" s="117"/>
      <x:c r="T130" s="117"/>
      <x:c r="U130" s="117"/>
      <x:c r="V130" s="117"/>
      <x:c r="W130" s="117"/>
      <x:c r="X130" s="117"/>
      <x:c r="Y130" s="117"/>
      <x:c r="Z130" s="117"/>
    </x:row>
    <x:row r="131">
      <x:c r="A131" s="117"/>
      <x:c r="B131" s="117"/>
      <x:c r="C131" s="117"/>
      <x:c r="D131" s="117"/>
      <x:c r="E131" s="117"/>
      <x:c r="F131" s="117"/>
      <x:c r="G131" s="117"/>
      <x:c r="H131" s="117"/>
      <x:c r="I131" s="117"/>
      <x:c r="J131" s="117"/>
      <x:c r="K131" s="117"/>
      <x:c r="L131" s="117"/>
      <x:c r="M131" s="117"/>
      <x:c r="N131" s="117"/>
      <x:c r="O131" s="117"/>
      <x:c r="P131" s="117"/>
      <x:c r="Q131" s="117"/>
      <x:c r="R131" s="117"/>
      <x:c r="S131" s="117"/>
      <x:c r="T131" s="117"/>
      <x:c r="U131" s="117"/>
      <x:c r="V131" s="117"/>
      <x:c r="W131" s="117"/>
      <x:c r="X131" s="117"/>
      <x:c r="Y131" s="117"/>
      <x:c r="Z131" s="117"/>
    </x:row>
    <x:row r="132">
      <x:c r="A132" s="117"/>
      <x:c r="B132" s="117"/>
      <x:c r="C132" s="117"/>
      <x:c r="D132" s="117"/>
      <x:c r="E132" s="117"/>
      <x:c r="F132" s="117"/>
      <x:c r="G132" s="117"/>
      <x:c r="H132" s="117"/>
      <x:c r="I132" s="117"/>
      <x:c r="J132" s="117"/>
      <x:c r="K132" s="117"/>
      <x:c r="L132" s="117"/>
      <x:c r="M132" s="117"/>
      <x:c r="N132" s="117"/>
      <x:c r="O132" s="117"/>
      <x:c r="P132" s="117"/>
      <x:c r="Q132" s="117"/>
      <x:c r="R132" s="117"/>
      <x:c r="S132" s="117"/>
      <x:c r="T132" s="117"/>
      <x:c r="U132" s="117"/>
      <x:c r="V132" s="117"/>
      <x:c r="W132" s="117"/>
      <x:c r="X132" s="117"/>
      <x:c r="Y132" s="117"/>
      <x:c r="Z132" s="117"/>
    </x:row>
    <x:row r="133">
      <x:c r="A133" s="117"/>
      <x:c r="B133" s="117"/>
      <x:c r="C133" s="117"/>
      <x:c r="D133" s="117"/>
      <x:c r="E133" s="117"/>
      <x:c r="F133" s="117"/>
      <x:c r="G133" s="117"/>
      <x:c r="H133" s="117"/>
      <x:c r="I133" s="117"/>
      <x:c r="J133" s="117"/>
      <x:c r="K133" s="117"/>
      <x:c r="L133" s="117"/>
      <x:c r="M133" s="117"/>
      <x:c r="N133" s="117"/>
      <x:c r="O133" s="117"/>
      <x:c r="P133" s="117"/>
      <x:c r="Q133" s="117"/>
      <x:c r="R133" s="117"/>
      <x:c r="S133" s="117"/>
      <x:c r="T133" s="117"/>
      <x:c r="U133" s="117"/>
      <x:c r="V133" s="117"/>
      <x:c r="W133" s="117"/>
      <x:c r="X133" s="117"/>
      <x:c r="Y133" s="117"/>
      <x:c r="Z133" s="117"/>
    </x:row>
    <x:row r="134">
      <x:c r="A134" s="117"/>
      <x:c r="B134" s="117"/>
      <x:c r="C134" s="117"/>
      <x:c r="D134" s="117"/>
      <x:c r="E134" s="117"/>
      <x:c r="F134" s="117"/>
      <x:c r="G134" s="117"/>
      <x:c r="H134" s="117"/>
      <x:c r="I134" s="117"/>
      <x:c r="J134" s="117"/>
      <x:c r="K134" s="117"/>
      <x:c r="L134" s="117"/>
      <x:c r="M134" s="117"/>
      <x:c r="N134" s="117"/>
      <x:c r="O134" s="117"/>
      <x:c r="P134" s="117"/>
      <x:c r="Q134" s="117"/>
      <x:c r="R134" s="117"/>
      <x:c r="S134" s="117"/>
      <x:c r="T134" s="117"/>
      <x:c r="U134" s="117"/>
      <x:c r="V134" s="117"/>
      <x:c r="W134" s="117"/>
      <x:c r="X134" s="117"/>
      <x:c r="Y134" s="117"/>
      <x:c r="Z134" s="117"/>
    </x:row>
    <x:row r="135">
      <x:c r="A135" s="117"/>
      <x:c r="B135" s="117"/>
      <x:c r="C135" s="117"/>
      <x:c r="D135" s="117"/>
      <x:c r="E135" s="117"/>
      <x:c r="F135" s="117"/>
      <x:c r="G135" s="117"/>
      <x:c r="H135" s="117"/>
      <x:c r="I135" s="117"/>
      <x:c r="J135" s="117"/>
      <x:c r="K135" s="117"/>
      <x:c r="L135" s="117"/>
      <x:c r="M135" s="117"/>
      <x:c r="N135" s="117"/>
      <x:c r="O135" s="117"/>
      <x:c r="P135" s="117"/>
      <x:c r="Q135" s="117"/>
      <x:c r="R135" s="117"/>
      <x:c r="S135" s="117"/>
      <x:c r="T135" s="117"/>
      <x:c r="U135" s="117"/>
      <x:c r="V135" s="117"/>
      <x:c r="W135" s="117"/>
      <x:c r="X135" s="117"/>
      <x:c r="Y135" s="117"/>
      <x:c r="Z135" s="117"/>
    </x:row>
    <x:row r="136">
      <x:c r="A136" s="117"/>
      <x:c r="B136" s="117"/>
      <x:c r="C136" s="117"/>
      <x:c r="D136" s="117"/>
      <x:c r="E136" s="117"/>
      <x:c r="F136" s="117"/>
      <x:c r="G136" s="117"/>
      <x:c r="H136" s="117"/>
      <x:c r="I136" s="117"/>
      <x:c r="J136" s="117"/>
      <x:c r="K136" s="117"/>
      <x:c r="L136" s="117"/>
      <x:c r="M136" s="117"/>
      <x:c r="N136" s="117"/>
      <x:c r="O136" s="117"/>
      <x:c r="P136" s="117"/>
      <x:c r="Q136" s="117"/>
      <x:c r="R136" s="117"/>
      <x:c r="S136" s="117"/>
      <x:c r="T136" s="117"/>
      <x:c r="U136" s="117"/>
      <x:c r="V136" s="117"/>
      <x:c r="W136" s="117"/>
      <x:c r="X136" s="117"/>
      <x:c r="Y136" s="117"/>
      <x:c r="Z136" s="117"/>
    </x:row>
    <x:row r="137">
      <x:c r="A137" s="117"/>
      <x:c r="B137" s="117"/>
      <x:c r="C137" s="117"/>
      <x:c r="D137" s="117"/>
      <x:c r="E137" s="117"/>
      <x:c r="F137" s="117"/>
      <x:c r="G137" s="117"/>
      <x:c r="H137" s="117"/>
      <x:c r="I137" s="117"/>
      <x:c r="J137" s="117"/>
      <x:c r="K137" s="117"/>
      <x:c r="L137" s="117"/>
      <x:c r="M137" s="117"/>
      <x:c r="N137" s="117"/>
      <x:c r="O137" s="117"/>
      <x:c r="P137" s="117"/>
      <x:c r="Q137" s="117"/>
      <x:c r="R137" s="117"/>
      <x:c r="S137" s="117"/>
      <x:c r="T137" s="117"/>
      <x:c r="U137" s="117"/>
      <x:c r="V137" s="117"/>
      <x:c r="W137" s="117"/>
      <x:c r="X137" s="117"/>
      <x:c r="Y137" s="117"/>
      <x:c r="Z137" s="117"/>
    </x:row>
    <x:row r="138">
      <x:c r="A138" s="117"/>
      <x:c r="B138" s="117"/>
      <x:c r="C138" s="117"/>
      <x:c r="D138" s="117"/>
      <x:c r="E138" s="117"/>
      <x:c r="F138" s="117"/>
      <x:c r="G138" s="117"/>
      <x:c r="H138" s="117"/>
      <x:c r="I138" s="117"/>
      <x:c r="J138" s="117"/>
      <x:c r="K138" s="117"/>
      <x:c r="L138" s="117"/>
      <x:c r="M138" s="117"/>
      <x:c r="N138" s="117"/>
      <x:c r="O138" s="117"/>
      <x:c r="P138" s="117"/>
      <x:c r="Q138" s="117"/>
      <x:c r="R138" s="117"/>
      <x:c r="S138" s="117"/>
      <x:c r="T138" s="117"/>
      <x:c r="U138" s="117"/>
      <x:c r="V138" s="117"/>
      <x:c r="W138" s="117"/>
      <x:c r="X138" s="117"/>
      <x:c r="Y138" s="117"/>
      <x:c r="Z138" s="117"/>
    </x:row>
    <x:row r="139">
      <x:c r="A139" s="117"/>
      <x:c r="B139" s="117"/>
      <x:c r="C139" s="117"/>
      <x:c r="D139" s="117"/>
      <x:c r="E139" s="117"/>
      <x:c r="F139" s="117"/>
      <x:c r="G139" s="117"/>
      <x:c r="H139" s="117"/>
      <x:c r="I139" s="117"/>
      <x:c r="J139" s="117"/>
      <x:c r="K139" s="117"/>
      <x:c r="L139" s="117"/>
      <x:c r="M139" s="117"/>
      <x:c r="N139" s="117"/>
      <x:c r="O139" s="117"/>
      <x:c r="P139" s="117"/>
      <x:c r="Q139" s="117"/>
      <x:c r="R139" s="117"/>
      <x:c r="S139" s="117"/>
      <x:c r="T139" s="117"/>
      <x:c r="U139" s="117"/>
      <x:c r="V139" s="117"/>
      <x:c r="W139" s="117"/>
      <x:c r="X139" s="117"/>
      <x:c r="Y139" s="117"/>
      <x:c r="Z139" s="117"/>
    </x:row>
    <x:row r="140">
      <x:c r="A140" s="117"/>
      <x:c r="B140" s="117"/>
      <x:c r="C140" s="117"/>
      <x:c r="D140" s="117"/>
      <x:c r="E140" s="117"/>
      <x:c r="F140" s="117"/>
      <x:c r="G140" s="117"/>
      <x:c r="H140" s="117"/>
      <x:c r="I140" s="117"/>
      <x:c r="J140" s="117"/>
      <x:c r="K140" s="117"/>
      <x:c r="L140" s="117"/>
      <x:c r="M140" s="117"/>
      <x:c r="N140" s="117"/>
      <x:c r="O140" s="117"/>
      <x:c r="P140" s="117"/>
      <x:c r="Q140" s="117"/>
      <x:c r="R140" s="117"/>
      <x:c r="S140" s="117"/>
      <x:c r="T140" s="117"/>
      <x:c r="U140" s="117"/>
      <x:c r="V140" s="117"/>
      <x:c r="W140" s="117"/>
      <x:c r="X140" s="117"/>
      <x:c r="Y140" s="117"/>
      <x:c r="Z140" s="117"/>
    </x:row>
    <x:row r="141">
      <x:c r="A141" s="117"/>
      <x:c r="B141" s="117"/>
      <x:c r="C141" s="117"/>
      <x:c r="D141" s="117"/>
      <x:c r="E141" s="117"/>
      <x:c r="F141" s="117"/>
      <x:c r="G141" s="117"/>
      <x:c r="H141" s="117"/>
      <x:c r="I141" s="117"/>
      <x:c r="J141" s="117"/>
      <x:c r="K141" s="117"/>
      <x:c r="L141" s="117"/>
      <x:c r="M141" s="117"/>
      <x:c r="N141" s="117"/>
      <x:c r="O141" s="117"/>
      <x:c r="P141" s="117"/>
      <x:c r="Q141" s="117"/>
      <x:c r="R141" s="117"/>
      <x:c r="S141" s="117"/>
      <x:c r="T141" s="117"/>
      <x:c r="U141" s="117"/>
      <x:c r="V141" s="117"/>
      <x:c r="W141" s="117"/>
      <x:c r="X141" s="117"/>
      <x:c r="Y141" s="117"/>
      <x:c r="Z141" s="117"/>
    </x:row>
    <x:row r="142">
      <x:c r="A142" s="117"/>
      <x:c r="B142" s="117"/>
      <x:c r="C142" s="117"/>
      <x:c r="D142" s="117"/>
      <x:c r="E142" s="117"/>
      <x:c r="F142" s="117"/>
      <x:c r="G142" s="117"/>
      <x:c r="H142" s="117"/>
      <x:c r="I142" s="117"/>
      <x:c r="J142" s="117"/>
      <x:c r="K142" s="117"/>
      <x:c r="L142" s="117"/>
      <x:c r="M142" s="117"/>
      <x:c r="N142" s="117"/>
      <x:c r="O142" s="117"/>
      <x:c r="P142" s="117"/>
      <x:c r="Q142" s="117"/>
      <x:c r="R142" s="117"/>
      <x:c r="S142" s="117"/>
      <x:c r="T142" s="117"/>
      <x:c r="U142" s="117"/>
      <x:c r="V142" s="117"/>
      <x:c r="W142" s="117"/>
      <x:c r="X142" s="117"/>
      <x:c r="Y142" s="117"/>
      <x:c r="Z142" s="117"/>
    </x:row>
    <x:row r="143">
      <x:c r="A143" s="117"/>
      <x:c r="B143" s="117"/>
      <x:c r="C143" s="117"/>
      <x:c r="D143" s="117"/>
      <x:c r="E143" s="117"/>
      <x:c r="F143" s="117"/>
      <x:c r="G143" s="117"/>
      <x:c r="H143" s="117"/>
      <x:c r="I143" s="117"/>
      <x:c r="J143" s="117"/>
      <x:c r="K143" s="117"/>
      <x:c r="L143" s="117"/>
      <x:c r="M143" s="117"/>
      <x:c r="N143" s="117"/>
      <x:c r="O143" s="117"/>
      <x:c r="P143" s="117"/>
      <x:c r="Q143" s="117"/>
      <x:c r="R143" s="117"/>
      <x:c r="S143" s="117"/>
      <x:c r="T143" s="117"/>
      <x:c r="U143" s="117"/>
      <x:c r="V143" s="117"/>
      <x:c r="W143" s="117"/>
      <x:c r="X143" s="117"/>
      <x:c r="Y143" s="117"/>
      <x:c r="Z143" s="117"/>
    </x:row>
    <x:row r="144">
      <x:c r="A144" s="117"/>
      <x:c r="B144" s="117"/>
      <x:c r="C144" s="117"/>
      <x:c r="D144" s="117"/>
      <x:c r="E144" s="117"/>
      <x:c r="F144" s="117"/>
      <x:c r="G144" s="117"/>
      <x:c r="H144" s="117"/>
      <x:c r="I144" s="117"/>
      <x:c r="J144" s="117"/>
      <x:c r="K144" s="117"/>
      <x:c r="L144" s="117"/>
      <x:c r="M144" s="117"/>
      <x:c r="N144" s="117"/>
      <x:c r="O144" s="117"/>
      <x:c r="P144" s="117"/>
      <x:c r="Q144" s="117"/>
      <x:c r="R144" s="117"/>
      <x:c r="S144" s="117"/>
      <x:c r="T144" s="117"/>
      <x:c r="U144" s="117"/>
      <x:c r="V144" s="117"/>
      <x:c r="W144" s="117"/>
      <x:c r="X144" s="117"/>
      <x:c r="Y144" s="117"/>
      <x:c r="Z144" s="117"/>
    </x:row>
    <x:row r="145">
      <x:c r="A145" s="117"/>
      <x:c r="B145" s="117"/>
      <x:c r="C145" s="117"/>
      <x:c r="D145" s="117"/>
      <x:c r="E145" s="117"/>
      <x:c r="F145" s="117"/>
      <x:c r="G145" s="117"/>
      <x:c r="H145" s="117"/>
      <x:c r="I145" s="117"/>
      <x:c r="J145" s="117"/>
      <x:c r="K145" s="117"/>
      <x:c r="L145" s="117"/>
      <x:c r="M145" s="117"/>
      <x:c r="N145" s="117"/>
      <x:c r="O145" s="117"/>
      <x:c r="P145" s="117"/>
      <x:c r="Q145" s="117"/>
      <x:c r="R145" s="117"/>
      <x:c r="S145" s="117"/>
      <x:c r="T145" s="117"/>
      <x:c r="U145" s="117"/>
      <x:c r="V145" s="117"/>
      <x:c r="W145" s="117"/>
      <x:c r="X145" s="117"/>
      <x:c r="Y145" s="117"/>
      <x:c r="Z145" s="117"/>
    </x:row>
    <x:row r="146">
      <x:c r="A146" s="117"/>
      <x:c r="B146" s="117"/>
      <x:c r="C146" s="117"/>
      <x:c r="D146" s="117"/>
      <x:c r="E146" s="117"/>
      <x:c r="F146" s="117"/>
      <x:c r="G146" s="117"/>
      <x:c r="H146" s="117"/>
      <x:c r="I146" s="117"/>
      <x:c r="J146" s="117"/>
      <x:c r="K146" s="117"/>
      <x:c r="L146" s="117"/>
      <x:c r="M146" s="117"/>
      <x:c r="N146" s="117"/>
      <x:c r="O146" s="117"/>
      <x:c r="P146" s="117"/>
      <x:c r="Q146" s="117"/>
      <x:c r="R146" s="117"/>
      <x:c r="S146" s="117"/>
      <x:c r="T146" s="117"/>
      <x:c r="U146" s="117"/>
      <x:c r="V146" s="117"/>
      <x:c r="W146" s="117"/>
      <x:c r="X146" s="117"/>
      <x:c r="Y146" s="117"/>
      <x:c r="Z146" s="117"/>
    </x:row>
    <x:row r="147">
      <x:c r="A147" s="117"/>
      <x:c r="B147" s="117"/>
      <x:c r="C147" s="117"/>
      <x:c r="D147" s="117"/>
      <x:c r="E147" s="117"/>
      <x:c r="F147" s="117"/>
      <x:c r="G147" s="117"/>
      <x:c r="H147" s="117"/>
      <x:c r="I147" s="117"/>
      <x:c r="J147" s="117"/>
      <x:c r="K147" s="117"/>
      <x:c r="L147" s="117"/>
      <x:c r="M147" s="117"/>
      <x:c r="N147" s="117"/>
      <x:c r="O147" s="117"/>
      <x:c r="P147" s="117"/>
      <x:c r="Q147" s="117"/>
      <x:c r="R147" s="117"/>
      <x:c r="S147" s="117"/>
      <x:c r="T147" s="117"/>
      <x:c r="U147" s="117"/>
      <x:c r="V147" s="117"/>
      <x:c r="W147" s="117"/>
      <x:c r="X147" s="117"/>
      <x:c r="Y147" s="117"/>
      <x:c r="Z147" s="117"/>
    </x:row>
    <x:row r="148">
      <x:c r="A148" s="117"/>
      <x:c r="B148" s="117"/>
      <x:c r="C148" s="117"/>
      <x:c r="D148" s="117"/>
      <x:c r="E148" s="117"/>
      <x:c r="F148" s="117"/>
      <x:c r="G148" s="117"/>
      <x:c r="H148" s="117"/>
      <x:c r="I148" s="117"/>
      <x:c r="J148" s="117"/>
      <x:c r="K148" s="117"/>
      <x:c r="L148" s="117"/>
      <x:c r="M148" s="117"/>
      <x:c r="N148" s="117"/>
      <x:c r="O148" s="117"/>
      <x:c r="P148" s="117"/>
      <x:c r="Q148" s="117"/>
      <x:c r="R148" s="117"/>
      <x:c r="S148" s="117"/>
      <x:c r="T148" s="117"/>
      <x:c r="U148" s="117"/>
      <x:c r="V148" s="117"/>
      <x:c r="W148" s="117"/>
      <x:c r="X148" s="117"/>
      <x:c r="Y148" s="117"/>
      <x:c r="Z148" s="117"/>
    </x:row>
    <x:row r="149">
      <x:c r="A149" s="117"/>
      <x:c r="B149" s="117"/>
      <x:c r="C149" s="117"/>
      <x:c r="D149" s="117"/>
      <x:c r="E149" s="117"/>
      <x:c r="F149" s="117"/>
      <x:c r="G149" s="117"/>
      <x:c r="H149" s="117"/>
      <x:c r="I149" s="117"/>
      <x:c r="J149" s="117"/>
      <x:c r="K149" s="117"/>
      <x:c r="L149" s="117"/>
      <x:c r="M149" s="117"/>
      <x:c r="N149" s="117"/>
      <x:c r="O149" s="117"/>
      <x:c r="P149" s="117"/>
      <x:c r="Q149" s="117"/>
      <x:c r="R149" s="117"/>
      <x:c r="S149" s="117"/>
      <x:c r="T149" s="117"/>
      <x:c r="U149" s="117"/>
      <x:c r="V149" s="117"/>
      <x:c r="W149" s="117"/>
      <x:c r="X149" s="117"/>
      <x:c r="Y149" s="117"/>
      <x:c r="Z149" s="117"/>
    </x:row>
    <x:row r="150">
      <x:c r="A150" s="117"/>
      <x:c r="B150" s="117"/>
      <x:c r="C150" s="117"/>
      <x:c r="D150" s="117"/>
      <x:c r="E150" s="117"/>
      <x:c r="F150" s="117"/>
      <x:c r="G150" s="117"/>
      <x:c r="H150" s="117"/>
      <x:c r="I150" s="117"/>
      <x:c r="J150" s="117"/>
      <x:c r="K150" s="117"/>
      <x:c r="L150" s="117"/>
      <x:c r="M150" s="117"/>
      <x:c r="N150" s="117"/>
      <x:c r="O150" s="117"/>
      <x:c r="P150" s="117"/>
      <x:c r="Q150" s="117"/>
      <x:c r="R150" s="117"/>
      <x:c r="S150" s="117"/>
      <x:c r="T150" s="117"/>
      <x:c r="U150" s="117"/>
      <x:c r="V150" s="117"/>
      <x:c r="W150" s="117"/>
      <x:c r="X150" s="117"/>
      <x:c r="Y150" s="117"/>
      <x:c r="Z150" s="117"/>
    </x:row>
    <x:row r="151">
      <x:c r="A151" s="117"/>
      <x:c r="B151" s="117"/>
      <x:c r="C151" s="117"/>
      <x:c r="D151" s="117"/>
      <x:c r="E151" s="117"/>
      <x:c r="F151" s="117"/>
      <x:c r="G151" s="117"/>
      <x:c r="H151" s="117"/>
      <x:c r="I151" s="117"/>
      <x:c r="J151" s="117"/>
      <x:c r="K151" s="117"/>
      <x:c r="L151" s="117"/>
      <x:c r="M151" s="117"/>
      <x:c r="N151" s="117"/>
      <x:c r="O151" s="117"/>
      <x:c r="P151" s="117"/>
      <x:c r="Q151" s="117"/>
      <x:c r="R151" s="117"/>
      <x:c r="S151" s="117"/>
      <x:c r="T151" s="117"/>
      <x:c r="U151" s="117"/>
      <x:c r="V151" s="117"/>
      <x:c r="W151" s="117"/>
      <x:c r="X151" s="117"/>
      <x:c r="Y151" s="117"/>
      <x:c r="Z151" s="117"/>
    </x:row>
    <x:row r="152">
      <x:c r="A152" s="117"/>
      <x:c r="B152" s="117"/>
      <x:c r="C152" s="117"/>
      <x:c r="D152" s="117"/>
      <x:c r="E152" s="117"/>
      <x:c r="F152" s="117"/>
      <x:c r="G152" s="117"/>
      <x:c r="H152" s="117"/>
      <x:c r="I152" s="117"/>
      <x:c r="J152" s="117"/>
      <x:c r="K152" s="117"/>
      <x:c r="L152" s="117"/>
      <x:c r="M152" s="117"/>
      <x:c r="N152" s="117"/>
      <x:c r="O152" s="117"/>
      <x:c r="P152" s="117"/>
      <x:c r="Q152" s="117"/>
      <x:c r="R152" s="117"/>
      <x:c r="S152" s="117"/>
      <x:c r="T152" s="117"/>
      <x:c r="U152" s="117"/>
      <x:c r="V152" s="117"/>
      <x:c r="W152" s="117"/>
      <x:c r="X152" s="117"/>
      <x:c r="Y152" s="117"/>
      <x:c r="Z152" s="117"/>
    </x:row>
    <x:row r="153">
      <x:c r="A153" s="117"/>
      <x:c r="B153" s="117"/>
      <x:c r="C153" s="117"/>
      <x:c r="D153" s="117"/>
      <x:c r="E153" s="117"/>
      <x:c r="F153" s="117"/>
      <x:c r="G153" s="117"/>
      <x:c r="H153" s="117"/>
      <x:c r="I153" s="117"/>
      <x:c r="J153" s="117"/>
      <x:c r="K153" s="117"/>
      <x:c r="L153" s="117"/>
      <x:c r="M153" s="117"/>
      <x:c r="N153" s="117"/>
      <x:c r="O153" s="117"/>
      <x:c r="P153" s="117"/>
      <x:c r="Q153" s="117"/>
      <x:c r="R153" s="117"/>
      <x:c r="S153" s="117"/>
      <x:c r="T153" s="117"/>
      <x:c r="U153" s="117"/>
      <x:c r="V153" s="117"/>
      <x:c r="W153" s="117"/>
      <x:c r="X153" s="117"/>
      <x:c r="Y153" s="117"/>
      <x:c r="Z153" s="117"/>
    </x:row>
    <x:row r="154">
      <x:c r="A154" s="117"/>
      <x:c r="B154" s="117"/>
      <x:c r="C154" s="117"/>
      <x:c r="D154" s="117"/>
      <x:c r="E154" s="117"/>
      <x:c r="F154" s="117"/>
      <x:c r="G154" s="117"/>
      <x:c r="H154" s="117"/>
      <x:c r="I154" s="117"/>
      <x:c r="J154" s="117"/>
      <x:c r="K154" s="117"/>
      <x:c r="L154" s="117"/>
      <x:c r="M154" s="117"/>
      <x:c r="N154" s="117"/>
      <x:c r="O154" s="117"/>
      <x:c r="P154" s="117"/>
      <x:c r="Q154" s="117"/>
      <x:c r="R154" s="117"/>
      <x:c r="S154" s="117"/>
      <x:c r="T154" s="117"/>
      <x:c r="U154" s="117"/>
      <x:c r="V154" s="117"/>
      <x:c r="W154" s="117"/>
      <x:c r="X154" s="117"/>
      <x:c r="Y154" s="117"/>
      <x:c r="Z154" s="117"/>
    </x:row>
    <x:row r="155">
      <x:c r="A155" s="117"/>
      <x:c r="B155" s="117"/>
      <x:c r="C155" s="117"/>
      <x:c r="D155" s="117"/>
      <x:c r="E155" s="117"/>
      <x:c r="F155" s="117"/>
      <x:c r="G155" s="117"/>
      <x:c r="H155" s="117"/>
      <x:c r="I155" s="117"/>
      <x:c r="J155" s="117"/>
      <x:c r="K155" s="117"/>
      <x:c r="L155" s="117"/>
      <x:c r="M155" s="117"/>
      <x:c r="N155" s="117"/>
      <x:c r="O155" s="117"/>
      <x:c r="P155" s="117"/>
      <x:c r="Q155" s="117"/>
      <x:c r="R155" s="117"/>
      <x:c r="S155" s="117"/>
      <x:c r="T155" s="117"/>
      <x:c r="U155" s="117"/>
      <x:c r="V155" s="117"/>
      <x:c r="W155" s="117"/>
      <x:c r="X155" s="117"/>
      <x:c r="Y155" s="117"/>
      <x:c r="Z155" s="117"/>
    </x:row>
    <x:row r="156">
      <x:c r="A156" s="117"/>
      <x:c r="B156" s="117"/>
      <x:c r="C156" s="117"/>
      <x:c r="D156" s="117"/>
      <x:c r="E156" s="117"/>
      <x:c r="F156" s="117"/>
      <x:c r="G156" s="117"/>
      <x:c r="H156" s="117"/>
      <x:c r="I156" s="117"/>
      <x:c r="J156" s="117"/>
      <x:c r="K156" s="117"/>
      <x:c r="L156" s="117"/>
      <x:c r="M156" s="117"/>
      <x:c r="N156" s="117"/>
      <x:c r="O156" s="117"/>
      <x:c r="P156" s="117"/>
      <x:c r="Q156" s="117"/>
      <x:c r="R156" s="117"/>
      <x:c r="S156" s="117"/>
      <x:c r="T156" s="117"/>
      <x:c r="U156" s="117"/>
      <x:c r="V156" s="117"/>
      <x:c r="W156" s="117"/>
      <x:c r="X156" s="117"/>
      <x:c r="Y156" s="117"/>
      <x:c r="Z156" s="117"/>
    </x:row>
    <x:row r="157">
      <x:c r="A157" s="117"/>
      <x:c r="B157" s="117"/>
      <x:c r="C157" s="117"/>
      <x:c r="D157" s="117"/>
      <x:c r="E157" s="117"/>
      <x:c r="F157" s="117"/>
      <x:c r="G157" s="117"/>
      <x:c r="H157" s="117"/>
      <x:c r="I157" s="117"/>
      <x:c r="J157" s="117"/>
      <x:c r="K157" s="117"/>
      <x:c r="L157" s="117"/>
      <x:c r="M157" s="117"/>
      <x:c r="N157" s="117"/>
      <x:c r="O157" s="117"/>
      <x:c r="P157" s="117"/>
      <x:c r="Q157" s="117"/>
      <x:c r="R157" s="117"/>
      <x:c r="S157" s="117"/>
      <x:c r="T157" s="117"/>
      <x:c r="U157" s="117"/>
      <x:c r="V157" s="117"/>
      <x:c r="W157" s="117"/>
      <x:c r="X157" s="117"/>
      <x:c r="Y157" s="117"/>
      <x:c r="Z157" s="117"/>
    </x:row>
    <x:row r="158">
      <x:c r="A158" s="117"/>
      <x:c r="B158" s="117"/>
      <x:c r="C158" s="117"/>
      <x:c r="D158" s="117"/>
      <x:c r="E158" s="117"/>
      <x:c r="F158" s="117"/>
      <x:c r="G158" s="117"/>
      <x:c r="H158" s="117"/>
      <x:c r="I158" s="117"/>
      <x:c r="J158" s="117"/>
      <x:c r="K158" s="117"/>
      <x:c r="L158" s="117"/>
      <x:c r="M158" s="117"/>
      <x:c r="N158" s="117"/>
      <x:c r="O158" s="117"/>
      <x:c r="P158" s="117"/>
      <x:c r="Q158" s="117"/>
      <x:c r="R158" s="117"/>
      <x:c r="S158" s="117"/>
      <x:c r="T158" s="117"/>
      <x:c r="U158" s="117"/>
      <x:c r="V158" s="117"/>
      <x:c r="W158" s="117"/>
      <x:c r="X158" s="117"/>
      <x:c r="Y158" s="117"/>
      <x:c r="Z158" s="117"/>
    </x:row>
    <x:row r="159">
      <x:c r="A159" s="117"/>
      <x:c r="B159" s="117"/>
      <x:c r="C159" s="117"/>
      <x:c r="D159" s="117"/>
      <x:c r="E159" s="117"/>
      <x:c r="F159" s="117"/>
      <x:c r="G159" s="117"/>
      <x:c r="H159" s="117"/>
      <x:c r="I159" s="117"/>
      <x:c r="J159" s="117"/>
      <x:c r="K159" s="117"/>
      <x:c r="L159" s="117"/>
      <x:c r="M159" s="117"/>
      <x:c r="N159" s="117"/>
      <x:c r="O159" s="117"/>
      <x:c r="P159" s="117"/>
      <x:c r="Q159" s="117"/>
      <x:c r="R159" s="117"/>
      <x:c r="S159" s="117"/>
      <x:c r="T159" s="117"/>
      <x:c r="U159" s="117"/>
      <x:c r="V159" s="117"/>
      <x:c r="W159" s="117"/>
      <x:c r="X159" s="117"/>
      <x:c r="Y159" s="117"/>
      <x:c r="Z159" s="117"/>
    </x:row>
    <x:row r="160">
      <x:c r="A160" s="117"/>
      <x:c r="B160" s="117"/>
      <x:c r="C160" s="117"/>
      <x:c r="D160" s="117"/>
      <x:c r="E160" s="117"/>
      <x:c r="F160" s="117"/>
      <x:c r="G160" s="117"/>
      <x:c r="H160" s="117"/>
      <x:c r="I160" s="117"/>
      <x:c r="J160" s="117"/>
      <x:c r="K160" s="117"/>
      <x:c r="L160" s="117"/>
      <x:c r="M160" s="117"/>
      <x:c r="N160" s="117"/>
      <x:c r="O160" s="117"/>
      <x:c r="P160" s="117"/>
      <x:c r="Q160" s="117"/>
      <x:c r="R160" s="117"/>
      <x:c r="S160" s="117"/>
      <x:c r="T160" s="117"/>
      <x:c r="U160" s="117"/>
      <x:c r="V160" s="117"/>
      <x:c r="W160" s="117"/>
      <x:c r="X160" s="117"/>
      <x:c r="Y160" s="117"/>
      <x:c r="Z160" s="117"/>
    </x:row>
    <x:row r="161">
      <x:c r="A161" s="117"/>
      <x:c r="B161" s="117"/>
      <x:c r="C161" s="117"/>
      <x:c r="D161" s="117"/>
      <x:c r="E161" s="117"/>
      <x:c r="F161" s="117"/>
      <x:c r="G161" s="117"/>
      <x:c r="H161" s="117"/>
      <x:c r="I161" s="117"/>
      <x:c r="J161" s="117"/>
      <x:c r="K161" s="117"/>
      <x:c r="L161" s="117"/>
      <x:c r="M161" s="117"/>
      <x:c r="N161" s="117"/>
      <x:c r="O161" s="117"/>
      <x:c r="P161" s="117"/>
      <x:c r="Q161" s="117"/>
      <x:c r="R161" s="117"/>
      <x:c r="S161" s="117"/>
      <x:c r="T161" s="117"/>
      <x:c r="U161" s="117"/>
      <x:c r="V161" s="117"/>
      <x:c r="W161" s="117"/>
      <x:c r="X161" s="117"/>
      <x:c r="Y161" s="117"/>
      <x:c r="Z161" s="117"/>
    </x:row>
    <x:row r="162">
      <x:c r="A162" s="117"/>
      <x:c r="B162" s="117"/>
      <x:c r="C162" s="117"/>
      <x:c r="D162" s="117"/>
      <x:c r="E162" s="117"/>
      <x:c r="F162" s="117"/>
      <x:c r="G162" s="117"/>
      <x:c r="H162" s="117"/>
      <x:c r="I162" s="117"/>
      <x:c r="J162" s="117"/>
      <x:c r="K162" s="117"/>
      <x:c r="L162" s="117"/>
      <x:c r="M162" s="117"/>
      <x:c r="N162" s="117"/>
      <x:c r="O162" s="117"/>
      <x:c r="P162" s="117"/>
      <x:c r="Q162" s="117"/>
      <x:c r="R162" s="117"/>
      <x:c r="S162" s="117"/>
      <x:c r="T162" s="117"/>
      <x:c r="U162" s="117"/>
      <x:c r="V162" s="117"/>
      <x:c r="W162" s="117"/>
      <x:c r="X162" s="117"/>
      <x:c r="Y162" s="117"/>
      <x:c r="Z162" s="117"/>
    </x:row>
    <x:row r="163">
      <x:c r="A163" s="117"/>
      <x:c r="B163" s="117"/>
      <x:c r="C163" s="117"/>
      <x:c r="D163" s="117"/>
      <x:c r="E163" s="117"/>
      <x:c r="F163" s="117"/>
      <x:c r="G163" s="117"/>
      <x:c r="H163" s="117"/>
      <x:c r="I163" s="117"/>
      <x:c r="J163" s="117"/>
      <x:c r="K163" s="117"/>
      <x:c r="L163" s="117"/>
      <x:c r="M163" s="117"/>
      <x:c r="N163" s="117"/>
      <x:c r="O163" s="117"/>
      <x:c r="P163" s="117"/>
      <x:c r="Q163" s="117"/>
      <x:c r="R163" s="117"/>
      <x:c r="S163" s="117"/>
      <x:c r="T163" s="117"/>
      <x:c r="U163" s="117"/>
      <x:c r="V163" s="117"/>
      <x:c r="W163" s="117"/>
      <x:c r="X163" s="117"/>
      <x:c r="Y163" s="117"/>
      <x:c r="Z163" s="117"/>
    </x:row>
    <x:row r="164">
      <x:c r="A164" s="117"/>
      <x:c r="B164" s="117"/>
      <x:c r="C164" s="117"/>
      <x:c r="D164" s="117"/>
      <x:c r="E164" s="117"/>
      <x:c r="F164" s="117"/>
      <x:c r="G164" s="117"/>
      <x:c r="H164" s="117"/>
      <x:c r="I164" s="117"/>
      <x:c r="J164" s="117"/>
      <x:c r="K164" s="117"/>
      <x:c r="L164" s="117"/>
      <x:c r="M164" s="117"/>
      <x:c r="N164" s="117"/>
      <x:c r="O164" s="117"/>
      <x:c r="P164" s="117"/>
      <x:c r="Q164" s="117"/>
      <x:c r="R164" s="117"/>
      <x:c r="S164" s="117"/>
      <x:c r="T164" s="117"/>
      <x:c r="U164" s="117"/>
      <x:c r="V164" s="117"/>
      <x:c r="W164" s="117"/>
      <x:c r="X164" s="117"/>
      <x:c r="Y164" s="117"/>
      <x:c r="Z164" s="117"/>
    </x:row>
    <x:row r="165">
      <x:c r="A165" s="117"/>
      <x:c r="B165" s="117"/>
      <x:c r="C165" s="117"/>
      <x:c r="D165" s="117"/>
      <x:c r="E165" s="117"/>
      <x:c r="F165" s="117"/>
      <x:c r="G165" s="117"/>
      <x:c r="H165" s="117"/>
      <x:c r="I165" s="117"/>
      <x:c r="J165" s="117"/>
      <x:c r="K165" s="117"/>
      <x:c r="L165" s="117"/>
      <x:c r="M165" s="117"/>
      <x:c r="N165" s="117"/>
      <x:c r="O165" s="117"/>
      <x:c r="P165" s="117"/>
      <x:c r="Q165" s="117"/>
      <x:c r="R165" s="117"/>
      <x:c r="S165" s="117"/>
      <x:c r="T165" s="117"/>
      <x:c r="U165" s="117"/>
      <x:c r="V165" s="117"/>
      <x:c r="W165" s="117"/>
      <x:c r="X165" s="117"/>
      <x:c r="Y165" s="117"/>
      <x:c r="Z165" s="117"/>
    </x:row>
    <x:row r="166">
      <x:c r="A166" s="117"/>
      <x:c r="B166" s="117"/>
      <x:c r="C166" s="117"/>
      <x:c r="D166" s="117"/>
      <x:c r="E166" s="117"/>
      <x:c r="F166" s="117"/>
      <x:c r="G166" s="117"/>
      <x:c r="H166" s="117"/>
      <x:c r="I166" s="117"/>
      <x:c r="J166" s="117"/>
      <x:c r="K166" s="117"/>
      <x:c r="L166" s="117"/>
      <x:c r="M166" s="117"/>
      <x:c r="N166" s="117"/>
      <x:c r="O166" s="117"/>
      <x:c r="P166" s="117"/>
      <x:c r="Q166" s="117"/>
      <x:c r="R166" s="117"/>
      <x:c r="S166" s="117"/>
      <x:c r="T166" s="117"/>
      <x:c r="U166" s="117"/>
      <x:c r="V166" s="117"/>
      <x:c r="W166" s="117"/>
      <x:c r="X166" s="117"/>
      <x:c r="Y166" s="117"/>
      <x:c r="Z166" s="117"/>
    </x:row>
    <x:row r="167">
      <x:c r="A167" s="117"/>
      <x:c r="B167" s="117"/>
      <x:c r="C167" s="117"/>
      <x:c r="D167" s="117"/>
      <x:c r="E167" s="117"/>
      <x:c r="F167" s="117"/>
      <x:c r="G167" s="117"/>
      <x:c r="H167" s="117"/>
      <x:c r="I167" s="117"/>
      <x:c r="J167" s="117"/>
      <x:c r="K167" s="117"/>
      <x:c r="L167" s="117"/>
      <x:c r="M167" s="117"/>
      <x:c r="N167" s="117"/>
      <x:c r="O167" s="117"/>
      <x:c r="P167" s="117"/>
      <x:c r="Q167" s="117"/>
      <x:c r="R167" s="117"/>
      <x:c r="S167" s="117"/>
      <x:c r="T167" s="117"/>
      <x:c r="U167" s="117"/>
      <x:c r="V167" s="117"/>
      <x:c r="W167" s="117"/>
      <x:c r="X167" s="117"/>
      <x:c r="Y167" s="117"/>
      <x:c r="Z167" s="117"/>
    </x:row>
    <x:row r="168">
      <x:c r="A168" s="117"/>
      <x:c r="B168" s="117"/>
      <x:c r="C168" s="117"/>
      <x:c r="D168" s="117"/>
      <x:c r="E168" s="117"/>
      <x:c r="F168" s="117"/>
      <x:c r="G168" s="117"/>
      <x:c r="H168" s="117"/>
      <x:c r="I168" s="117"/>
      <x:c r="J168" s="117"/>
      <x:c r="K168" s="117"/>
      <x:c r="L168" s="117"/>
      <x:c r="M168" s="117"/>
      <x:c r="N168" s="117"/>
      <x:c r="O168" s="117"/>
      <x:c r="P168" s="117"/>
      <x:c r="Q168" s="117"/>
      <x:c r="R168" s="117"/>
      <x:c r="S168" s="117"/>
      <x:c r="T168" s="117"/>
      <x:c r="U168" s="117"/>
      <x:c r="V168" s="117"/>
      <x:c r="W168" s="117"/>
      <x:c r="X168" s="117"/>
      <x:c r="Y168" s="117"/>
      <x:c r="Z168" s="117"/>
    </x:row>
    <x:row r="169">
      <x:c r="A169" s="117"/>
      <x:c r="B169" s="117"/>
      <x:c r="C169" s="117"/>
      <x:c r="D169" s="117"/>
      <x:c r="E169" s="117"/>
      <x:c r="F169" s="117"/>
      <x:c r="G169" s="117"/>
      <x:c r="H169" s="117"/>
      <x:c r="I169" s="117"/>
      <x:c r="J169" s="117"/>
      <x:c r="K169" s="117"/>
      <x:c r="L169" s="117"/>
      <x:c r="M169" s="117"/>
      <x:c r="N169" s="117"/>
      <x:c r="O169" s="117"/>
      <x:c r="P169" s="117"/>
      <x:c r="Q169" s="117"/>
      <x:c r="R169" s="117"/>
      <x:c r="S169" s="117"/>
      <x:c r="T169" s="117"/>
      <x:c r="U169" s="117"/>
      <x:c r="V169" s="117"/>
      <x:c r="W169" s="117"/>
      <x:c r="X169" s="117"/>
      <x:c r="Y169" s="117"/>
      <x:c r="Z169" s="117"/>
    </x:row>
    <x:row r="170">
      <x:c r="A170" s="117"/>
      <x:c r="B170" s="117"/>
      <x:c r="C170" s="117"/>
      <x:c r="D170" s="117"/>
      <x:c r="E170" s="117"/>
      <x:c r="F170" s="117"/>
      <x:c r="G170" s="117"/>
      <x:c r="H170" s="117"/>
      <x:c r="I170" s="117"/>
      <x:c r="J170" s="117"/>
      <x:c r="K170" s="117"/>
      <x:c r="L170" s="117"/>
      <x:c r="M170" s="117"/>
      <x:c r="N170" s="117"/>
      <x:c r="O170" s="117"/>
      <x:c r="P170" s="117"/>
      <x:c r="Q170" s="117"/>
      <x:c r="R170" s="117"/>
      <x:c r="S170" s="117"/>
      <x:c r="T170" s="117"/>
      <x:c r="U170" s="117"/>
      <x:c r="V170" s="117"/>
      <x:c r="W170" s="117"/>
      <x:c r="X170" s="117"/>
      <x:c r="Y170" s="117"/>
      <x:c r="Z170" s="117"/>
    </x:row>
    <x:row r="171">
      <x:c r="A171" s="117"/>
      <x:c r="B171" s="117"/>
      <x:c r="C171" s="117"/>
      <x:c r="D171" s="117"/>
      <x:c r="E171" s="117"/>
      <x:c r="F171" s="117"/>
      <x:c r="G171" s="117"/>
      <x:c r="H171" s="117"/>
      <x:c r="I171" s="117"/>
      <x:c r="J171" s="117"/>
      <x:c r="K171" s="117"/>
      <x:c r="L171" s="117"/>
      <x:c r="M171" s="117"/>
      <x:c r="N171" s="117"/>
      <x:c r="O171" s="117"/>
      <x:c r="P171" s="117"/>
      <x:c r="Q171" s="117"/>
      <x:c r="R171" s="117"/>
      <x:c r="S171" s="117"/>
      <x:c r="T171" s="117"/>
      <x:c r="U171" s="117"/>
      <x:c r="V171" s="117"/>
      <x:c r="W171" s="117"/>
      <x:c r="X171" s="117"/>
      <x:c r="Y171" s="117"/>
      <x:c r="Z171" s="117"/>
    </x:row>
    <x:row r="172">
      <x:c r="A172" s="117"/>
      <x:c r="B172" s="117"/>
      <x:c r="C172" s="117"/>
      <x:c r="D172" s="117"/>
      <x:c r="E172" s="117"/>
      <x:c r="F172" s="117"/>
      <x:c r="G172" s="117"/>
      <x:c r="H172" s="117"/>
      <x:c r="I172" s="117"/>
      <x:c r="J172" s="117"/>
      <x:c r="K172" s="117"/>
      <x:c r="L172" s="117"/>
      <x:c r="M172" s="117"/>
      <x:c r="N172" s="117"/>
      <x:c r="O172" s="117"/>
      <x:c r="P172" s="117"/>
      <x:c r="Q172" s="117"/>
      <x:c r="R172" s="117"/>
      <x:c r="S172" s="117"/>
      <x:c r="T172" s="117"/>
      <x:c r="U172" s="117"/>
      <x:c r="V172" s="117"/>
      <x:c r="W172" s="117"/>
      <x:c r="X172" s="117"/>
      <x:c r="Y172" s="117"/>
      <x:c r="Z172" s="117"/>
    </x:row>
    <x:row r="173">
      <x:c r="A173" s="117"/>
      <x:c r="B173" s="117"/>
      <x:c r="C173" s="117"/>
      <x:c r="D173" s="117"/>
      <x:c r="E173" s="117"/>
      <x:c r="F173" s="117"/>
      <x:c r="G173" s="117"/>
      <x:c r="H173" s="117"/>
      <x:c r="I173" s="117"/>
      <x:c r="J173" s="117"/>
      <x:c r="K173" s="117"/>
      <x:c r="L173" s="117"/>
      <x:c r="M173" s="117"/>
      <x:c r="N173" s="117"/>
      <x:c r="O173" s="117"/>
      <x:c r="P173" s="117"/>
      <x:c r="Q173" s="117"/>
      <x:c r="R173" s="117"/>
      <x:c r="S173" s="117"/>
      <x:c r="T173" s="117"/>
      <x:c r="U173" s="117"/>
      <x:c r="V173" s="117"/>
      <x:c r="W173" s="117"/>
      <x:c r="X173" s="117"/>
      <x:c r="Y173" s="117"/>
      <x:c r="Z173" s="117"/>
    </x:row>
    <x:row r="174">
      <x:c r="A174" s="117"/>
      <x:c r="B174" s="117"/>
      <x:c r="C174" s="117"/>
      <x:c r="D174" s="117"/>
      <x:c r="E174" s="117"/>
      <x:c r="F174" s="117"/>
      <x:c r="G174" s="117"/>
      <x:c r="H174" s="117"/>
      <x:c r="I174" s="117"/>
      <x:c r="J174" s="117"/>
      <x:c r="K174" s="117"/>
      <x:c r="L174" s="117"/>
      <x:c r="M174" s="117"/>
      <x:c r="N174" s="117"/>
      <x:c r="O174" s="117"/>
      <x:c r="P174" s="117"/>
      <x:c r="Q174" s="117"/>
      <x:c r="R174" s="117"/>
      <x:c r="S174" s="117"/>
      <x:c r="T174" s="117"/>
      <x:c r="U174" s="117"/>
      <x:c r="V174" s="117"/>
      <x:c r="W174" s="117"/>
      <x:c r="X174" s="117"/>
      <x:c r="Y174" s="117"/>
      <x:c r="Z174" s="117"/>
    </x:row>
    <x:row r="175">
      <x:c r="A175" s="117"/>
      <x:c r="B175" s="117"/>
      <x:c r="C175" s="117"/>
      <x:c r="D175" s="117"/>
      <x:c r="E175" s="117"/>
      <x:c r="F175" s="117"/>
      <x:c r="G175" s="117"/>
      <x:c r="H175" s="117"/>
      <x:c r="I175" s="117"/>
      <x:c r="J175" s="117"/>
      <x:c r="K175" s="117"/>
      <x:c r="L175" s="117"/>
      <x:c r="M175" s="117"/>
      <x:c r="N175" s="117"/>
      <x:c r="O175" s="117"/>
      <x:c r="P175" s="117"/>
      <x:c r="Q175" s="117"/>
      <x:c r="R175" s="117"/>
      <x:c r="S175" s="117"/>
      <x:c r="T175" s="117"/>
      <x:c r="U175" s="117"/>
      <x:c r="V175" s="117"/>
      <x:c r="W175" s="117"/>
      <x:c r="X175" s="117"/>
      <x:c r="Y175" s="117"/>
      <x:c r="Z175" s="117"/>
    </x:row>
    <x:row r="176">
      <x:c r="A176" s="117"/>
      <x:c r="B176" s="117"/>
      <x:c r="C176" s="117"/>
      <x:c r="D176" s="117"/>
      <x:c r="E176" s="117"/>
      <x:c r="F176" s="117"/>
      <x:c r="G176" s="117"/>
      <x:c r="H176" s="117"/>
      <x:c r="I176" s="117"/>
      <x:c r="J176" s="117"/>
      <x:c r="K176" s="117"/>
      <x:c r="L176" s="117"/>
      <x:c r="M176" s="117"/>
      <x:c r="N176" s="117"/>
      <x:c r="O176" s="117"/>
      <x:c r="P176" s="117"/>
      <x:c r="Q176" s="117"/>
      <x:c r="R176" s="117"/>
      <x:c r="S176" s="117"/>
      <x:c r="T176" s="117"/>
      <x:c r="U176" s="117"/>
      <x:c r="V176" s="117"/>
      <x:c r="W176" s="117"/>
      <x:c r="X176" s="117"/>
      <x:c r="Y176" s="117"/>
      <x:c r="Z176" s="117"/>
    </x:row>
    <x:row r="177">
      <x:c r="A177" s="117"/>
      <x:c r="B177" s="117"/>
      <x:c r="C177" s="117"/>
      <x:c r="D177" s="117"/>
      <x:c r="E177" s="117"/>
      <x:c r="F177" s="117"/>
      <x:c r="G177" s="117"/>
      <x:c r="H177" s="117"/>
      <x:c r="I177" s="117"/>
      <x:c r="J177" s="117"/>
      <x:c r="K177" s="117"/>
      <x:c r="L177" s="117"/>
      <x:c r="M177" s="117"/>
      <x:c r="N177" s="117"/>
      <x:c r="O177" s="117"/>
      <x:c r="P177" s="117"/>
      <x:c r="Q177" s="117"/>
      <x:c r="R177" s="117"/>
      <x:c r="S177" s="117"/>
      <x:c r="T177" s="117"/>
      <x:c r="U177" s="117"/>
      <x:c r="V177" s="117"/>
      <x:c r="W177" s="117"/>
      <x:c r="X177" s="117"/>
      <x:c r="Y177" s="117"/>
      <x:c r="Z177" s="117"/>
    </x:row>
    <x:row r="178">
      <x:c r="A178" s="117"/>
      <x:c r="B178" s="117"/>
      <x:c r="C178" s="117"/>
      <x:c r="D178" s="117"/>
      <x:c r="E178" s="117"/>
      <x:c r="F178" s="117"/>
      <x:c r="G178" s="117"/>
      <x:c r="H178" s="117"/>
      <x:c r="I178" s="117"/>
      <x:c r="J178" s="117"/>
      <x:c r="K178" s="117"/>
      <x:c r="L178" s="117"/>
      <x:c r="M178" s="117"/>
      <x:c r="N178" s="117"/>
      <x:c r="O178" s="117"/>
      <x:c r="P178" s="117"/>
      <x:c r="Q178" s="117"/>
      <x:c r="R178" s="117"/>
      <x:c r="S178" s="117"/>
      <x:c r="T178" s="117"/>
      <x:c r="U178" s="117"/>
      <x:c r="V178" s="117"/>
      <x:c r="W178" s="117"/>
      <x:c r="X178" s="117"/>
      <x:c r="Y178" s="117"/>
      <x:c r="Z178" s="117"/>
    </x:row>
    <x:row r="179">
      <x:c r="A179" s="117"/>
      <x:c r="B179" s="117"/>
      <x:c r="C179" s="117"/>
      <x:c r="D179" s="117"/>
      <x:c r="E179" s="117"/>
      <x:c r="F179" s="117"/>
      <x:c r="G179" s="117"/>
      <x:c r="H179" s="117"/>
      <x:c r="I179" s="117"/>
      <x:c r="J179" s="117"/>
      <x:c r="K179" s="117"/>
      <x:c r="L179" s="117"/>
      <x:c r="M179" s="117"/>
      <x:c r="N179" s="117"/>
      <x:c r="O179" s="117"/>
      <x:c r="P179" s="117"/>
      <x:c r="Q179" s="117"/>
      <x:c r="R179" s="117"/>
      <x:c r="S179" s="117"/>
      <x:c r="T179" s="117"/>
      <x:c r="U179" s="117"/>
      <x:c r="V179" s="117"/>
      <x:c r="W179" s="117"/>
      <x:c r="X179" s="117"/>
      <x:c r="Y179" s="117"/>
      <x:c r="Z179" s="117"/>
    </x:row>
    <x:row r="180">
      <x:c r="A180" s="117"/>
      <x:c r="B180" s="117"/>
      <x:c r="C180" s="117"/>
      <x:c r="D180" s="117"/>
      <x:c r="E180" s="117"/>
      <x:c r="F180" s="117"/>
      <x:c r="G180" s="117"/>
      <x:c r="H180" s="117"/>
      <x:c r="I180" s="117"/>
      <x:c r="J180" s="117"/>
      <x:c r="K180" s="117"/>
      <x:c r="L180" s="117"/>
      <x:c r="M180" s="117"/>
      <x:c r="N180" s="117"/>
      <x:c r="O180" s="117"/>
      <x:c r="P180" s="117"/>
      <x:c r="Q180" s="117"/>
      <x:c r="R180" s="117"/>
      <x:c r="S180" s="117"/>
      <x:c r="T180" s="117"/>
      <x:c r="U180" s="117"/>
      <x:c r="V180" s="117"/>
      <x:c r="W180" s="117"/>
      <x:c r="X180" s="117"/>
      <x:c r="Y180" s="117"/>
      <x:c r="Z180" s="117"/>
    </x:row>
    <x:row r="181">
      <x:c r="A181" s="117"/>
      <x:c r="B181" s="117"/>
      <x:c r="C181" s="117"/>
      <x:c r="D181" s="117"/>
      <x:c r="E181" s="117"/>
      <x:c r="F181" s="117"/>
      <x:c r="G181" s="117"/>
      <x:c r="H181" s="117"/>
      <x:c r="I181" s="117"/>
      <x:c r="J181" s="117"/>
      <x:c r="K181" s="117"/>
      <x:c r="L181" s="117"/>
      <x:c r="M181" s="117"/>
      <x:c r="N181" s="117"/>
      <x:c r="O181" s="117"/>
      <x:c r="P181" s="117"/>
      <x:c r="Q181" s="117"/>
      <x:c r="R181" s="117"/>
      <x:c r="S181" s="117"/>
      <x:c r="T181" s="117"/>
      <x:c r="U181" s="117"/>
      <x:c r="V181" s="117"/>
      <x:c r="W181" s="117"/>
      <x:c r="X181" s="117"/>
      <x:c r="Y181" s="117"/>
      <x:c r="Z181" s="117"/>
    </x:row>
    <x:row r="182">
      <x:c r="A182" s="117"/>
      <x:c r="B182" s="117"/>
      <x:c r="C182" s="117"/>
      <x:c r="D182" s="117"/>
      <x:c r="E182" s="117"/>
      <x:c r="F182" s="117"/>
      <x:c r="G182" s="117"/>
      <x:c r="H182" s="117"/>
      <x:c r="I182" s="117"/>
      <x:c r="J182" s="117"/>
      <x:c r="K182" s="117"/>
      <x:c r="L182" s="117"/>
      <x:c r="M182" s="117"/>
      <x:c r="N182" s="117"/>
      <x:c r="O182" s="117"/>
      <x:c r="P182" s="117"/>
      <x:c r="Q182" s="117"/>
      <x:c r="R182" s="117"/>
      <x:c r="S182" s="117"/>
      <x:c r="T182" s="117"/>
      <x:c r="U182" s="117"/>
      <x:c r="V182" s="117"/>
      <x:c r="W182" s="117"/>
      <x:c r="X182" s="117"/>
      <x:c r="Y182" s="117"/>
      <x:c r="Z182" s="117"/>
    </x:row>
    <x:row r="183">
      <x:c r="A183" s="117"/>
      <x:c r="B183" s="117"/>
      <x:c r="C183" s="117"/>
      <x:c r="D183" s="117"/>
      <x:c r="E183" s="117"/>
      <x:c r="F183" s="117"/>
      <x:c r="G183" s="117"/>
      <x:c r="H183" s="117"/>
      <x:c r="I183" s="117"/>
      <x:c r="J183" s="117"/>
      <x:c r="K183" s="117"/>
      <x:c r="L183" s="117"/>
      <x:c r="M183" s="117"/>
      <x:c r="N183" s="117"/>
      <x:c r="O183" s="117"/>
      <x:c r="P183" s="117"/>
      <x:c r="Q183" s="117"/>
      <x:c r="R183" s="117"/>
      <x:c r="S183" s="117"/>
      <x:c r="T183" s="117"/>
      <x:c r="U183" s="117"/>
      <x:c r="V183" s="117"/>
      <x:c r="W183" s="117"/>
      <x:c r="X183" s="117"/>
      <x:c r="Y183" s="117"/>
      <x:c r="Z183" s="117"/>
    </x:row>
    <x:row r="184">
      <x:c r="A184" s="117"/>
      <x:c r="B184" s="117"/>
      <x:c r="C184" s="117"/>
      <x:c r="D184" s="117"/>
      <x:c r="E184" s="117"/>
      <x:c r="F184" s="117"/>
      <x:c r="G184" s="117"/>
      <x:c r="H184" s="117"/>
      <x:c r="I184" s="117"/>
      <x:c r="J184" s="117"/>
      <x:c r="K184" s="117"/>
      <x:c r="L184" s="117"/>
      <x:c r="M184" s="117"/>
      <x:c r="N184" s="117"/>
      <x:c r="O184" s="117"/>
      <x:c r="P184" s="117"/>
      <x:c r="Q184" s="117"/>
      <x:c r="R184" s="117"/>
      <x:c r="S184" s="117"/>
      <x:c r="T184" s="117"/>
      <x:c r="U184" s="117"/>
      <x:c r="V184" s="117"/>
      <x:c r="W184" s="117"/>
      <x:c r="X184" s="117"/>
      <x:c r="Y184" s="117"/>
      <x:c r="Z184" s="117"/>
    </x:row>
    <x:row r="185">
      <x:c r="A185" s="117"/>
      <x:c r="B185" s="117"/>
      <x:c r="C185" s="117"/>
      <x:c r="D185" s="117"/>
      <x:c r="E185" s="117"/>
      <x:c r="F185" s="117"/>
      <x:c r="G185" s="117"/>
      <x:c r="H185" s="117"/>
      <x:c r="I185" s="117"/>
      <x:c r="J185" s="117"/>
      <x:c r="K185" s="117"/>
      <x:c r="L185" s="117"/>
      <x:c r="M185" s="117"/>
      <x:c r="N185" s="117"/>
      <x:c r="O185" s="117"/>
      <x:c r="P185" s="117"/>
      <x:c r="Q185" s="117"/>
      <x:c r="R185" s="117"/>
      <x:c r="S185" s="117"/>
      <x:c r="T185" s="117"/>
      <x:c r="U185" s="117"/>
      <x:c r="V185" s="117"/>
      <x:c r="W185" s="117"/>
      <x:c r="X185" s="117"/>
      <x:c r="Y185" s="117"/>
      <x:c r="Z185" s="117"/>
    </x:row>
    <x:row r="186">
      <x:c r="A186" s="117"/>
      <x:c r="B186" s="117"/>
      <x:c r="C186" s="117"/>
      <x:c r="D186" s="117"/>
      <x:c r="E186" s="117"/>
      <x:c r="F186" s="117"/>
      <x:c r="G186" s="117"/>
      <x:c r="H186" s="117"/>
      <x:c r="I186" s="117"/>
      <x:c r="J186" s="117"/>
      <x:c r="K186" s="117"/>
      <x:c r="L186" s="117"/>
      <x:c r="M186" s="117"/>
      <x:c r="N186" s="117"/>
      <x:c r="O186" s="117"/>
      <x:c r="P186" s="117"/>
      <x:c r="Q186" s="117"/>
      <x:c r="R186" s="117"/>
      <x:c r="S186" s="117"/>
      <x:c r="T186" s="117"/>
      <x:c r="U186" s="117"/>
      <x:c r="V186" s="117"/>
      <x:c r="W186" s="117"/>
      <x:c r="X186" s="117"/>
      <x:c r="Y186" s="117"/>
      <x:c r="Z186" s="117"/>
    </x:row>
    <x:row r="187">
      <x:c r="A187" s="117"/>
      <x:c r="B187" s="117"/>
      <x:c r="C187" s="117"/>
      <x:c r="D187" s="117"/>
      <x:c r="E187" s="117"/>
      <x:c r="F187" s="117"/>
      <x:c r="G187" s="117"/>
      <x:c r="H187" s="117"/>
      <x:c r="I187" s="117"/>
      <x:c r="J187" s="117"/>
      <x:c r="K187" s="117"/>
      <x:c r="L187" s="117"/>
      <x:c r="M187" s="117"/>
      <x:c r="N187" s="117"/>
      <x:c r="O187" s="117"/>
      <x:c r="P187" s="117"/>
      <x:c r="Q187" s="117"/>
      <x:c r="R187" s="117"/>
      <x:c r="S187" s="117"/>
      <x:c r="T187" s="117"/>
      <x:c r="U187" s="117"/>
      <x:c r="V187" s="117"/>
      <x:c r="W187" s="117"/>
      <x:c r="X187" s="117"/>
      <x:c r="Y187" s="117"/>
      <x:c r="Z187" s="117"/>
    </x:row>
    <x:row r="188">
      <x:c r="A188" s="117"/>
      <x:c r="B188" s="117"/>
      <x:c r="C188" s="117"/>
      <x:c r="D188" s="117"/>
      <x:c r="E188" s="117"/>
      <x:c r="F188" s="117"/>
      <x:c r="G188" s="117"/>
      <x:c r="H188" s="117"/>
      <x:c r="I188" s="117"/>
      <x:c r="J188" s="117"/>
      <x:c r="K188" s="117"/>
      <x:c r="L188" s="117"/>
      <x:c r="M188" s="117"/>
      <x:c r="N188" s="117"/>
      <x:c r="O188" s="117"/>
      <x:c r="P188" s="117"/>
      <x:c r="Q188" s="117"/>
      <x:c r="R188" s="117"/>
      <x:c r="S188" s="117"/>
      <x:c r="T188" s="117"/>
      <x:c r="U188" s="117"/>
      <x:c r="V188" s="117"/>
      <x:c r="W188" s="117"/>
      <x:c r="X188" s="117"/>
      <x:c r="Y188" s="117"/>
      <x:c r="Z188" s="117"/>
    </x:row>
    <x:row r="189">
      <x:c r="A189" s="117"/>
      <x:c r="B189" s="117"/>
      <x:c r="C189" s="117"/>
      <x:c r="D189" s="117"/>
      <x:c r="E189" s="117"/>
      <x:c r="F189" s="117"/>
      <x:c r="G189" s="117"/>
      <x:c r="H189" s="117"/>
      <x:c r="I189" s="117"/>
      <x:c r="J189" s="117"/>
      <x:c r="K189" s="117"/>
      <x:c r="L189" s="117"/>
      <x:c r="M189" s="117"/>
      <x:c r="N189" s="117"/>
      <x:c r="O189" s="117"/>
      <x:c r="P189" s="117"/>
      <x:c r="Q189" s="117"/>
      <x:c r="R189" s="117"/>
      <x:c r="S189" s="117"/>
      <x:c r="T189" s="117"/>
      <x:c r="U189" s="117"/>
      <x:c r="V189" s="117"/>
      <x:c r="W189" s="117"/>
      <x:c r="X189" s="117"/>
      <x:c r="Y189" s="117"/>
      <x:c r="Z189" s="117"/>
    </x:row>
    <x:row r="190">
      <x:c r="A190" s="117"/>
      <x:c r="B190" s="117"/>
      <x:c r="C190" s="117"/>
      <x:c r="D190" s="117"/>
      <x:c r="E190" s="117"/>
      <x:c r="F190" s="117"/>
      <x:c r="G190" s="117"/>
      <x:c r="H190" s="117"/>
      <x:c r="I190" s="117"/>
      <x:c r="J190" s="117"/>
      <x:c r="K190" s="117"/>
      <x:c r="L190" s="117"/>
      <x:c r="M190" s="117"/>
      <x:c r="N190" s="117"/>
      <x:c r="O190" s="117"/>
      <x:c r="P190" s="117"/>
      <x:c r="Q190" s="117"/>
      <x:c r="R190" s="117"/>
      <x:c r="S190" s="117"/>
      <x:c r="T190" s="117"/>
      <x:c r="U190" s="117"/>
      <x:c r="V190" s="117"/>
      <x:c r="W190" s="117"/>
      <x:c r="X190" s="117"/>
      <x:c r="Y190" s="117"/>
      <x:c r="Z190" s="117"/>
    </x:row>
    <x:row r="191">
      <x:c r="A191" s="117"/>
      <x:c r="B191" s="117"/>
      <x:c r="C191" s="117"/>
      <x:c r="D191" s="117"/>
      <x:c r="E191" s="117"/>
      <x:c r="F191" s="117"/>
      <x:c r="G191" s="117"/>
      <x:c r="H191" s="117"/>
      <x:c r="I191" s="117"/>
      <x:c r="J191" s="117"/>
      <x:c r="K191" s="117"/>
      <x:c r="L191" s="117"/>
      <x:c r="M191" s="117"/>
      <x:c r="N191" s="117"/>
      <x:c r="O191" s="117"/>
      <x:c r="P191" s="117"/>
      <x:c r="Q191" s="117"/>
      <x:c r="R191" s="117"/>
      <x:c r="S191" s="117"/>
      <x:c r="T191" s="117"/>
      <x:c r="U191" s="117"/>
      <x:c r="V191" s="117"/>
      <x:c r="W191" s="117"/>
      <x:c r="X191" s="117"/>
      <x:c r="Y191" s="117"/>
      <x:c r="Z191" s="117"/>
    </x:row>
    <x:row r="192">
      <x:c r="A192" s="117"/>
      <x:c r="B192" s="117"/>
      <x:c r="C192" s="117"/>
      <x:c r="D192" s="117"/>
      <x:c r="E192" s="117"/>
      <x:c r="F192" s="117"/>
      <x:c r="G192" s="117"/>
      <x:c r="H192" s="117"/>
      <x:c r="I192" s="117"/>
      <x:c r="J192" s="117"/>
      <x:c r="K192" s="117"/>
      <x:c r="L192" s="117"/>
      <x:c r="M192" s="117"/>
      <x:c r="N192" s="117"/>
      <x:c r="O192" s="117"/>
      <x:c r="P192" s="117"/>
      <x:c r="Q192" s="117"/>
      <x:c r="R192" s="117"/>
      <x:c r="S192" s="117"/>
      <x:c r="T192" s="117"/>
      <x:c r="U192" s="117"/>
      <x:c r="V192" s="117"/>
      <x:c r="W192" s="117"/>
      <x:c r="X192" s="117"/>
      <x:c r="Y192" s="117"/>
      <x:c r="Z192" s="117"/>
    </x:row>
    <x:row r="193">
      <x:c r="A193" s="117"/>
      <x:c r="B193" s="117"/>
      <x:c r="C193" s="117"/>
      <x:c r="D193" s="117"/>
      <x:c r="E193" s="117"/>
      <x:c r="F193" s="117"/>
      <x:c r="G193" s="117"/>
      <x:c r="H193" s="117"/>
      <x:c r="I193" s="117"/>
      <x:c r="J193" s="117"/>
      <x:c r="K193" s="117"/>
      <x:c r="L193" s="117"/>
      <x:c r="M193" s="117"/>
      <x:c r="N193" s="117"/>
      <x:c r="O193" s="117"/>
      <x:c r="P193" s="117"/>
      <x:c r="Q193" s="117"/>
      <x:c r="R193" s="117"/>
      <x:c r="S193" s="117"/>
      <x:c r="T193" s="117"/>
      <x:c r="U193" s="117"/>
      <x:c r="V193" s="117"/>
      <x:c r="W193" s="117"/>
      <x:c r="X193" s="117"/>
      <x:c r="Y193" s="117"/>
      <x:c r="Z193" s="117"/>
    </x:row>
    <x:row r="194">
      <x:c r="A194" s="117"/>
      <x:c r="B194" s="117"/>
      <x:c r="C194" s="117"/>
      <x:c r="D194" s="117"/>
      <x:c r="E194" s="117"/>
      <x:c r="F194" s="117"/>
      <x:c r="G194" s="117"/>
      <x:c r="H194" s="117"/>
      <x:c r="I194" s="117"/>
      <x:c r="J194" s="117"/>
      <x:c r="K194" s="117"/>
      <x:c r="L194" s="117"/>
      <x:c r="M194" s="117"/>
      <x:c r="N194" s="117"/>
      <x:c r="O194" s="117"/>
      <x:c r="P194" s="117"/>
      <x:c r="Q194" s="117"/>
      <x:c r="R194" s="117"/>
      <x:c r="S194" s="117"/>
      <x:c r="T194" s="117"/>
      <x:c r="U194" s="117"/>
      <x:c r="V194" s="117"/>
      <x:c r="W194" s="117"/>
      <x:c r="X194" s="117"/>
      <x:c r="Y194" s="117"/>
      <x:c r="Z194" s="117"/>
    </x:row>
    <x:row r="195">
      <x:c r="A195" s="117"/>
      <x:c r="B195" s="117"/>
      <x:c r="C195" s="117"/>
      <x:c r="D195" s="117"/>
      <x:c r="E195" s="117"/>
      <x:c r="F195" s="117"/>
      <x:c r="G195" s="117"/>
      <x:c r="H195" s="117"/>
      <x:c r="I195" s="117"/>
      <x:c r="J195" s="117"/>
      <x:c r="K195" s="117"/>
      <x:c r="L195" s="117"/>
      <x:c r="M195" s="117"/>
      <x:c r="N195" s="117"/>
      <x:c r="O195" s="117"/>
      <x:c r="P195" s="117"/>
      <x:c r="Q195" s="117"/>
      <x:c r="R195" s="117"/>
      <x:c r="S195" s="117"/>
      <x:c r="T195" s="117"/>
      <x:c r="U195" s="117"/>
      <x:c r="V195" s="117"/>
      <x:c r="W195" s="117"/>
      <x:c r="X195" s="117"/>
      <x:c r="Y195" s="117"/>
      <x:c r="Z195" s="117"/>
    </x:row>
    <x:row r="196">
      <x:c r="A196" s="117"/>
      <x:c r="B196" s="117"/>
      <x:c r="C196" s="117"/>
      <x:c r="D196" s="117"/>
      <x:c r="E196" s="117"/>
      <x:c r="F196" s="117"/>
      <x:c r="G196" s="117"/>
      <x:c r="H196" s="117"/>
      <x:c r="I196" s="117"/>
      <x:c r="J196" s="117"/>
      <x:c r="K196" s="117"/>
      <x:c r="L196" s="117"/>
      <x:c r="M196" s="117"/>
      <x:c r="N196" s="117"/>
      <x:c r="O196" s="117"/>
      <x:c r="P196" s="117"/>
      <x:c r="Q196" s="117"/>
      <x:c r="R196" s="117"/>
      <x:c r="S196" s="117"/>
      <x:c r="T196" s="117"/>
      <x:c r="U196" s="117"/>
      <x:c r="V196" s="117"/>
      <x:c r="W196" s="117"/>
      <x:c r="X196" s="117"/>
      <x:c r="Y196" s="117"/>
      <x:c r="Z196" s="117"/>
    </x:row>
    <x:row r="197">
      <x:c r="A197" s="117"/>
      <x:c r="B197" s="117"/>
      <x:c r="C197" s="117"/>
      <x:c r="D197" s="117"/>
      <x:c r="E197" s="117"/>
      <x:c r="F197" s="117"/>
      <x:c r="G197" s="117"/>
      <x:c r="H197" s="117"/>
      <x:c r="I197" s="117"/>
      <x:c r="J197" s="117"/>
      <x:c r="K197" s="117"/>
      <x:c r="L197" s="117"/>
      <x:c r="M197" s="117"/>
      <x:c r="N197" s="117"/>
      <x:c r="O197" s="117"/>
      <x:c r="P197" s="117"/>
      <x:c r="Q197" s="117"/>
      <x:c r="R197" s="117"/>
      <x:c r="S197" s="117"/>
      <x:c r="T197" s="117"/>
      <x:c r="U197" s="117"/>
      <x:c r="V197" s="117"/>
      <x:c r="W197" s="117"/>
      <x:c r="X197" s="117"/>
      <x:c r="Y197" s="117"/>
      <x:c r="Z197" s="117"/>
    </x:row>
    <x:row r="198">
      <x:c r="A198" s="117"/>
      <x:c r="B198" s="117"/>
      <x:c r="C198" s="117"/>
      <x:c r="D198" s="117"/>
      <x:c r="E198" s="117"/>
      <x:c r="F198" s="117"/>
      <x:c r="G198" s="117"/>
      <x:c r="H198" s="117"/>
      <x:c r="I198" s="117"/>
      <x:c r="J198" s="117"/>
      <x:c r="K198" s="117"/>
      <x:c r="L198" s="117"/>
      <x:c r="M198" s="117"/>
      <x:c r="N198" s="117"/>
      <x:c r="O198" s="117"/>
      <x:c r="P198" s="117"/>
      <x:c r="Q198" s="117"/>
      <x:c r="R198" s="117"/>
      <x:c r="S198" s="117"/>
      <x:c r="T198" s="117"/>
      <x:c r="U198" s="117"/>
      <x:c r="V198" s="117"/>
      <x:c r="W198" s="117"/>
      <x:c r="X198" s="117"/>
      <x:c r="Y198" s="117"/>
      <x:c r="Z198" s="117"/>
    </x:row>
    <x:row r="199">
      <x:c r="A199" s="117"/>
      <x:c r="B199" s="117"/>
      <x:c r="C199" s="117"/>
      <x:c r="D199" s="117"/>
      <x:c r="E199" s="117"/>
      <x:c r="F199" s="117"/>
      <x:c r="G199" s="117"/>
      <x:c r="H199" s="117"/>
      <x:c r="I199" s="117"/>
      <x:c r="J199" s="117"/>
      <x:c r="K199" s="117"/>
      <x:c r="L199" s="117"/>
      <x:c r="M199" s="117"/>
      <x:c r="N199" s="117"/>
      <x:c r="O199" s="117"/>
      <x:c r="P199" s="117"/>
      <x:c r="Q199" s="117"/>
      <x:c r="R199" s="117"/>
      <x:c r="S199" s="117"/>
      <x:c r="T199" s="117"/>
      <x:c r="U199" s="117"/>
      <x:c r="V199" s="117"/>
      <x:c r="W199" s="117"/>
      <x:c r="X199" s="117"/>
      <x:c r="Y199" s="117"/>
      <x:c r="Z199" s="117"/>
    </x:row>
    <x:row r="200">
      <x:c r="A200" s="117"/>
      <x:c r="B200" s="117"/>
      <x:c r="C200" s="117"/>
      <x:c r="D200" s="117"/>
      <x:c r="E200" s="117"/>
      <x:c r="F200" s="117"/>
      <x:c r="G200" s="117"/>
      <x:c r="H200" s="117"/>
      <x:c r="I200" s="117"/>
      <x:c r="J200" s="117"/>
      <x:c r="K200" s="117"/>
      <x:c r="L200" s="117"/>
      <x:c r="M200" s="117"/>
      <x:c r="N200" s="117"/>
      <x:c r="O200" s="117"/>
      <x:c r="P200" s="117"/>
      <x:c r="Q200" s="117"/>
      <x:c r="R200" s="117"/>
      <x:c r="S200" s="117"/>
      <x:c r="T200" s="117"/>
      <x:c r="U200" s="117"/>
      <x:c r="V200" s="117"/>
      <x:c r="W200" s="117"/>
      <x:c r="X200" s="117"/>
      <x:c r="Y200" s="117"/>
      <x:c r="Z200" s="117"/>
    </x:row>
  </x:sheetData>
  <x:mergeCells>
    <x:mergeCell ref="A1:P1"/>
    <x:mergeCell ref="A2:P2"/>
  </x:mergeCells>
  <x:conditionalFormatting sqref="D5:D12">
    <x:cfRule type="expression" dxfId="2" priority="1">
      <x:formula>D5="L0"</x:formula>
    </x:cfRule>
    <x:cfRule type="expression" dxfId="3" priority="2">
      <x:formula>D5="L3"</x:formula>
    </x:cfRule>
  </x:conditionalFormatting>
  <x:dataValidations count="3">
    <x:dataValidation type="list" sqref="D5:D12">
      <x:formula1>"L0,L1,L2,L3"</x:formula1>
    </x:dataValidation>
    <x:dataValidation type="list" sqref="G5:G12">
      <x:formula1>"S,A,B,C"</x:formula1>
    </x:dataValidation>
    <x:dataValidation type="list" sqref="O5:O12">
      <x:formula1>"レビュー前,レビュー済み,承認済み,廃止"</x:formula1>
    </x:dataValidation>
  </x:dataValidations>
  <x:pageMargins left="0.7" right="0.7" top="0.75" bottom="0.75" header="0.3" footer="0.3"/>
</x:worksheet>
</file>

<file path=xl/worksheets/sheet9.xml><?xml version="1.0" encoding="utf-8"?>
<x:worksheet xmlns:x="http://schemas.openxmlformats.org/spreadsheetml/2006/main">
  <x:sheetFormatPr defaultRowHeight="15"/>
  <x:cols>
    <x:col min="1" max="1" width="16" hidden="0" customWidth="1"/>
    <x:col min="2" max="2" width="7" hidden="0" customWidth="1"/>
    <x:col min="3" max="3" width="16" hidden="0" customWidth="1"/>
    <x:col min="4" max="4" width="24" hidden="0" customWidth="1"/>
    <x:col min="5" max="5" width="18" hidden="0" customWidth="1"/>
    <x:col min="6" max="6" width="28" hidden="0" customWidth="1"/>
    <x:col min="7" max="7" width="42" hidden="0" customWidth="1"/>
    <x:col min="8" max="8" width="28" hidden="0" customWidth="1"/>
    <x:col min="9" max="9" width="30" hidden="0" customWidth="1"/>
    <x:col min="10" max="10" width="16" hidden="0" customWidth="1"/>
    <x:col min="11" max="11" width="20" hidden="0" customWidth="1"/>
    <x:col min="12" max="12" width="18" hidden="0" customWidth="1"/>
    <x:col min="13" max="13" width="12" hidden="0" customWidth="1"/>
    <x:col min="14" max="14" width="18" hidden="0" customWidth="1"/>
    <x:col min="15" max="15" width="14" hidden="0" customWidth="1"/>
    <x:col min="16" max="16" width="32" hidden="0" customWidth="1"/>
  </x:cols>
  <x:sheetData>
    <x:row r="1" ht="28" customHeight="1">
      <x:c r="A1" s="116" t="str">
        <x:v>08_レポート可変項目定義</x:v>
      </x:c>
      <x:c r="B1" s="116"/>
      <x:c r="C1" s="116"/>
      <x:c r="D1" s="116"/>
      <x:c r="E1" s="116"/>
      <x:c r="F1" s="116"/>
      <x:c r="G1" s="116"/>
      <x:c r="H1" s="116"/>
      <x:c r="I1" s="116"/>
      <x:c r="J1" s="116"/>
      <x:c r="K1" s="116"/>
      <x:c r="L1" s="116"/>
      <x:c r="M1" s="116"/>
      <x:c r="N1" s="116"/>
      <x:c r="O1" s="116"/>
      <x:c r="P1" s="116"/>
      <x:c r="Q1" s="117"/>
      <x:c r="R1" s="117"/>
      <x:c r="S1" s="117"/>
      <x:c r="T1" s="117"/>
      <x:c r="U1" s="117"/>
      <x:c r="V1" s="117"/>
      <x:c r="W1" s="117"/>
      <x:c r="X1" s="117"/>
      <x:c r="Y1" s="117"/>
      <x:c r="Z1" s="117"/>
    </x:row>
    <x:row r="2" ht="34" customHeight="1">
      <x:c r="A2" s="118" t="str">
        <x:v>A3横2ページに表示する可変項目のマスター。必要質問・判定・Evidence・コメントコードの逆算起点。</x:v>
      </x:c>
      <x:c r="B2" s="118"/>
      <x:c r="C2" s="118"/>
      <x:c r="D2" s="118"/>
      <x:c r="E2" s="118"/>
      <x:c r="F2" s="118"/>
      <x:c r="G2" s="118"/>
      <x:c r="H2" s="118"/>
      <x:c r="I2" s="118"/>
      <x:c r="J2" s="118"/>
      <x:c r="K2" s="118"/>
      <x:c r="L2" s="118"/>
      <x:c r="M2" s="118"/>
      <x:c r="N2" s="118"/>
      <x:c r="O2" s="118"/>
      <x:c r="P2" s="118"/>
      <x:c r="Q2" s="117"/>
      <x:c r="R2" s="117"/>
      <x:c r="S2" s="117"/>
      <x:c r="T2" s="117"/>
      <x:c r="U2" s="117"/>
      <x:c r="V2" s="117"/>
      <x:c r="W2" s="117"/>
      <x:c r="X2" s="117"/>
      <x:c r="Y2" s="117"/>
      <x:c r="Z2" s="117"/>
    </x:row>
    <x:row r="3">
      <x:c r="A3" s="117"/>
      <x:c r="B3" s="117"/>
      <x:c r="C3" s="117"/>
      <x:c r="D3" s="117"/>
      <x:c r="E3" s="117"/>
      <x:c r="F3" s="117"/>
      <x:c r="G3" s="117"/>
      <x:c r="H3" s="117"/>
      <x:c r="I3" s="117"/>
      <x:c r="J3" s="117"/>
      <x:c r="K3" s="117"/>
      <x:c r="L3" s="117"/>
      <x:c r="M3" s="117"/>
      <x:c r="N3" s="117"/>
      <x:c r="O3" s="117"/>
      <x:c r="P3" s="117"/>
      <x:c r="Q3" s="117"/>
      <x:c r="R3" s="117"/>
      <x:c r="S3" s="117"/>
      <x:c r="T3" s="117"/>
      <x:c r="U3" s="117"/>
      <x:c r="V3" s="117"/>
      <x:c r="W3" s="117"/>
      <x:c r="X3" s="117"/>
      <x:c r="Y3" s="117"/>
      <x:c r="Z3" s="117"/>
    </x:row>
    <x:row r="4" ht="34" customHeight="1">
      <x:c r="A4" s="119" t="str">
        <x:v>出力項目ID</x:v>
      </x:c>
      <x:c r="B4" s="126" t="str">
        <x:v>ページ</x:v>
      </x:c>
      <x:c r="C4" s="126" t="str">
        <x:v>表示区画</x:v>
      </x:c>
      <x:c r="D4" s="126" t="str">
        <x:v>可変項目名</x:v>
      </x:c>
      <x:c r="E4" s="126" t="str">
        <x:v>表示形式</x:v>
      </x:c>
      <x:c r="F4" s="126" t="str">
        <x:v>表示目的</x:v>
      </x:c>
      <x:c r="G4" s="126" t="str">
        <x:v>必要入力・質問概要</x:v>
      </x:c>
      <x:c r="H4" s="126" t="str">
        <x:v>主判定</x:v>
      </x:c>
      <x:c r="I4" s="126" t="str">
        <x:v>必要Evidence</x:v>
      </x:c>
      <x:c r="J4" s="126" t="str">
        <x:v>断定レベル適用</x:v>
      </x:c>
      <x:c r="K4" s="126" t="str">
        <x:v>コメントコード群</x:v>
      </x:c>
      <x:c r="L4" s="126" t="str">
        <x:v>表示条件</x:v>
      </x:c>
      <x:c r="M4" s="126" t="str">
        <x:v>表示優先度</x:v>
      </x:c>
      <x:c r="N4" s="126" t="str">
        <x:v>CTA候補</x:v>
      </x:c>
      <x:c r="O4" s="126" t="str">
        <x:v>Version0.1状態</x:v>
      </x:c>
      <x:c r="P4" s="120" t="str">
        <x:v>備考</x:v>
      </x:c>
      <x:c r="Q4" s="117"/>
      <x:c r="R4" s="117"/>
      <x:c r="S4" s="117"/>
      <x:c r="T4" s="117"/>
      <x:c r="U4" s="117"/>
      <x:c r="V4" s="117"/>
      <x:c r="W4" s="117"/>
      <x:c r="X4" s="117"/>
      <x:c r="Y4" s="117"/>
      <x:c r="Z4" s="117"/>
    </x:row>
    <x:row r="5">
      <x:c r="A5" s="49" t="str">
        <x:v>R1-BASIC-01</x:v>
      </x:c>
      <x:c r="B5" s="87" t="n">
        <x:v>1</x:v>
      </x:c>
      <x:c r="C5" s="87" t="str">
        <x:v>ヘッダー</x:v>
      </x:c>
      <x:c r="D5" s="87" t="str">
        <x:v>企業・工場基本情報</x:v>
      </x:c>
      <x:c r="E5" s="87" t="str">
        <x:v>テキスト</x:v>
      </x:c>
      <x:c r="F5" s="87" t="str">
        <x:v>対象と診断単位を明示</x:v>
      </x:c>
      <x:c r="G5" s="87" t="str">
        <x:v>会社名、工場名、業種、所在地、回答者、診断日</x:v>
      </x:c>
      <x:c r="H5" s="87" t="str">
        <x:v>入力値をそのまま表示</x:v>
      </x:c>
      <x:c r="I5" s="87" t="str">
        <x:v>なし</x:v>
      </x:c>
      <x:c r="J5" s="87" t="str">
        <x:v>対象外</x:v>
      </x:c>
      <x:c r="K5" s="87" t="str">
        <x:v>なし</x:v>
      </x:c>
      <x:c r="L5" s="87" t="str">
        <x:v>常時</x:v>
      </x:c>
      <x:c r="M5" s="87" t="str">
        <x:v>必須</x:v>
      </x:c>
      <x:c r="N5" s="87" t="str">
        <x:v>なし</x:v>
      </x:c>
      <x:c r="O5" s="87" t="str">
        <x:v>仮確定</x:v>
      </x:c>
      <x:c r="P5" s="50" t="str">
        <x:v>個人情報の表示範囲はLP規約で管理</x:v>
      </x:c>
      <x:c r="Q5" s="117"/>
      <x:c r="R5" s="117"/>
      <x:c r="S5" s="117"/>
      <x:c r="T5" s="117"/>
      <x:c r="U5" s="117"/>
      <x:c r="V5" s="117"/>
      <x:c r="W5" s="117"/>
      <x:c r="X5" s="117"/>
      <x:c r="Y5" s="117"/>
      <x:c r="Z5" s="117"/>
    </x:row>
    <x:row r="6">
      <x:c r="A6" s="51" t="str">
        <x:v>R1-KPI-EDI</x:v>
      </x:c>
      <x:c r="B6" s="88" t="n">
        <x:v>1</x:v>
      </x:c>
      <x:c r="C6" s="88" t="str">
        <x:v>KPI上段</x:v>
      </x:c>
      <x:c r="D6" s="88" t="str">
        <x:v>EDI</x:v>
      </x:c>
      <x:c r="E6" s="88" t="str">
        <x:v>0～100点＋評価帯</x:v>
      </x:c>
      <x:c r="F6" s="88" t="str">
        <x:v>設備・エネルギー・建屋・管理の状態を示す</x:v>
      </x:c>
      <x:c r="G6" s="88" t="str">
        <x:v>経年、故障、点検、省エネ、建屋、更新管理</x:v>
      </x:c>
      <x:c r="H6" s="88" t="str">
        <x:v>重み付きスコア</x:v>
      </x:c>
      <x:c r="I6" s="88" t="str">
        <x:v>点検報告書、写真、設備台帳</x:v>
      </x:c>
      <x:c r="J6" s="88" t="str">
        <x:v>L1～L3</x:v>
      </x:c>
      <x:c r="K6" s="88" t="str">
        <x:v>EDI-*</x:v>
      </x:c>
      <x:c r="L6" s="88" t="str">
        <x:v>常時</x:v>
      </x:c>
      <x:c r="M6" s="88" t="str">
        <x:v>必須</x:v>
      </x:c>
      <x:c r="N6" s="88" t="str">
        <x:v>現地診断</x:v>
      </x:c>
      <x:c r="O6" s="88" t="str">
        <x:v>凍結</x:v>
      </x:c>
      <x:c r="P6" s="52" t="str">
        <x:v>詳細内訳は2ページ目</x:v>
      </x:c>
      <x:c r="Q6" s="117"/>
      <x:c r="R6" s="117"/>
      <x:c r="S6" s="117"/>
      <x:c r="T6" s="117"/>
      <x:c r="U6" s="117"/>
      <x:c r="V6" s="117"/>
      <x:c r="W6" s="117"/>
      <x:c r="X6" s="117"/>
      <x:c r="Y6" s="117"/>
      <x:c r="Z6" s="117"/>
    </x:row>
    <x:row r="7">
      <x:c r="A7" s="51" t="str">
        <x:v>R1-KPI-DRI</x:v>
      </x:c>
      <x:c r="B7" s="88" t="n">
        <x:v>1</x:v>
      </x:c>
      <x:c r="C7" s="88" t="str">
        <x:v>KPI上段</x:v>
      </x:c>
      <x:c r="D7" s="88" t="str">
        <x:v>DRI</x:v>
      </x:c>
      <x:c r="E7" s="88" t="str">
        <x:v>0～100点＋評価帯</x:v>
      </x:c>
      <x:c r="F7" s="88" t="str">
        <x:v>意思決定に必要な情報の整備度を示す</x:v>
      </x:c>
      <x:c r="G7" s="88" t="str">
        <x:v>台帳、図面、履歴、費用、停電、予算、意思決定体制</x:v>
      </x:c>
      <x:c r="H7" s="88" t="str">
        <x:v>重み付きスコア</x:v>
      </x:c>
      <x:c r="I7" s="88" t="str">
        <x:v>図面、台帳、見積、議事録</x:v>
      </x:c>
      <x:c r="J7" s="88" t="str">
        <x:v>L1～L3</x:v>
      </x:c>
      <x:c r="K7" s="88" t="str">
        <x:v>DRI-*</x:v>
      </x:c>
      <x:c r="L7" s="88" t="str">
        <x:v>常時</x:v>
      </x:c>
      <x:c r="M7" s="88" t="str">
        <x:v>必須</x:v>
      </x:c>
      <x:c r="N7" s="88" t="str">
        <x:v>資料整理支援</x:v>
      </x:c>
      <x:c r="O7" s="88" t="str">
        <x:v>凍結</x:v>
      </x:c>
      <x:c r="P7" s="52" t="str">
        <x:v>不明回答を状態悪化と混同しない</x:v>
      </x:c>
      <x:c r="Q7" s="117"/>
      <x:c r="R7" s="117"/>
      <x:c r="S7" s="117"/>
      <x:c r="T7" s="117"/>
      <x:c r="U7" s="117"/>
      <x:c r="V7" s="117"/>
      <x:c r="W7" s="117"/>
      <x:c r="X7" s="117"/>
      <x:c r="Y7" s="117"/>
      <x:c r="Z7" s="117"/>
    </x:row>
    <x:row r="8">
      <x:c r="A8" s="51" t="str">
        <x:v>R1-KPI-EPI</x:v>
      </x:c>
      <x:c r="B8" s="88" t="n">
        <x:v>1</x:v>
      </x:c>
      <x:c r="C8" s="88" t="str">
        <x:v>KPI上段</x:v>
      </x:c>
      <x:c r="D8" s="88" t="str">
        <x:v>EPI</x:v>
      </x:c>
      <x:c r="E8" s="88" t="str">
        <x:v>0～100点＋優先度</x:v>
      </x:c>
      <x:c r="F8" s="88" t="str">
        <x:v>いつ動くべきかを示す</x:v>
      </x:c>
      <x:c r="G8" s="88" t="str">
        <x:v>安全、法令、EOL、停止影響、期限、省エネ効果</x:v>
      </x:c>
      <x:c r="H8" s="88" t="str">
        <x:v>重み付きスコア＋期限補正</x:v>
      </x:c>
      <x:c r="I8" s="88" t="str">
        <x:v>メーカー回答、点検指摘、停止損失資料</x:v>
      </x:c>
      <x:c r="J8" s="88" t="str">
        <x:v>L1～L3</x:v>
      </x:c>
      <x:c r="K8" s="88" t="str">
        <x:v>EPI-*</x:v>
      </x:c>
      <x:c r="L8" s="88" t="str">
        <x:v>常時</x:v>
      </x:c>
      <x:c r="M8" s="88" t="str">
        <x:v>必須</x:v>
      </x:c>
      <x:c r="N8" s="88" t="str">
        <x:v>更新相談</x:v>
      </x:c>
      <x:c r="O8" s="88" t="str">
        <x:v>凍結</x:v>
      </x:c>
      <x:c r="P8" s="52" t="str">
        <x:v>高いほど早期対応</x:v>
      </x:c>
      <x:c r="Q8" s="117"/>
      <x:c r="R8" s="117"/>
      <x:c r="S8" s="117"/>
      <x:c r="T8" s="117"/>
      <x:c r="U8" s="117"/>
      <x:c r="V8" s="117"/>
      <x:c r="W8" s="117"/>
      <x:c r="X8" s="117"/>
      <x:c r="Y8" s="117"/>
      <x:c r="Z8" s="117"/>
    </x:row>
    <x:row r="9">
      <x:c r="A9" s="51" t="str">
        <x:v>R1-KPI-CONF</x:v>
      </x:c>
      <x:c r="B9" s="88" t="n">
        <x:v>1</x:v>
      </x:c>
      <x:c r="C9" s="88" t="str">
        <x:v>KPI上段</x:v>
      </x:c>
      <x:c r="D9" s="88" t="str">
        <x:v>診断信頼度</x:v>
      </x:c>
      <x:c r="E9" s="88" t="str">
        <x:v>0～100％＋評価帯</x:v>
      </x:c>
      <x:c r="F9" s="88" t="str">
        <x:v>根拠の質を示す</x:v>
      </x:c>
      <x:c r="G9" s="88" t="str">
        <x:v>Evidence種類、確認者、資料日付、矛盾有無</x:v>
      </x:c>
      <x:c r="H9" s="88" t="str">
        <x:v>Evidence品質スコア</x:v>
      </x:c>
      <x:c r="I9" s="88" t="str">
        <x:v>全Evidence</x:v>
      </x:c>
      <x:c r="J9" s="88" t="str">
        <x:v>L0～L3</x:v>
      </x:c>
      <x:c r="K9" s="88" t="str">
        <x:v>DQ-CONF-*</x:v>
      </x:c>
      <x:c r="L9" s="88" t="str">
        <x:v>常時</x:v>
      </x:c>
      <x:c r="M9" s="88" t="str">
        <x:v>必須</x:v>
      </x:c>
      <x:c r="N9" s="88" t="str">
        <x:v>正式診断</x:v>
      </x:c>
      <x:c r="O9" s="88" t="str">
        <x:v>レビュー中</x:v>
      </x:c>
      <x:c r="P9" s="52" t="str">
        <x:v>個別コメントの断定レベルを優先</x:v>
      </x:c>
      <x:c r="Q9" s="117"/>
      <x:c r="R9" s="117"/>
      <x:c r="S9" s="117"/>
      <x:c r="T9" s="117"/>
      <x:c r="U9" s="117"/>
      <x:c r="V9" s="117"/>
      <x:c r="W9" s="117"/>
      <x:c r="X9" s="117"/>
      <x:c r="Y9" s="117"/>
      <x:c r="Z9" s="117"/>
    </x:row>
    <x:row r="10">
      <x:c r="A10" s="51" t="str">
        <x:v>R1-KPI-COMP</x:v>
      </x:c>
      <x:c r="B10" s="88" t="n">
        <x:v>1</x:v>
      </x:c>
      <x:c r="C10" s="88" t="str">
        <x:v>KPI上段</x:v>
      </x:c>
      <x:c r="D10" s="88" t="str">
        <x:v>情報充足率</x:v>
      </x:c>
      <x:c r="E10" s="88" t="str">
        <x:v>0～100％</x:v>
      </x:c>
      <x:c r="F10" s="88" t="str">
        <x:v>必要情報の量を示す</x:v>
      </x:c>
      <x:c r="G10" s="88" t="str">
        <x:v>必須質問回答率、資料充足、対象設備カバー率</x:v>
      </x:c>
      <x:c r="H10" s="88" t="str">
        <x:v>充足項目数／必要項目数</x:v>
      </x:c>
      <x:c r="I10" s="88" t="str">
        <x:v>全Evidence</x:v>
      </x:c>
      <x:c r="J10" s="88" t="str">
        <x:v>L1～L3</x:v>
      </x:c>
      <x:c r="K10" s="88" t="str">
        <x:v>DQ-COMP-*</x:v>
      </x:c>
      <x:c r="L10" s="88" t="str">
        <x:v>常時</x:v>
      </x:c>
      <x:c r="M10" s="88" t="str">
        <x:v>必須</x:v>
      </x:c>
      <x:c r="N10" s="88" t="str">
        <x:v>不足資料確認</x:v>
      </x:c>
      <x:c r="O10" s="88" t="str">
        <x:v>レビュー中</x:v>
      </x:c>
      <x:c r="P10" s="52" t="str">
        <x:v>回答済みでも根拠なしは信頼度へ反映</x:v>
      </x:c>
      <x:c r="Q10" s="117"/>
      <x:c r="R10" s="117"/>
      <x:c r="S10" s="117"/>
      <x:c r="T10" s="117"/>
      <x:c r="U10" s="117"/>
      <x:c r="V10" s="117"/>
      <x:c r="W10" s="117"/>
      <x:c r="X10" s="117"/>
      <x:c r="Y10" s="117"/>
      <x:c r="Z10" s="117"/>
    </x:row>
    <x:row r="11">
      <x:c r="A11" s="51" t="str">
        <x:v>R1-DEC-01</x:v>
      </x:c>
      <x:c r="B11" s="88" t="n">
        <x:v>1</x:v>
      </x:c>
      <x:c r="C11" s="88" t="str">
        <x:v>意思決定枠</x:v>
      </x:c>
      <x:c r="D11" s="88" t="str">
        <x:v>今回決めたいこと</x:v>
      </x:c>
      <x:c r="E11" s="88" t="str">
        <x:v>1～2文</x:v>
      </x:c>
      <x:c r="F11" s="88" t="str">
        <x:v>経営・設備担当者が次に決めるテーマを明示</x:v>
      </x:c>
      <x:c r="G11" s="88" t="str">
        <x:v>優先課題、予算、停止時期、更新方式</x:v>
      </x:c>
      <x:c r="H11" s="88" t="str">
        <x:v>優先課題とDRI/EPIから生成</x:v>
      </x:c>
      <x:c r="I11" s="88" t="str">
        <x:v>課題に応じる</x:v>
      </x:c>
      <x:c r="J11" s="88" t="str">
        <x:v>L1～L3</x:v>
      </x:c>
      <x:c r="K11" s="88" t="str">
        <x:v>DEC-THEME-*</x:v>
      </x:c>
      <x:c r="L11" s="88" t="str">
        <x:v>常時</x:v>
      </x:c>
      <x:c r="M11" s="88" t="str">
        <x:v>必須</x:v>
      </x:c>
      <x:c r="N11" s="88" t="str">
        <x:v>個別相談</x:v>
      </x:c>
      <x:c r="O11" s="88" t="str">
        <x:v>要設計</x:v>
      </x:c>
      <x:c r="P11" s="52" t="str">
        <x:v>自由作文不可、承認済み部品から生成</x:v>
      </x:c>
      <x:c r="Q11" s="117"/>
      <x:c r="R11" s="117"/>
      <x:c r="S11" s="117"/>
      <x:c r="T11" s="117"/>
      <x:c r="U11" s="117"/>
      <x:c r="V11" s="117"/>
      <x:c r="W11" s="117"/>
      <x:c r="X11" s="117"/>
      <x:c r="Y11" s="117"/>
      <x:c r="Z11" s="117"/>
    </x:row>
    <x:row r="12">
      <x:c r="A12" s="51" t="str">
        <x:v>R1-GR-01</x:v>
      </x:c>
      <x:c r="B12" s="88" t="n">
        <x:v>1</x:v>
      </x:c>
      <x:c r="C12" s="88" t="str">
        <x:v>警告枠</x:v>
      </x:c>
      <x:c r="D12" s="88" t="str">
        <x:v>Decision Guardrail</x:v>
      </x:c>
      <x:c r="E12" s="88" t="str">
        <x:v>警告カード 最大3件</x:v>
      </x:c>
      <x:c r="F12" s="88" t="str">
        <x:v>点数に埋没させない重大条件を示す</x:v>
      </x:c>
      <x:c r="G12" s="88" t="str">
        <x:v>安全、法令、EOL、BCP、期限、顧客要求</x:v>
      </x:c>
      <x:c r="H12" s="88" t="str">
        <x:v>真偽判定＋重要度</x:v>
      </x:c>
      <x:c r="I12" s="88" t="str">
        <x:v>正式文書、点検、写真、メーカー回答</x:v>
      </x:c>
      <x:c r="J12" s="88" t="str">
        <x:v>L0～L3</x:v>
      </x:c>
      <x:c r="K12" s="88" t="str">
        <x:v>GR-*</x:v>
      </x:c>
      <x:c r="L12" s="88" t="str">
        <x:v>該当時</x:v>
      </x:c>
      <x:c r="M12" s="88" t="str">
        <x:v>最優先</x:v>
      </x:c>
      <x:c r="N12" s="88" t="str">
        <x:v>緊急相談</x:v>
      </x:c>
      <x:c r="O12" s="88" t="str">
        <x:v>凍結</x:v>
      </x:c>
      <x:c r="P12" s="52" t="str">
        <x:v>該当なしの場合は『重大警告なし（入力範囲内）』</x:v>
      </x:c>
      <x:c r="Q12" s="117"/>
      <x:c r="R12" s="117"/>
      <x:c r="S12" s="117"/>
      <x:c r="T12" s="117"/>
      <x:c r="U12" s="117"/>
      <x:c r="V12" s="117"/>
      <x:c r="W12" s="117"/>
      <x:c r="X12" s="117"/>
      <x:c r="Y12" s="117"/>
      <x:c r="Z12" s="117"/>
    </x:row>
    <x:row r="13">
      <x:c r="A13" s="51" t="str">
        <x:v>R1-DOM-01</x:v>
      </x:c>
      <x:c r="B13" s="88" t="n">
        <x:v>1</x:v>
      </x:c>
      <x:c r="C13" s="88" t="str">
        <x:v>4分野評価</x:v>
      </x:c>
      <x:c r="D13" s="88" t="str">
        <x:v>設備</x:v>
      </x:c>
      <x:c r="E13" s="88" t="str">
        <x:v>5段階＋短評</x:v>
      </x:c>
      <x:c r="F13" s="88" t="str">
        <x:v>設備状態の俯瞰</x:v>
      </x:c>
      <x:c r="G13" s="88" t="str">
        <x:v>年数、異常、故障、点検、保守</x:v>
      </x:c>
      <x:c r="H13" s="88" t="str">
        <x:v>EDI設備サブスコア</x:v>
      </x:c>
      <x:c r="I13" s="88" t="str">
        <x:v>写真、点検、台帳</x:v>
      </x:c>
      <x:c r="J13" s="88" t="str">
        <x:v>L1～L3</x:v>
      </x:c>
      <x:c r="K13" s="88" t="str">
        <x:v>EDI-EQP-*</x:v>
      </x:c>
      <x:c r="L13" s="88" t="str">
        <x:v>常時</x:v>
      </x:c>
      <x:c r="M13" s="88" t="str">
        <x:v>必須</x:v>
      </x:c>
      <x:c r="N13" s="88" t="str">
        <x:v>設備更新相談</x:v>
      </x:c>
      <x:c r="O13" s="88" t="str">
        <x:v>レビュー中</x:v>
      </x:c>
      <x:c r="P13" s="52" t="str"/>
      <x:c r="Q13" s="117"/>
      <x:c r="R13" s="117"/>
      <x:c r="S13" s="117"/>
      <x:c r="T13" s="117"/>
      <x:c r="U13" s="117"/>
      <x:c r="V13" s="117"/>
      <x:c r="W13" s="117"/>
      <x:c r="X13" s="117"/>
      <x:c r="Y13" s="117"/>
      <x:c r="Z13" s="117"/>
    </x:row>
    <x:row r="14">
      <x:c r="A14" s="51" t="str">
        <x:v>R1-DOM-02</x:v>
      </x:c>
      <x:c r="B14" s="88" t="n">
        <x:v>1</x:v>
      </x:c>
      <x:c r="C14" s="88" t="str">
        <x:v>4分野評価</x:v>
      </x:c>
      <x:c r="D14" s="88" t="str">
        <x:v>エネルギー</x:v>
      </x:c>
      <x:c r="E14" s="88" t="str">
        <x:v>5段階＋短評</x:v>
      </x:c>
      <x:c r="F14" s="88" t="str">
        <x:v>把握・省エネ状態の俯瞰</x:v>
      </x:c>
      <x:c r="G14" s="88" t="str">
        <x:v>電力把握、原単位、主要負荷、改善実績</x:v>
      </x:c>
      <x:c r="H14" s="88" t="str">
        <x:v>EDIエネルギーサブスコア</x:v>
      </x:c>
      <x:c r="I14" s="88" t="str">
        <x:v>請求書、計測データ</x:v>
      </x:c>
      <x:c r="J14" s="88" t="str">
        <x:v>L1～L3</x:v>
      </x:c>
      <x:c r="K14" s="88" t="str">
        <x:v>EDI-ENE-*</x:v>
      </x:c>
      <x:c r="L14" s="88" t="str">
        <x:v>常時</x:v>
      </x:c>
      <x:c r="M14" s="88" t="str">
        <x:v>必須</x:v>
      </x:c>
      <x:c r="N14" s="88" t="str">
        <x:v>電力計測相談</x:v>
      </x:c>
      <x:c r="O14" s="88" t="str">
        <x:v>レビュー中</x:v>
      </x:c>
      <x:c r="P14" s="52" t="str"/>
      <x:c r="Q14" s="117"/>
      <x:c r="R14" s="117"/>
      <x:c r="S14" s="117"/>
      <x:c r="T14" s="117"/>
      <x:c r="U14" s="117"/>
      <x:c r="V14" s="117"/>
      <x:c r="W14" s="117"/>
      <x:c r="X14" s="117"/>
      <x:c r="Y14" s="117"/>
      <x:c r="Z14" s="117"/>
    </x:row>
    <x:row r="15">
      <x:c r="A15" s="51" t="str">
        <x:v>R1-DOM-03</x:v>
      </x:c>
      <x:c r="B15" s="88" t="n">
        <x:v>1</x:v>
      </x:c>
      <x:c r="C15" s="88" t="str">
        <x:v>4分野評価</x:v>
      </x:c>
      <x:c r="D15" s="88" t="str">
        <x:v>建物・環境</x:v>
      </x:c>
      <x:c r="E15" s="88" t="str">
        <x:v>5段階＋短評</x:v>
      </x:c>
      <x:c r="F15" s="88" t="str">
        <x:v>建屋課題の俯瞰</x:v>
      </x:c>
      <x:c r="G15" s="88" t="str">
        <x:v>屋根、外壁、漏水、結露、暑熱、作業環境</x:v>
      </x:c>
      <x:c r="H15" s="88" t="str">
        <x:v>EDI建屋サブスコア</x:v>
      </x:c>
      <x:c r="I15" s="88" t="str">
        <x:v>写真、修繕記録</x:v>
      </x:c>
      <x:c r="J15" s="88" t="str">
        <x:v>L1～L3</x:v>
      </x:c>
      <x:c r="K15" s="88" t="str">
        <x:v>EDI-BLD-*</x:v>
      </x:c>
      <x:c r="L15" s="88" t="str">
        <x:v>常時</x:v>
      </x:c>
      <x:c r="M15" s="88" t="str">
        <x:v>必須</x:v>
      </x:c>
      <x:c r="N15" s="88" t="str">
        <x:v>建屋改善相談</x:v>
      </x:c>
      <x:c r="O15" s="88" t="str">
        <x:v>レビュー中</x:v>
      </x:c>
      <x:c r="P15" s="52" t="str"/>
      <x:c r="Q15" s="117"/>
      <x:c r="R15" s="117"/>
      <x:c r="S15" s="117"/>
      <x:c r="T15" s="117"/>
      <x:c r="U15" s="117"/>
      <x:c r="V15" s="117"/>
      <x:c r="W15" s="117"/>
      <x:c r="X15" s="117"/>
      <x:c r="Y15" s="117"/>
      <x:c r="Z15" s="117"/>
    </x:row>
    <x:row r="16">
      <x:c r="A16" s="51" t="str">
        <x:v>R1-DOM-04</x:v>
      </x:c>
      <x:c r="B16" s="88" t="n">
        <x:v>1</x:v>
      </x:c>
      <x:c r="C16" s="88" t="str">
        <x:v>4分野評価</x:v>
      </x:c>
      <x:c r="D16" s="88" t="str">
        <x:v>経営・更新管理</x:v>
      </x:c>
      <x:c r="E16" s="88" t="str">
        <x:v>5段階＋短評</x:v>
      </x:c>
      <x:c r="F16" s="88" t="str">
        <x:v>更新管理・予算化状態の俯瞰</x:v>
      </x:c>
      <x:c r="G16" s="88" t="str">
        <x:v>台帳、計画、予算、責任者、BCP</x:v>
      </x:c>
      <x:c r="H16" s="88" t="str">
        <x:v>EDI管理＋DRI</x:v>
      </x:c>
      <x:c r="I16" s="88" t="str">
        <x:v>台帳、計画書、予算資料</x:v>
      </x:c>
      <x:c r="J16" s="88" t="str">
        <x:v>L1～L3</x:v>
      </x:c>
      <x:c r="K16" s="88" t="str">
        <x:v>EDI-MGT-*</x:v>
      </x:c>
      <x:c r="L16" s="88" t="str">
        <x:v>常時</x:v>
      </x:c>
      <x:c r="M16" s="88" t="str">
        <x:v>必須</x:v>
      </x:c>
      <x:c r="N16" s="88" t="str">
        <x:v>更新計画相談</x:v>
      </x:c>
      <x:c r="O16" s="88" t="str">
        <x:v>レビュー中</x:v>
      </x:c>
      <x:c r="P16" s="52" t="str"/>
      <x:c r="Q16" s="117"/>
      <x:c r="R16" s="117"/>
      <x:c r="S16" s="117"/>
      <x:c r="T16" s="117"/>
      <x:c r="U16" s="117"/>
      <x:c r="V16" s="117"/>
      <x:c r="W16" s="117"/>
      <x:c r="X16" s="117"/>
      <x:c r="Y16" s="117"/>
      <x:c r="Z16" s="117"/>
    </x:row>
    <x:row r="17">
      <x:c r="A17" s="51" t="str">
        <x:v>R1-TOP-01</x:v>
      </x:c>
      <x:c r="B17" s="88" t="n">
        <x:v>1</x:v>
      </x:c>
      <x:c r="C17" s="88" t="str">
        <x:v>重点課題</x:v>
      </x:c>
      <x:c r="D17" s="88" t="str">
        <x:v>最重要課題TOP5</x:v>
      </x:c>
      <x:c r="E17" s="88" t="str">
        <x:v>順位表</x:v>
      </x:c>
      <x:c r="F17" s="88" t="str">
        <x:v>対応優先順位を明確化</x:v>
      </x:c>
      <x:c r="G17" s="88" t="str">
        <x:v>全質問・Guardrail・KPI内訳</x:v>
      </x:c>
      <x:c r="H17" s="88" t="str">
        <x:v>優先度＝影響×緊急×確度</x:v>
      </x:c>
      <x:c r="I17" s="88" t="str">
        <x:v>課題別Evidence</x:v>
      </x:c>
      <x:c r="J17" s="88" t="str">
        <x:v>L0～L3</x:v>
      </x:c>
      <x:c r="K17" s="88" t="str">
        <x:v>TOP-*</x:v>
      </x:c>
      <x:c r="L17" s="88" t="str">
        <x:v>1件以上</x:v>
      </x:c>
      <x:c r="M17" s="88" t="str">
        <x:v>必須</x:v>
      </x:c>
      <x:c r="N17" s="88" t="str">
        <x:v>課題別CTA</x:v>
      </x:c>
      <x:c r="O17" s="88" t="str">
        <x:v>凍結</x:v>
      </x:c>
      <x:c r="P17" s="52" t="str">
        <x:v>重複課題を統合</x:v>
      </x:c>
      <x:c r="Q17" s="117"/>
      <x:c r="R17" s="117"/>
      <x:c r="S17" s="117"/>
      <x:c r="T17" s="117"/>
      <x:c r="U17" s="117"/>
      <x:c r="V17" s="117"/>
      <x:c r="W17" s="117"/>
      <x:c r="X17" s="117"/>
      <x:c r="Y17" s="117"/>
      <x:c r="Z17" s="117"/>
    </x:row>
    <x:row r="18">
      <x:c r="A18" s="51" t="str">
        <x:v>R1-HM-01</x:v>
      </x:c>
      <x:c r="B18" s="88" t="n">
        <x:v>1</x:v>
      </x:c>
      <x:c r="C18" s="88" t="str">
        <x:v>ヒートマップ</x:v>
      </x:c>
      <x:c r="D18" s="88" t="str">
        <x:v>リスクヒートマップ</x:v>
      </x:c>
      <x:c r="E18" s="88" t="str">
        <x:v>2軸マトリクス</x:v>
      </x:c>
      <x:c r="F18" s="88" t="str">
        <x:v>課題の発生可能性と影響を可視化</x:v>
      </x:c>
      <x:c r="G18" s="88" t="str">
        <x:v>故障兆候、停止影響、代替手段、経年</x:v>
      </x:c>
      <x:c r="H18" s="88" t="str">
        <x:v>可能性×影響</x:v>
      </x:c>
      <x:c r="I18" s="88" t="str">
        <x:v>点検、故障履歴、停止損失</x:v>
      </x:c>
      <x:c r="J18" s="88" t="str">
        <x:v>L1～L3</x:v>
      </x:c>
      <x:c r="K18" s="88" t="str">
        <x:v>RISK-*</x:v>
      </x:c>
      <x:c r="L18" s="88" t="str">
        <x:v>課題2件以上</x:v>
      </x:c>
      <x:c r="M18" s="88" t="str">
        <x:v>条件</x:v>
      </x:c>
      <x:c r="N18" s="88" t="str">
        <x:v>現地診断</x:v>
      </x:c>
      <x:c r="O18" s="88" t="str">
        <x:v>レビュー中</x:v>
      </x:c>
      <x:c r="P18" s="52" t="str">
        <x:v>確度が低い課題は破線・注記</x:v>
      </x:c>
      <x:c r="Q18" s="117"/>
      <x:c r="R18" s="117"/>
      <x:c r="S18" s="117"/>
      <x:c r="T18" s="117"/>
      <x:c r="U18" s="117"/>
      <x:c r="V18" s="117"/>
      <x:c r="W18" s="117"/>
      <x:c r="X18" s="117"/>
      <x:c r="Y18" s="117"/>
      <x:c r="Z18" s="117"/>
    </x:row>
    <x:row r="19">
      <x:c r="A19" s="51" t="str">
        <x:v>R1-INV-01</x:v>
      </x:c>
      <x:c r="B19" s="88" t="n">
        <x:v>1</x:v>
      </x:c>
      <x:c r="C19" s="88" t="str">
        <x:v>比較枠</x:v>
      </x:c>
      <x:c r="D19" s="88" t="str">
        <x:v>対応・投資比較</x:v>
      </x:c>
      <x:c r="E19" s="88" t="str">
        <x:v>最大3案比較</x:v>
      </x:c>
      <x:c r="F19" s="88" t="str">
        <x:v>応急・部分・全面等の方向性を比較</x:v>
      </x:c>
      <x:c r="G19" s="88" t="str">
        <x:v>課題、予算、停止条件、期待効果</x:v>
      </x:c>
      <x:c r="H19" s="88" t="str">
        <x:v>ルールベースで候補抽出</x:v>
      </x:c>
      <x:c r="I19" s="88" t="str">
        <x:v>見積・設備条件があれば反映</x:v>
      </x:c>
      <x:c r="J19" s="88" t="str">
        <x:v>L1～L3</x:v>
      </x:c>
      <x:c r="K19" s="88" t="str">
        <x:v>ALT-*</x:v>
      </x:c>
      <x:c r="L19" s="88" t="str">
        <x:v>候補2案以上</x:v>
      </x:c>
      <x:c r="M19" s="88" t="str">
        <x:v>条件</x:v>
      </x:c>
      <x:c r="N19" s="88" t="str">
        <x:v>概算見積</x:v>
      </x:c>
      <x:c r="O19" s="88" t="str">
        <x:v>レビュー中</x:v>
      </x:c>
      <x:c r="P19" s="52" t="str">
        <x:v>金額断定は見積Evidence時のみ</x:v>
      </x:c>
      <x:c r="Q19" s="117"/>
      <x:c r="R19" s="117"/>
      <x:c r="S19" s="117"/>
      <x:c r="T19" s="117"/>
      <x:c r="U19" s="117"/>
      <x:c r="V19" s="117"/>
      <x:c r="W19" s="117"/>
      <x:c r="X19" s="117"/>
      <x:c r="Y19" s="117"/>
      <x:c r="Z19" s="117"/>
    </x:row>
    <x:row r="20">
      <x:c r="A20" s="51" t="str">
        <x:v>R1-RM-01</x:v>
      </x:c>
      <x:c r="B20" s="88" t="n">
        <x:v>1</x:v>
      </x:c>
      <x:c r="C20" s="88" t="str">
        <x:v>ロードマップ</x:v>
      </x:c>
      <x:c r="D20" s="88" t="str">
        <x:v>対応ロードマップ</x:v>
      </x:c>
      <x:c r="E20" s="88" t="str">
        <x:v>今すぐ／3か月／1年／中期</x:v>
      </x:c>
      <x:c r="F20" s="88" t="str">
        <x:v>実行時期を段階化</x:v>
      </x:c>
      <x:c r="G20" s="88" t="str">
        <x:v>EPI、Guardrail、予算時期、定修</x:v>
      </x:c>
      <x:c r="H20" s="88" t="str">
        <x:v>期限・優先度ルール</x:v>
      </x:c>
      <x:c r="I20" s="88" t="str">
        <x:v>定修表、予算時期</x:v>
      </x:c>
      <x:c r="J20" s="88" t="str">
        <x:v>L1～L3</x:v>
      </x:c>
      <x:c r="K20" s="88" t="str">
        <x:v>RM-*</x:v>
      </x:c>
      <x:c r="L20" s="88" t="str">
        <x:v>常時</x:v>
      </x:c>
      <x:c r="M20" s="88" t="str">
        <x:v>必須</x:v>
      </x:c>
      <x:c r="N20" s="88" t="str">
        <x:v>計画策定</x:v>
      </x:c>
      <x:c r="O20" s="88" t="str">
        <x:v>レビュー中</x:v>
      </x:c>
      <x:c r="P20" s="52" t="str"/>
      <x:c r="Q20" s="117"/>
      <x:c r="R20" s="117"/>
      <x:c r="S20" s="117"/>
      <x:c r="T20" s="117"/>
      <x:c r="U20" s="117"/>
      <x:c r="V20" s="117"/>
      <x:c r="W20" s="117"/>
      <x:c r="X20" s="117"/>
      <x:c r="Y20" s="117"/>
      <x:c r="Z20" s="117"/>
    </x:row>
    <x:row r="21">
      <x:c r="A21" s="51" t="str">
        <x:v>R1-EV-01</x:v>
      </x:c>
      <x:c r="B21" s="88" t="n">
        <x:v>1</x:v>
      </x:c>
      <x:c r="C21" s="88" t="str">
        <x:v>Evidence概要</x:v>
      </x:c>
      <x:c r="D21" s="88" t="str">
        <x:v>Evidenceサマリー</x:v>
      </x:c>
      <x:c r="E21" s="88" t="str">
        <x:v>件数＋種別</x:v>
      </x:c>
      <x:c r="F21" s="88" t="str">
        <x:v>根拠構成を簡潔に示す</x:v>
      </x:c>
      <x:c r="G21" s="88" t="str">
        <x:v>添付資料、確認方法、対象範囲</x:v>
      </x:c>
      <x:c r="H21" s="88" t="str">
        <x:v>確認済／自己申告／未確認集計</x:v>
      </x:c>
      <x:c r="I21" s="88" t="str">
        <x:v>全Evidence</x:v>
      </x:c>
      <x:c r="J21" s="88" t="str">
        <x:v>L0～L3</x:v>
      </x:c>
      <x:c r="K21" s="88" t="str">
        <x:v>DQ-EV-*</x:v>
      </x:c>
      <x:c r="L21" s="88" t="str">
        <x:v>常時</x:v>
      </x:c>
      <x:c r="M21" s="88" t="str">
        <x:v>必須</x:v>
      </x:c>
      <x:c r="N21" s="88" t="str">
        <x:v>資料追加</x:v>
      </x:c>
      <x:c r="O21" s="88" t="str">
        <x:v>レビュー中</x:v>
      </x:c>
      <x:c r="P21" s="52" t="str"/>
      <x:c r="Q21" s="117"/>
      <x:c r="R21" s="117"/>
      <x:c r="S21" s="117"/>
      <x:c r="T21" s="117"/>
      <x:c r="U21" s="117"/>
      <x:c r="V21" s="117"/>
      <x:c r="W21" s="117"/>
      <x:c r="X21" s="117"/>
      <x:c r="Y21" s="117"/>
      <x:c r="Z21" s="117"/>
    </x:row>
    <x:row r="22">
      <x:c r="A22" s="51" t="str">
        <x:v>R1-NEXT-01</x:v>
      </x:c>
      <x:c r="B22" s="88" t="n">
        <x:v>1</x:v>
      </x:c>
      <x:c r="C22" s="88" t="str">
        <x:v>Next Action</x:v>
      </x:c>
      <x:c r="D22" s="88" t="str">
        <x:v>次のアクション</x:v>
      </x:c>
      <x:c r="E22" s="88" t="str">
        <x:v>最大3件</x:v>
      </x:c>
      <x:c r="F22" s="88" t="str">
        <x:v>診断後の行動を明示</x:v>
      </x:c>
      <x:c r="G22" s="88" t="str">
        <x:v>不足情報、Guardrail、優先課題</x:v>
      </x:c>
      <x:c r="H22" s="88" t="str">
        <x:v>優先行動ルール</x:v>
      </x:c>
      <x:c r="I22" s="88" t="str">
        <x:v>課題別</x:v>
      </x:c>
      <x:c r="J22" s="88" t="str">
        <x:v>L1～L3</x:v>
      </x:c>
      <x:c r="K22" s="88" t="str">
        <x:v>ACT-*</x:v>
      </x:c>
      <x:c r="L22" s="88" t="str">
        <x:v>常時</x:v>
      </x:c>
      <x:c r="M22" s="88" t="str">
        <x:v>必須</x:v>
      </x:c>
      <x:c r="N22" s="88" t="str">
        <x:v>該当CTA</x:v>
      </x:c>
      <x:c r="O22" s="88" t="str">
        <x:v>レビュー中</x:v>
      </x:c>
      <x:c r="P22" s="52" t="str"/>
      <x:c r="Q22" s="117"/>
      <x:c r="R22" s="117"/>
      <x:c r="S22" s="117"/>
      <x:c r="T22" s="117"/>
      <x:c r="U22" s="117"/>
      <x:c r="V22" s="117"/>
      <x:c r="W22" s="117"/>
      <x:c r="X22" s="117"/>
      <x:c r="Y22" s="117"/>
      <x:c r="Z22" s="117"/>
    </x:row>
    <x:row r="23">
      <x:c r="A23" s="51" t="str">
        <x:v>R2-SUM-01</x:v>
      </x:c>
      <x:c r="B23" s="88" t="n">
        <x:v>2</x:v>
      </x:c>
      <x:c r="C23" s="88" t="str">
        <x:v>上段</x:v>
      </x:c>
      <x:c r="D23" s="88" t="str">
        <x:v>5指標サマリー</x:v>
      </x:c>
      <x:c r="E23" s="88" t="str">
        <x:v>一覧表</x:v>
      </x:c>
      <x:c r="F23" s="88" t="str">
        <x:v>スコア、評価帯、前提を再掲</x:v>
      </x:c>
      <x:c r="G23" s="88" t="str">
        <x:v>各KPI計算結果</x:v>
      </x:c>
      <x:c r="H23" s="88" t="str">
        <x:v>KPI結果集約</x:v>
      </x:c>
      <x:c r="I23" s="88" t="str">
        <x:v>各KPIのEvidence</x:v>
      </x:c>
      <x:c r="J23" s="88" t="str">
        <x:v>L0～L3</x:v>
      </x:c>
      <x:c r="K23" s="88" t="str">
        <x:v>SUM-*</x:v>
      </x:c>
      <x:c r="L23" s="88" t="str">
        <x:v>常時</x:v>
      </x:c>
      <x:c r="M23" s="88" t="str">
        <x:v>必須</x:v>
      </x:c>
      <x:c r="N23" s="88" t="str">
        <x:v>なし</x:v>
      </x:c>
      <x:c r="O23" s="88" t="str">
        <x:v>レビュー中</x:v>
      </x:c>
      <x:c r="P23" s="52" t="str"/>
      <x:c r="Q23" s="117"/>
      <x:c r="R23" s="117"/>
      <x:c r="S23" s="117"/>
      <x:c r="T23" s="117"/>
      <x:c r="U23" s="117"/>
      <x:c r="V23" s="117"/>
      <x:c r="W23" s="117"/>
      <x:c r="X23" s="117"/>
      <x:c r="Y23" s="117"/>
      <x:c r="Z23" s="117"/>
    </x:row>
    <x:row r="24">
      <x:c r="A24" s="51" t="str">
        <x:v>R2-EDI-01</x:v>
      </x:c>
      <x:c r="B24" s="88" t="n">
        <x:v>2</x:v>
      </x:c>
      <x:c r="C24" s="88" t="str">
        <x:v>EDI詳細</x:v>
      </x:c>
      <x:c r="D24" s="88" t="str">
        <x:v>EDI評価内訳</x:v>
      </x:c>
      <x:c r="E24" s="88" t="str">
        <x:v>サブスコア＋所見</x:v>
      </x:c>
      <x:c r="F24" s="88" t="str">
        <x:v>状態評価の理由を説明</x:v>
      </x:c>
      <x:c r="G24" s="88" t="str">
        <x:v>設備、エネルギー、建屋、管理の全質問</x:v>
      </x:c>
      <x:c r="H24" s="88" t="str">
        <x:v>サブスコア＋主要因抽出</x:v>
      </x:c>
      <x:c r="I24" s="88" t="str">
        <x:v>各分野Evidence</x:v>
      </x:c>
      <x:c r="J24" s="88" t="str">
        <x:v>L0～L3</x:v>
      </x:c>
      <x:c r="K24" s="88" t="str">
        <x:v>EDI-*</x:v>
      </x:c>
      <x:c r="L24" s="88" t="str">
        <x:v>常時</x:v>
      </x:c>
      <x:c r="M24" s="88" t="str">
        <x:v>必須</x:v>
      </x:c>
      <x:c r="N24" s="88" t="str">
        <x:v>分野別相談</x:v>
      </x:c>
      <x:c r="O24" s="88" t="str">
        <x:v>要設計</x:v>
      </x:c>
      <x:c r="P24" s="52" t="str"/>
      <x:c r="Q24" s="117"/>
      <x:c r="R24" s="117"/>
      <x:c r="S24" s="117"/>
      <x:c r="T24" s="117"/>
      <x:c r="U24" s="117"/>
      <x:c r="V24" s="117"/>
      <x:c r="W24" s="117"/>
      <x:c r="X24" s="117"/>
      <x:c r="Y24" s="117"/>
      <x:c r="Z24" s="117"/>
    </x:row>
    <x:row r="25">
      <x:c r="A25" s="51" t="str">
        <x:v>R2-DRI-01</x:v>
      </x:c>
      <x:c r="B25" s="88" t="n">
        <x:v>2</x:v>
      </x:c>
      <x:c r="C25" s="88" t="str">
        <x:v>DRI詳細</x:v>
      </x:c>
      <x:c r="D25" s="88" t="str">
        <x:v>判断可能項目・不足項目</x:v>
      </x:c>
      <x:c r="E25" s="88" t="str">
        <x:v>2列表＋所見</x:v>
      </x:c>
      <x:c r="F25" s="88" t="str">
        <x:v>何が決められ、何が不足かを説明</x:v>
      </x:c>
      <x:c r="G25" s="88" t="str">
        <x:v>台帳、図面、費用、停止、社内条件</x:v>
      </x:c>
      <x:c r="H25" s="88" t="str">
        <x:v>充足判定＋不足抽出</x:v>
      </x:c>
      <x:c r="I25" s="88" t="str">
        <x:v>図面、台帳、見積等</x:v>
      </x:c>
      <x:c r="J25" s="88" t="str">
        <x:v>L0～L3</x:v>
      </x:c>
      <x:c r="K25" s="88" t="str">
        <x:v>DRI-*</x:v>
      </x:c>
      <x:c r="L25" s="88" t="str">
        <x:v>常時</x:v>
      </x:c>
      <x:c r="M25" s="88" t="str">
        <x:v>必須</x:v>
      </x:c>
      <x:c r="N25" s="88" t="str">
        <x:v>資料整理</x:v>
      </x:c>
      <x:c r="O25" s="88" t="str">
        <x:v>要設計</x:v>
      </x:c>
      <x:c r="P25" s="52" t="str"/>
      <x:c r="Q25" s="117"/>
      <x:c r="R25" s="117"/>
      <x:c r="S25" s="117"/>
      <x:c r="T25" s="117"/>
      <x:c r="U25" s="117"/>
      <x:c r="V25" s="117"/>
      <x:c r="W25" s="117"/>
      <x:c r="X25" s="117"/>
      <x:c r="Y25" s="117"/>
      <x:c r="Z25" s="117"/>
    </x:row>
    <x:row r="26">
      <x:c r="A26" s="51" t="str">
        <x:v>R2-EPI-01</x:v>
      </x:c>
      <x:c r="B26" s="88" t="n">
        <x:v>2</x:v>
      </x:c>
      <x:c r="C26" s="88" t="str">
        <x:v>EPI詳細</x:v>
      </x:c>
      <x:c r="D26" s="88" t="str">
        <x:v>優先度・実行時期</x:v>
      </x:c>
      <x:c r="E26" s="88" t="str">
        <x:v>順位＋所見</x:v>
      </x:c>
      <x:c r="F26" s="88" t="str">
        <x:v>動く時期の理由を説明</x:v>
      </x:c>
      <x:c r="G26" s="88" t="str">
        <x:v>緊急、影響、期限、実施機会</x:v>
      </x:c>
      <x:c r="H26" s="88" t="str">
        <x:v>優先度ルール</x:v>
      </x:c>
      <x:c r="I26" s="88" t="str">
        <x:v>法令・期限Evidence</x:v>
      </x:c>
      <x:c r="J26" s="88" t="str">
        <x:v>L0～L3</x:v>
      </x:c>
      <x:c r="K26" s="88" t="str">
        <x:v>EPI-*</x:v>
      </x:c>
      <x:c r="L26" s="88" t="str">
        <x:v>常時</x:v>
      </x:c>
      <x:c r="M26" s="88" t="str">
        <x:v>必須</x:v>
      </x:c>
      <x:c r="N26" s="88" t="str">
        <x:v>更新計画</x:v>
      </x:c>
      <x:c r="O26" s="88" t="str">
        <x:v>レビュー中</x:v>
      </x:c>
      <x:c r="P26" s="52" t="str"/>
      <x:c r="Q26" s="117"/>
      <x:c r="R26" s="117"/>
      <x:c r="S26" s="117"/>
      <x:c r="T26" s="117"/>
      <x:c r="U26" s="117"/>
      <x:c r="V26" s="117"/>
      <x:c r="W26" s="117"/>
      <x:c r="X26" s="117"/>
      <x:c r="Y26" s="117"/>
      <x:c r="Z26" s="117"/>
    </x:row>
    <x:row r="27">
      <x:c r="A27" s="51" t="str">
        <x:v>R2-DQ-01</x:v>
      </x:c>
      <x:c r="B27" s="88" t="n">
        <x:v>2</x:v>
      </x:c>
      <x:c r="C27" s="88" t="str">
        <x:v>診断品質</x:v>
      </x:c>
      <x:c r="D27" s="88" t="str">
        <x:v>診断信頼度の内訳</x:v>
      </x:c>
      <x:c r="E27" s="88" t="str">
        <x:v>品質要素別</x:v>
      </x:c>
      <x:c r="F27" s="88" t="str">
        <x:v>診断根拠の強弱を開示</x:v>
      </x:c>
      <x:c r="G27" s="88" t="str">
        <x:v>Evidence品質、鮮度、範囲、矛盾</x:v>
      </x:c>
      <x:c r="H27" s="88" t="str">
        <x:v>品質加重</x:v>
      </x:c>
      <x:c r="I27" s="88" t="str">
        <x:v>全Evidence</x:v>
      </x:c>
      <x:c r="J27" s="88" t="str">
        <x:v>L0～L3</x:v>
      </x:c>
      <x:c r="K27" s="88" t="str">
        <x:v>DQ-CONF-*</x:v>
      </x:c>
      <x:c r="L27" s="88" t="str">
        <x:v>常時</x:v>
      </x:c>
      <x:c r="M27" s="88" t="str">
        <x:v>必須</x:v>
      </x:c>
      <x:c r="N27" s="88" t="str">
        <x:v>正式診断</x:v>
      </x:c>
      <x:c r="O27" s="88" t="str">
        <x:v>レビュー中</x:v>
      </x:c>
      <x:c r="P27" s="52" t="str"/>
      <x:c r="Q27" s="117"/>
      <x:c r="R27" s="117"/>
      <x:c r="S27" s="117"/>
      <x:c r="T27" s="117"/>
      <x:c r="U27" s="117"/>
      <x:c r="V27" s="117"/>
      <x:c r="W27" s="117"/>
      <x:c r="X27" s="117"/>
      <x:c r="Y27" s="117"/>
      <x:c r="Z27" s="117"/>
    </x:row>
    <x:row r="28">
      <x:c r="A28" s="51" t="str">
        <x:v>R2-DQ-02</x:v>
      </x:c>
      <x:c r="B28" s="88" t="n">
        <x:v>2</x:v>
      </x:c>
      <x:c r="C28" s="88" t="str">
        <x:v>診断品質</x:v>
      </x:c>
      <x:c r="D28" s="88" t="str">
        <x:v>情報充足率の内訳</x:v>
      </x:c>
      <x:c r="E28" s="88" t="str">
        <x:v>カテゴリ別充足率</x:v>
      </x:c>
      <x:c r="F28" s="88" t="str">
        <x:v>不足領域を特定</x:v>
      </x:c>
      <x:c r="G28" s="88" t="str">
        <x:v>必須項目回答、資料、対象設備範囲</x:v>
      </x:c>
      <x:c r="H28" s="88" t="str">
        <x:v>カテゴリ別充足率</x:v>
      </x:c>
      <x:c r="I28" s="88" t="str">
        <x:v>全Evidence</x:v>
      </x:c>
      <x:c r="J28" s="88" t="str">
        <x:v>L1～L3</x:v>
      </x:c>
      <x:c r="K28" s="88" t="str">
        <x:v>DQ-COMP-*</x:v>
      </x:c>
      <x:c r="L28" s="88" t="str">
        <x:v>常時</x:v>
      </x:c>
      <x:c r="M28" s="88" t="str">
        <x:v>必須</x:v>
      </x:c>
      <x:c r="N28" s="88" t="str">
        <x:v>資料追加</x:v>
      </x:c>
      <x:c r="O28" s="88" t="str">
        <x:v>レビュー中</x:v>
      </x:c>
      <x:c r="P28" s="52" t="str"/>
      <x:c r="Q28" s="117"/>
      <x:c r="R28" s="117"/>
      <x:c r="S28" s="117"/>
      <x:c r="T28" s="117"/>
      <x:c r="U28" s="117"/>
      <x:c r="V28" s="117"/>
      <x:c r="W28" s="117"/>
      <x:c r="X28" s="117"/>
      <x:c r="Y28" s="117"/>
      <x:c r="Z28" s="117"/>
    </x:row>
    <x:row r="29">
      <x:c r="A29" s="51" t="str">
        <x:v>R2-EV-01</x:v>
      </x:c>
      <x:c r="B29" s="88" t="n">
        <x:v>2</x:v>
      </x:c>
      <x:c r="C29" s="88" t="str">
        <x:v>Evidence</x:v>
      </x:c>
      <x:c r="D29" s="88" t="str">
        <x:v>Evidence一覧</x:v>
      </x:c>
      <x:c r="E29" s="88" t="str">
        <x:v>一覧表</x:v>
      </x:c>
      <x:c r="F29" s="88" t="str">
        <x:v>根拠と確認状態を明示</x:v>
      </x:c>
      <x:c r="G29" s="88" t="str">
        <x:v>資料名、対象、日付、確認者</x:v>
      </x:c>
      <x:c r="H29" s="88" t="str">
        <x:v>状態分類</x:v>
      </x:c>
      <x:c r="I29" s="88" t="str">
        <x:v>全Evidence</x:v>
      </x:c>
      <x:c r="J29" s="88" t="str">
        <x:v>L0～L3</x:v>
      </x:c>
      <x:c r="K29" s="88" t="str">
        <x:v>DQ-EV-*</x:v>
      </x:c>
      <x:c r="L29" s="88" t="str">
        <x:v>1件以上</x:v>
      </x:c>
      <x:c r="M29" s="88" t="str">
        <x:v>必須</x:v>
      </x:c>
      <x:c r="N29" s="88" t="str">
        <x:v>資料追加</x:v>
      </x:c>
      <x:c r="O29" s="88" t="str">
        <x:v>レビュー中</x:v>
      </x:c>
      <x:c r="P29" s="52" t="str"/>
      <x:c r="Q29" s="117"/>
      <x:c r="R29" s="117"/>
      <x:c r="S29" s="117"/>
      <x:c r="T29" s="117"/>
      <x:c r="U29" s="117"/>
      <x:c r="V29" s="117"/>
      <x:c r="W29" s="117"/>
      <x:c r="X29" s="117"/>
      <x:c r="Y29" s="117"/>
      <x:c r="Z29" s="117"/>
    </x:row>
    <x:row r="30">
      <x:c r="A30" s="51" t="str">
        <x:v>R2-MISS-01</x:v>
      </x:c>
      <x:c r="B30" s="88" t="n">
        <x:v>2</x:v>
      </x:c>
      <x:c r="C30" s="88" t="str">
        <x:v>不足情報</x:v>
      </x:c>
      <x:c r="D30" s="88" t="str">
        <x:v>不足情報一覧</x:v>
      </x:c>
      <x:c r="E30" s="88" t="str">
        <x:v>最大10件</x:v>
      </x:c>
      <x:c r="F30" s="88" t="str">
        <x:v>追加確認事項を明示</x:v>
      </x:c>
      <x:c r="G30" s="88" t="str">
        <x:v>未回答、分からない、未添付</x:v>
      </x:c>
      <x:c r="H30" s="88" t="str">
        <x:v>不足重要度順</x:v>
      </x:c>
      <x:c r="I30" s="88" t="str">
        <x:v>不足Evidence</x:v>
      </x:c>
      <x:c r="J30" s="88" t="str">
        <x:v>L1</x:v>
      </x:c>
      <x:c r="K30" s="88" t="str">
        <x:v>MISS-*</x:v>
      </x:c>
      <x:c r="L30" s="88" t="str">
        <x:v>1件以上</x:v>
      </x:c>
      <x:c r="M30" s="88" t="str">
        <x:v>条件</x:v>
      </x:c>
      <x:c r="N30" s="88" t="str">
        <x:v>資料追加</x:v>
      </x:c>
      <x:c r="O30" s="88" t="str">
        <x:v>レビュー中</x:v>
      </x:c>
      <x:c r="P30" s="52" t="str"/>
      <x:c r="Q30" s="117"/>
      <x:c r="R30" s="117"/>
      <x:c r="S30" s="117"/>
      <x:c r="T30" s="117"/>
      <x:c r="U30" s="117"/>
      <x:c r="V30" s="117"/>
      <x:c r="W30" s="117"/>
      <x:c r="X30" s="117"/>
      <x:c r="Y30" s="117"/>
      <x:c r="Z30" s="117"/>
    </x:row>
    <x:row r="31">
      <x:c r="A31" s="51" t="str">
        <x:v>R2-CONS-01</x:v>
      </x:c>
      <x:c r="B31" s="88" t="n">
        <x:v>2</x:v>
      </x:c>
      <x:c r="C31" s="88" t="str">
        <x:v>整合性</x:v>
      </x:c>
      <x:c r="D31" s="88" t="str">
        <x:v>回答整合性・判定停止</x:v>
      </x:c>
      <x:c r="E31" s="88" t="str">
        <x:v>警告一覧</x:v>
      </x:c>
      <x:c r="F31" s="88" t="str">
        <x:v>矛盾を明示し断定を停止</x:v>
      </x:c>
      <x:c r="G31" s="88" t="str">
        <x:v>質問間矛盾、資料との不一致</x:v>
      </x:c>
      <x:c r="H31" s="88" t="str">
        <x:v>矛盾ルール</x:v>
      </x:c>
      <x:c r="I31" s="88" t="str">
        <x:v>矛盾対象資料</x:v>
      </x:c>
      <x:c r="J31" s="88" t="str">
        <x:v>L0</x:v>
      </x:c>
      <x:c r="K31" s="88" t="str">
        <x:v>CONS-*</x:v>
      </x:c>
      <x:c r="L31" s="88" t="str">
        <x:v>矛盾時</x:v>
      </x:c>
      <x:c r="M31" s="88" t="str">
        <x:v>最優先</x:v>
      </x:c>
      <x:c r="N31" s="88" t="str">
        <x:v>再回答依頼</x:v>
      </x:c>
      <x:c r="O31" s="88" t="str">
        <x:v>レビュー中</x:v>
      </x:c>
      <x:c r="P31" s="52" t="str"/>
      <x:c r="Q31" s="117"/>
      <x:c r="R31" s="117"/>
      <x:c r="S31" s="117"/>
      <x:c r="T31" s="117"/>
      <x:c r="U31" s="117"/>
      <x:c r="V31" s="117"/>
      <x:c r="W31" s="117"/>
      <x:c r="X31" s="117"/>
      <x:c r="Y31" s="117"/>
      <x:c r="Z31" s="117"/>
    </x:row>
    <x:row r="32">
      <x:c r="A32" s="51" t="str">
        <x:v>R2-OPN-01</x:v>
      </x:c>
      <x:c r="B32" s="88" t="n">
        <x:v>2</x:v>
      </x:c>
      <x:c r="C32" s="88" t="str">
        <x:v>総合所見</x:v>
      </x:c>
      <x:c r="D32" s="88" t="str">
        <x:v>総合所見</x:v>
      </x:c>
      <x:c r="E32" s="88" t="str">
        <x:v>3～5段落</x:v>
      </x:c>
      <x:c r="F32" s="88" t="str">
        <x:v>状態・リスク・判断条件を統合</x:v>
      </x:c>
      <x:c r="G32" s="88" t="str">
        <x:v>KPI、Guardrail、TOP課題、品質</x:v>
      </x:c>
      <x:c r="H32" s="88" t="str">
        <x:v>承認済みコメント選択・接続</x:v>
      </x:c>
      <x:c r="I32" s="88" t="str">
        <x:v>課題別Evidence</x:v>
      </x:c>
      <x:c r="J32" s="88" t="str">
        <x:v>L0～L3</x:v>
      </x:c>
      <x:c r="K32" s="88" t="str">
        <x:v>OPN-*</x:v>
      </x:c>
      <x:c r="L32" s="88" t="str">
        <x:v>常時</x:v>
      </x:c>
      <x:c r="M32" s="88" t="str">
        <x:v>必須</x:v>
      </x:c>
      <x:c r="N32" s="88" t="str">
        <x:v>個別相談</x:v>
      </x:c>
      <x:c r="O32" s="88" t="str">
        <x:v>レビュー中</x:v>
      </x:c>
      <x:c r="P32" s="52" t="str">
        <x:v>AIは整文のみ</x:v>
      </x:c>
      <x:c r="Q32" s="117"/>
      <x:c r="R32" s="117"/>
      <x:c r="S32" s="117"/>
      <x:c r="T32" s="117"/>
      <x:c r="U32" s="117"/>
      <x:c r="V32" s="117"/>
      <x:c r="W32" s="117"/>
      <x:c r="X32" s="117"/>
      <x:c r="Y32" s="117"/>
      <x:c r="Z32" s="117"/>
    </x:row>
    <x:row r="33">
      <x:c r="A33" s="51" t="str">
        <x:v>R2-REC-01</x:v>
      </x:c>
      <x:c r="B33" s="88" t="n">
        <x:v>2</x:v>
      </x:c>
      <x:c r="C33" s="88" t="str">
        <x:v>推奨判断</x:v>
      </x:c>
      <x:c r="D33" s="88" t="str">
        <x:v>推奨判断・代替案</x:v>
      </x:c>
      <x:c r="E33" s="88" t="str">
        <x:v>推奨1案＋代替最大2案</x:v>
      </x:c>
      <x:c r="F33" s="88" t="str">
        <x:v>意思決定の方向を示す</x:v>
      </x:c>
      <x:c r="G33" s="88" t="str">
        <x:v>DRI、EPI、投資比較、停止・予算</x:v>
      </x:c>
      <x:c r="H33" s="88" t="str">
        <x:v>ルールベース</x:v>
      </x:c>
      <x:c r="I33" s="88" t="str">
        <x:v>見積・条件資料</x:v>
      </x:c>
      <x:c r="J33" s="88" t="str">
        <x:v>L1～L3</x:v>
      </x:c>
      <x:c r="K33" s="88" t="str">
        <x:v>REC-*</x:v>
      </x:c>
      <x:c r="L33" s="88" t="str">
        <x:v>常時</x:v>
      </x:c>
      <x:c r="M33" s="88" t="str">
        <x:v>必須</x:v>
      </x:c>
      <x:c r="N33" s="88" t="str">
        <x:v>概算見積</x:v>
      </x:c>
      <x:c r="O33" s="88" t="str">
        <x:v>レビュー中</x:v>
      </x:c>
      <x:c r="P33" s="52" t="str"/>
      <x:c r="Q33" s="117"/>
      <x:c r="R33" s="117"/>
      <x:c r="S33" s="117"/>
      <x:c r="T33" s="117"/>
      <x:c r="U33" s="117"/>
      <x:c r="V33" s="117"/>
      <x:c r="W33" s="117"/>
      <x:c r="X33" s="117"/>
      <x:c r="Y33" s="117"/>
      <x:c r="Z33" s="117"/>
    </x:row>
    <x:row r="34">
      <x:c r="A34" s="53" t="str">
        <x:v>R2-UPD-01</x:v>
      </x:c>
      <x:c r="B34" s="89" t="n">
        <x:v>2</x:v>
      </x:c>
      <x:c r="C34" s="89" t="str">
        <x:v>更新条件</x:v>
      </x:c>
      <x:c r="D34" s="89" t="str">
        <x:v>次回更新条件</x:v>
      </x:c>
      <x:c r="E34" s="89" t="str">
        <x:v>箇条書き</x:v>
      </x:c>
      <x:c r="F34" s="89" t="str">
        <x:v>診断精度を上げる条件を示す</x:v>
      </x:c>
      <x:c r="G34" s="89" t="str">
        <x:v>不足情報、矛盾、期限</x:v>
      </x:c>
      <x:c r="H34" s="89" t="str">
        <x:v>不足・矛盾から抽出</x:v>
      </x:c>
      <x:c r="I34" s="89" t="str">
        <x:v>追加資料</x:v>
      </x:c>
      <x:c r="J34" s="89" t="str">
        <x:v>L0～L2</x:v>
      </x:c>
      <x:c r="K34" s="89" t="str">
        <x:v>UPD-*</x:v>
      </x:c>
      <x:c r="L34" s="89" t="str">
        <x:v>常時</x:v>
      </x:c>
      <x:c r="M34" s="89" t="str">
        <x:v>必須</x:v>
      </x:c>
      <x:c r="N34" s="89" t="str">
        <x:v>再診断</x:v>
      </x:c>
      <x:c r="O34" s="89" t="str">
        <x:v>レビュー中</x:v>
      </x:c>
      <x:c r="P34" s="54" t="str"/>
      <x:c r="Q34" s="117"/>
      <x:c r="R34" s="117"/>
      <x:c r="S34" s="117"/>
      <x:c r="T34" s="117"/>
      <x:c r="U34" s="117"/>
      <x:c r="V34" s="117"/>
      <x:c r="W34" s="117"/>
      <x:c r="X34" s="117"/>
      <x:c r="Y34" s="117"/>
      <x:c r="Z34" s="117"/>
    </x:row>
    <x:row r="35">
      <x:c r="A35" s="117" t="str">
        <x:v>R2-DIS-01</x:v>
      </x:c>
      <x:c r="B35" s="117" t="n">
        <x:v>2</x:v>
      </x:c>
      <x:c r="C35" s="117" t="str">
        <x:v>脚注</x:v>
      </x:c>
      <x:c r="D35" s="117" t="str">
        <x:v>免責・診断範囲</x:v>
      </x:c>
      <x:c r="E35" s="117" t="str">
        <x:v>定型＋可変注記</x:v>
      </x:c>
      <x:c r="F35" s="117" t="str">
        <x:v>自己診断と正式診断の差異を明示</x:v>
      </x:c>
      <x:c r="G35" s="117" t="str">
        <x:v>診断レベル、未確認範囲</x:v>
      </x:c>
      <x:c r="H35" s="117" t="str">
        <x:v>テンプレート＋可変注記</x:v>
      </x:c>
      <x:c r="I35" s="117" t="str">
        <x:v>なし</x:v>
      </x:c>
      <x:c r="J35" s="117" t="str">
        <x:v>L0～L3</x:v>
      </x:c>
      <x:c r="K35" s="117" t="str">
        <x:v>DIS-*</x:v>
      </x:c>
      <x:c r="L35" s="117" t="str">
        <x:v>常時</x:v>
      </x:c>
      <x:c r="M35" s="117" t="str">
        <x:v>必須</x:v>
      </x:c>
      <x:c r="N35" s="117" t="str">
        <x:v>正式診断</x:v>
      </x:c>
      <x:c r="O35" s="117" t="str">
        <x:v>要設計</x:v>
      </x:c>
      <x:c r="P35" s="117" t="str"/>
      <x:c r="Q35" s="117"/>
      <x:c r="R35" s="117"/>
      <x:c r="S35" s="117"/>
      <x:c r="T35" s="117"/>
      <x:c r="U35" s="117"/>
      <x:c r="V35" s="117"/>
      <x:c r="W35" s="117"/>
      <x:c r="X35" s="117"/>
      <x:c r="Y35" s="117"/>
      <x:c r="Z35" s="117"/>
    </x:row>
    <x:row r="36">
      <x:c r="A36" s="117"/>
      <x:c r="B36" s="117"/>
      <x:c r="C36" s="117"/>
      <x:c r="D36" s="117"/>
      <x:c r="E36" s="117"/>
      <x:c r="F36" s="117"/>
      <x:c r="G36" s="117"/>
      <x:c r="H36" s="117"/>
      <x:c r="I36" s="117"/>
      <x:c r="J36" s="117"/>
      <x:c r="K36" s="117"/>
      <x:c r="L36" s="117"/>
      <x:c r="M36" s="117"/>
      <x:c r="N36" s="117"/>
      <x:c r="O36" s="117"/>
      <x:c r="P36" s="117"/>
      <x:c r="Q36" s="117"/>
      <x:c r="R36" s="117"/>
      <x:c r="S36" s="117"/>
      <x:c r="T36" s="117"/>
      <x:c r="U36" s="117"/>
      <x:c r="V36" s="117"/>
      <x:c r="W36" s="117"/>
      <x:c r="X36" s="117"/>
      <x:c r="Y36" s="117"/>
      <x:c r="Z36" s="117"/>
    </x:row>
    <x:row r="37">
      <x:c r="A37" s="117"/>
      <x:c r="B37" s="117"/>
      <x:c r="C37" s="117"/>
      <x:c r="D37" s="117"/>
      <x:c r="E37" s="117"/>
      <x:c r="F37" s="117"/>
      <x:c r="G37" s="117"/>
      <x:c r="H37" s="117"/>
      <x:c r="I37" s="117"/>
      <x:c r="J37" s="117"/>
      <x:c r="K37" s="117"/>
      <x:c r="L37" s="117"/>
      <x:c r="M37" s="117"/>
      <x:c r="N37" s="117"/>
      <x:c r="O37" s="117"/>
      <x:c r="P37" s="117"/>
      <x:c r="Q37" s="117"/>
      <x:c r="R37" s="117"/>
      <x:c r="S37" s="117"/>
      <x:c r="T37" s="117"/>
      <x:c r="U37" s="117"/>
      <x:c r="V37" s="117"/>
      <x:c r="W37" s="117"/>
      <x:c r="X37" s="117"/>
      <x:c r="Y37" s="117"/>
      <x:c r="Z37" s="117"/>
    </x:row>
    <x:row r="38">
      <x:c r="A38" s="117"/>
      <x:c r="B38" s="117"/>
      <x:c r="C38" s="117"/>
      <x:c r="D38" s="117"/>
      <x:c r="E38" s="117"/>
      <x:c r="F38" s="117"/>
      <x:c r="G38" s="117"/>
      <x:c r="H38" s="117"/>
      <x:c r="I38" s="117"/>
      <x:c r="J38" s="117"/>
      <x:c r="K38" s="117"/>
      <x:c r="L38" s="117"/>
      <x:c r="M38" s="117"/>
      <x:c r="N38" s="117"/>
      <x:c r="O38" s="117"/>
      <x:c r="P38" s="117"/>
      <x:c r="Q38" s="117"/>
      <x:c r="R38" s="117"/>
      <x:c r="S38" s="117"/>
      <x:c r="T38" s="117"/>
      <x:c r="U38" s="117"/>
      <x:c r="V38" s="117"/>
      <x:c r="W38" s="117"/>
      <x:c r="X38" s="117"/>
      <x:c r="Y38" s="117"/>
      <x:c r="Z38" s="117"/>
    </x:row>
    <x:row r="39">
      <x:c r="A39" s="117"/>
      <x:c r="B39" s="117"/>
      <x:c r="C39" s="117"/>
      <x:c r="D39" s="117"/>
      <x:c r="E39" s="117"/>
      <x:c r="F39" s="117"/>
      <x:c r="G39" s="117"/>
      <x:c r="H39" s="117"/>
      <x:c r="I39" s="117"/>
      <x:c r="J39" s="117"/>
      <x:c r="K39" s="117"/>
      <x:c r="L39" s="117"/>
      <x:c r="M39" s="117"/>
      <x:c r="N39" s="117"/>
      <x:c r="O39" s="117"/>
      <x:c r="P39" s="117"/>
      <x:c r="Q39" s="117"/>
      <x:c r="R39" s="117"/>
      <x:c r="S39" s="117"/>
      <x:c r="T39" s="117"/>
      <x:c r="U39" s="117"/>
      <x:c r="V39" s="117"/>
      <x:c r="W39" s="117"/>
      <x:c r="X39" s="117"/>
      <x:c r="Y39" s="117"/>
      <x:c r="Z39" s="117"/>
    </x:row>
    <x:row r="40">
      <x:c r="A40" s="117"/>
      <x:c r="B40" s="117"/>
      <x:c r="C40" s="117"/>
      <x:c r="D40" s="117"/>
      <x:c r="E40" s="117"/>
      <x:c r="F40" s="117"/>
      <x:c r="G40" s="117"/>
      <x:c r="H40" s="117"/>
      <x:c r="I40" s="117"/>
      <x:c r="J40" s="117"/>
      <x:c r="K40" s="117"/>
      <x:c r="L40" s="117"/>
      <x:c r="M40" s="117"/>
      <x:c r="N40" s="117"/>
      <x:c r="O40" s="117"/>
      <x:c r="P40" s="117"/>
      <x:c r="Q40" s="117"/>
      <x:c r="R40" s="117"/>
      <x:c r="S40" s="117"/>
      <x:c r="T40" s="117"/>
      <x:c r="U40" s="117"/>
      <x:c r="V40" s="117"/>
      <x:c r="W40" s="117"/>
      <x:c r="X40" s="117"/>
      <x:c r="Y40" s="117"/>
      <x:c r="Z40" s="117"/>
    </x:row>
    <x:row r="41">
      <x:c r="A41" s="117"/>
      <x:c r="B41" s="117"/>
      <x:c r="C41" s="117"/>
      <x:c r="D41" s="117"/>
      <x:c r="E41" s="117"/>
      <x:c r="F41" s="117"/>
      <x:c r="G41" s="117"/>
      <x:c r="H41" s="117"/>
      <x:c r="I41" s="117"/>
      <x:c r="J41" s="117"/>
      <x:c r="K41" s="117"/>
      <x:c r="L41" s="117"/>
      <x:c r="M41" s="117"/>
      <x:c r="N41" s="117"/>
      <x:c r="O41" s="117"/>
      <x:c r="P41" s="117"/>
      <x:c r="Q41" s="117"/>
      <x:c r="R41" s="117"/>
      <x:c r="S41" s="117"/>
      <x:c r="T41" s="117"/>
      <x:c r="U41" s="117"/>
      <x:c r="V41" s="117"/>
      <x:c r="W41" s="117"/>
      <x:c r="X41" s="117"/>
      <x:c r="Y41" s="117"/>
      <x:c r="Z41" s="117"/>
    </x:row>
    <x:row r="42">
      <x:c r="A42" s="117"/>
      <x:c r="B42" s="117"/>
      <x:c r="C42" s="117"/>
      <x:c r="D42" s="117"/>
      <x:c r="E42" s="117"/>
      <x:c r="F42" s="117"/>
      <x:c r="G42" s="117"/>
      <x:c r="H42" s="117"/>
      <x:c r="I42" s="117"/>
      <x:c r="J42" s="117"/>
      <x:c r="K42" s="117"/>
      <x:c r="L42" s="117"/>
      <x:c r="M42" s="117"/>
      <x:c r="N42" s="117"/>
      <x:c r="O42" s="117"/>
      <x:c r="P42" s="117"/>
      <x:c r="Q42" s="117"/>
      <x:c r="R42" s="117"/>
      <x:c r="S42" s="117"/>
      <x:c r="T42" s="117"/>
      <x:c r="U42" s="117"/>
      <x:c r="V42" s="117"/>
      <x:c r="W42" s="117"/>
      <x:c r="X42" s="117"/>
      <x:c r="Y42" s="117"/>
      <x:c r="Z42" s="117"/>
    </x:row>
    <x:row r="43">
      <x:c r="A43" s="117"/>
      <x:c r="B43" s="117"/>
      <x:c r="C43" s="117"/>
      <x:c r="D43" s="117"/>
      <x:c r="E43" s="117"/>
      <x:c r="F43" s="117"/>
      <x:c r="G43" s="117"/>
      <x:c r="H43" s="117"/>
      <x:c r="I43" s="117"/>
      <x:c r="J43" s="117"/>
      <x:c r="K43" s="117"/>
      <x:c r="L43" s="117"/>
      <x:c r="M43" s="117"/>
      <x:c r="N43" s="117"/>
      <x:c r="O43" s="117"/>
      <x:c r="P43" s="117"/>
      <x:c r="Q43" s="117"/>
      <x:c r="R43" s="117"/>
      <x:c r="S43" s="117"/>
      <x:c r="T43" s="117"/>
      <x:c r="U43" s="117"/>
      <x:c r="V43" s="117"/>
      <x:c r="W43" s="117"/>
      <x:c r="X43" s="117"/>
      <x:c r="Y43" s="117"/>
      <x:c r="Z43" s="117"/>
    </x:row>
    <x:row r="44">
      <x:c r="A44" s="117"/>
      <x:c r="B44" s="117"/>
      <x:c r="C44" s="117"/>
      <x:c r="D44" s="117"/>
      <x:c r="E44" s="117"/>
      <x:c r="F44" s="117"/>
      <x:c r="G44" s="117"/>
      <x:c r="H44" s="117"/>
      <x:c r="I44" s="117"/>
      <x:c r="J44" s="117"/>
      <x:c r="K44" s="117"/>
      <x:c r="L44" s="117"/>
      <x:c r="M44" s="117"/>
      <x:c r="N44" s="117"/>
      <x:c r="O44" s="117"/>
      <x:c r="P44" s="117"/>
      <x:c r="Q44" s="117"/>
      <x:c r="R44" s="117"/>
      <x:c r="S44" s="117"/>
      <x:c r="T44" s="117"/>
      <x:c r="U44" s="117"/>
      <x:c r="V44" s="117"/>
      <x:c r="W44" s="117"/>
      <x:c r="X44" s="117"/>
      <x:c r="Y44" s="117"/>
      <x:c r="Z44" s="117"/>
    </x:row>
    <x:row r="45">
      <x:c r="A45" s="117"/>
      <x:c r="B45" s="117"/>
      <x:c r="C45" s="117"/>
      <x:c r="D45" s="117"/>
      <x:c r="E45" s="117"/>
      <x:c r="F45" s="117"/>
      <x:c r="G45" s="117"/>
      <x:c r="H45" s="117"/>
      <x:c r="I45" s="117"/>
      <x:c r="J45" s="117"/>
      <x:c r="K45" s="117"/>
      <x:c r="L45" s="117"/>
      <x:c r="M45" s="117"/>
      <x:c r="N45" s="117"/>
      <x:c r="O45" s="117"/>
      <x:c r="P45" s="117"/>
      <x:c r="Q45" s="117"/>
      <x:c r="R45" s="117"/>
      <x:c r="S45" s="117"/>
      <x:c r="T45" s="117"/>
      <x:c r="U45" s="117"/>
      <x:c r="V45" s="117"/>
      <x:c r="W45" s="117"/>
      <x:c r="X45" s="117"/>
      <x:c r="Y45" s="117"/>
      <x:c r="Z45" s="117"/>
    </x:row>
    <x:row r="46">
      <x:c r="A46" s="117"/>
      <x:c r="B46" s="117"/>
      <x:c r="C46" s="117"/>
      <x:c r="D46" s="117"/>
      <x:c r="E46" s="117"/>
      <x:c r="F46" s="117"/>
      <x:c r="G46" s="117"/>
      <x:c r="H46" s="117"/>
      <x:c r="I46" s="117"/>
      <x:c r="J46" s="117"/>
      <x:c r="K46" s="117"/>
      <x:c r="L46" s="117"/>
      <x:c r="M46" s="117"/>
      <x:c r="N46" s="117"/>
      <x:c r="O46" s="117"/>
      <x:c r="P46" s="117"/>
      <x:c r="Q46" s="117"/>
      <x:c r="R46" s="117"/>
      <x:c r="S46" s="117"/>
      <x:c r="T46" s="117"/>
      <x:c r="U46" s="117"/>
      <x:c r="V46" s="117"/>
      <x:c r="W46" s="117"/>
      <x:c r="X46" s="117"/>
      <x:c r="Y46" s="117"/>
      <x:c r="Z46" s="117"/>
    </x:row>
    <x:row r="47">
      <x:c r="A47" s="117"/>
      <x:c r="B47" s="117"/>
      <x:c r="C47" s="117"/>
      <x:c r="D47" s="117"/>
      <x:c r="E47" s="117"/>
      <x:c r="F47" s="117"/>
      <x:c r="G47" s="117"/>
      <x:c r="H47" s="117"/>
      <x:c r="I47" s="117"/>
      <x:c r="J47" s="117"/>
      <x:c r="K47" s="117"/>
      <x:c r="L47" s="117"/>
      <x:c r="M47" s="117"/>
      <x:c r="N47" s="117"/>
      <x:c r="O47" s="117"/>
      <x:c r="P47" s="117"/>
      <x:c r="Q47" s="117"/>
      <x:c r="R47" s="117"/>
      <x:c r="S47" s="117"/>
      <x:c r="T47" s="117"/>
      <x:c r="U47" s="117"/>
      <x:c r="V47" s="117"/>
      <x:c r="W47" s="117"/>
      <x:c r="X47" s="117"/>
      <x:c r="Y47" s="117"/>
      <x:c r="Z47" s="117"/>
    </x:row>
    <x:row r="48">
      <x:c r="A48" s="117"/>
      <x:c r="B48" s="117"/>
      <x:c r="C48" s="117"/>
      <x:c r="D48" s="117"/>
      <x:c r="E48" s="117"/>
      <x:c r="F48" s="117"/>
      <x:c r="G48" s="117"/>
      <x:c r="H48" s="117"/>
      <x:c r="I48" s="117"/>
      <x:c r="J48" s="117"/>
      <x:c r="K48" s="117"/>
      <x:c r="L48" s="117"/>
      <x:c r="M48" s="117"/>
      <x:c r="N48" s="117"/>
      <x:c r="O48" s="117"/>
      <x:c r="P48" s="117"/>
      <x:c r="Q48" s="117"/>
      <x:c r="R48" s="117"/>
      <x:c r="S48" s="117"/>
      <x:c r="T48" s="117"/>
      <x:c r="U48" s="117"/>
      <x:c r="V48" s="117"/>
      <x:c r="W48" s="117"/>
      <x:c r="X48" s="117"/>
      <x:c r="Y48" s="117"/>
      <x:c r="Z48" s="117"/>
    </x:row>
    <x:row r="49">
      <x:c r="A49" s="117"/>
      <x:c r="B49" s="117"/>
      <x:c r="C49" s="117"/>
      <x:c r="D49" s="117"/>
      <x:c r="E49" s="117"/>
      <x:c r="F49" s="117"/>
      <x:c r="G49" s="117"/>
      <x:c r="H49" s="117"/>
      <x:c r="I49" s="117"/>
      <x:c r="J49" s="117"/>
      <x:c r="K49" s="117"/>
      <x:c r="L49" s="117"/>
      <x:c r="M49" s="117"/>
      <x:c r="N49" s="117"/>
      <x:c r="O49" s="117"/>
      <x:c r="P49" s="117"/>
      <x:c r="Q49" s="117"/>
      <x:c r="R49" s="117"/>
      <x:c r="S49" s="117"/>
      <x:c r="T49" s="117"/>
      <x:c r="U49" s="117"/>
      <x:c r="V49" s="117"/>
      <x:c r="W49" s="117"/>
      <x:c r="X49" s="117"/>
      <x:c r="Y49" s="117"/>
      <x:c r="Z49" s="117"/>
    </x:row>
    <x:row r="50">
      <x:c r="A50" s="117"/>
      <x:c r="B50" s="117"/>
      <x:c r="C50" s="117"/>
      <x:c r="D50" s="117"/>
      <x:c r="E50" s="117"/>
      <x:c r="F50" s="117"/>
      <x:c r="G50" s="117"/>
      <x:c r="H50" s="117"/>
      <x:c r="I50" s="117"/>
      <x:c r="J50" s="117"/>
      <x:c r="K50" s="117"/>
      <x:c r="L50" s="117"/>
      <x:c r="M50" s="117"/>
      <x:c r="N50" s="117"/>
      <x:c r="O50" s="117"/>
      <x:c r="P50" s="117"/>
      <x:c r="Q50" s="117"/>
      <x:c r="R50" s="117"/>
      <x:c r="S50" s="117"/>
      <x:c r="T50" s="117"/>
      <x:c r="U50" s="117"/>
      <x:c r="V50" s="117"/>
      <x:c r="W50" s="117"/>
      <x:c r="X50" s="117"/>
      <x:c r="Y50" s="117"/>
      <x:c r="Z50" s="117"/>
    </x:row>
    <x:row r="51">
      <x:c r="A51" s="117"/>
      <x:c r="B51" s="117"/>
      <x:c r="C51" s="117"/>
      <x:c r="D51" s="117"/>
      <x:c r="E51" s="117"/>
      <x:c r="F51" s="117"/>
      <x:c r="G51" s="117"/>
      <x:c r="H51" s="117"/>
      <x:c r="I51" s="117"/>
      <x:c r="J51" s="117"/>
      <x:c r="K51" s="117"/>
      <x:c r="L51" s="117"/>
      <x:c r="M51" s="117"/>
      <x:c r="N51" s="117"/>
      <x:c r="O51" s="117"/>
      <x:c r="P51" s="117"/>
      <x:c r="Q51" s="117"/>
      <x:c r="R51" s="117"/>
      <x:c r="S51" s="117"/>
      <x:c r="T51" s="117"/>
      <x:c r="U51" s="117"/>
      <x:c r="V51" s="117"/>
      <x:c r="W51" s="117"/>
      <x:c r="X51" s="117"/>
      <x:c r="Y51" s="117"/>
      <x:c r="Z51" s="117"/>
    </x:row>
    <x:row r="52">
      <x:c r="A52" s="117"/>
      <x:c r="B52" s="117"/>
      <x:c r="C52" s="117"/>
      <x:c r="D52" s="117"/>
      <x:c r="E52" s="117"/>
      <x:c r="F52" s="117"/>
      <x:c r="G52" s="117"/>
      <x:c r="H52" s="117"/>
      <x:c r="I52" s="117"/>
      <x:c r="J52" s="117"/>
      <x:c r="K52" s="117"/>
      <x:c r="L52" s="117"/>
      <x:c r="M52" s="117"/>
      <x:c r="N52" s="117"/>
      <x:c r="O52" s="117"/>
      <x:c r="P52" s="117"/>
      <x:c r="Q52" s="117"/>
      <x:c r="R52" s="117"/>
      <x:c r="S52" s="117"/>
      <x:c r="T52" s="117"/>
      <x:c r="U52" s="117"/>
      <x:c r="V52" s="117"/>
      <x:c r="W52" s="117"/>
      <x:c r="X52" s="117"/>
      <x:c r="Y52" s="117"/>
      <x:c r="Z52" s="117"/>
    </x:row>
    <x:row r="53">
      <x:c r="A53" s="117"/>
      <x:c r="B53" s="117"/>
      <x:c r="C53" s="117"/>
      <x:c r="D53" s="117"/>
      <x:c r="E53" s="117"/>
      <x:c r="F53" s="117"/>
      <x:c r="G53" s="117"/>
      <x:c r="H53" s="117"/>
      <x:c r="I53" s="117"/>
      <x:c r="J53" s="117"/>
      <x:c r="K53" s="117"/>
      <x:c r="L53" s="117"/>
      <x:c r="M53" s="117"/>
      <x:c r="N53" s="117"/>
      <x:c r="O53" s="117"/>
      <x:c r="P53" s="117"/>
      <x:c r="Q53" s="117"/>
      <x:c r="R53" s="117"/>
      <x:c r="S53" s="117"/>
      <x:c r="T53" s="117"/>
      <x:c r="U53" s="117"/>
      <x:c r="V53" s="117"/>
      <x:c r="W53" s="117"/>
      <x:c r="X53" s="117"/>
      <x:c r="Y53" s="117"/>
      <x:c r="Z53" s="117"/>
    </x:row>
    <x:row r="54">
      <x:c r="A54" s="117"/>
      <x:c r="B54" s="117"/>
      <x:c r="C54" s="117"/>
      <x:c r="D54" s="117"/>
      <x:c r="E54" s="117"/>
      <x:c r="F54" s="117"/>
      <x:c r="G54" s="117"/>
      <x:c r="H54" s="117"/>
      <x:c r="I54" s="117"/>
      <x:c r="J54" s="117"/>
      <x:c r="K54" s="117"/>
      <x:c r="L54" s="117"/>
      <x:c r="M54" s="117"/>
      <x:c r="N54" s="117"/>
      <x:c r="O54" s="117"/>
      <x:c r="P54" s="117"/>
      <x:c r="Q54" s="117"/>
      <x:c r="R54" s="117"/>
      <x:c r="S54" s="117"/>
      <x:c r="T54" s="117"/>
      <x:c r="U54" s="117"/>
      <x:c r="V54" s="117"/>
      <x:c r="W54" s="117"/>
      <x:c r="X54" s="117"/>
      <x:c r="Y54" s="117"/>
      <x:c r="Z54" s="117"/>
    </x:row>
    <x:row r="55">
      <x:c r="A55" s="117"/>
      <x:c r="B55" s="117"/>
      <x:c r="C55" s="117"/>
      <x:c r="D55" s="117"/>
      <x:c r="E55" s="117"/>
      <x:c r="F55" s="117"/>
      <x:c r="G55" s="117"/>
      <x:c r="H55" s="117"/>
      <x:c r="I55" s="117"/>
      <x:c r="J55" s="117"/>
      <x:c r="K55" s="117"/>
      <x:c r="L55" s="117"/>
      <x:c r="M55" s="117"/>
      <x:c r="N55" s="117"/>
      <x:c r="O55" s="117"/>
      <x:c r="P55" s="117"/>
      <x:c r="Q55" s="117"/>
      <x:c r="R55" s="117"/>
      <x:c r="S55" s="117"/>
      <x:c r="T55" s="117"/>
      <x:c r="U55" s="117"/>
      <x:c r="V55" s="117"/>
      <x:c r="W55" s="117"/>
      <x:c r="X55" s="117"/>
      <x:c r="Y55" s="117"/>
      <x:c r="Z55" s="117"/>
    </x:row>
    <x:row r="56">
      <x:c r="A56" s="117"/>
      <x:c r="B56" s="117"/>
      <x:c r="C56" s="117"/>
      <x:c r="D56" s="117"/>
      <x:c r="E56" s="117"/>
      <x:c r="F56" s="117"/>
      <x:c r="G56" s="117"/>
      <x:c r="H56" s="117"/>
      <x:c r="I56" s="117"/>
      <x:c r="J56" s="117"/>
      <x:c r="K56" s="117"/>
      <x:c r="L56" s="117"/>
      <x:c r="M56" s="117"/>
      <x:c r="N56" s="117"/>
      <x:c r="O56" s="117"/>
      <x:c r="P56" s="117"/>
      <x:c r="Q56" s="117"/>
      <x:c r="R56" s="117"/>
      <x:c r="S56" s="117"/>
      <x:c r="T56" s="117"/>
      <x:c r="U56" s="117"/>
      <x:c r="V56" s="117"/>
      <x:c r="W56" s="117"/>
      <x:c r="X56" s="117"/>
      <x:c r="Y56" s="117"/>
      <x:c r="Z56" s="117"/>
    </x:row>
    <x:row r="57">
      <x:c r="A57" s="117"/>
      <x:c r="B57" s="117"/>
      <x:c r="C57" s="117"/>
      <x:c r="D57" s="117"/>
      <x:c r="E57" s="117"/>
      <x:c r="F57" s="117"/>
      <x:c r="G57" s="117"/>
      <x:c r="H57" s="117"/>
      <x:c r="I57" s="117"/>
      <x:c r="J57" s="117"/>
      <x:c r="K57" s="117"/>
      <x:c r="L57" s="117"/>
      <x:c r="M57" s="117"/>
      <x:c r="N57" s="117"/>
      <x:c r="O57" s="117"/>
      <x:c r="P57" s="117"/>
      <x:c r="Q57" s="117"/>
      <x:c r="R57" s="117"/>
      <x:c r="S57" s="117"/>
      <x:c r="T57" s="117"/>
      <x:c r="U57" s="117"/>
      <x:c r="V57" s="117"/>
      <x:c r="W57" s="117"/>
      <x:c r="X57" s="117"/>
      <x:c r="Y57" s="117"/>
      <x:c r="Z57" s="117"/>
    </x:row>
    <x:row r="58">
      <x:c r="A58" s="117"/>
      <x:c r="B58" s="117"/>
      <x:c r="C58" s="117"/>
      <x:c r="D58" s="117"/>
      <x:c r="E58" s="117"/>
      <x:c r="F58" s="117"/>
      <x:c r="G58" s="117"/>
      <x:c r="H58" s="117"/>
      <x:c r="I58" s="117"/>
      <x:c r="J58" s="117"/>
      <x:c r="K58" s="117"/>
      <x:c r="L58" s="117"/>
      <x:c r="M58" s="117"/>
      <x:c r="N58" s="117"/>
      <x:c r="O58" s="117"/>
      <x:c r="P58" s="117"/>
      <x:c r="Q58" s="117"/>
      <x:c r="R58" s="117"/>
      <x:c r="S58" s="117"/>
      <x:c r="T58" s="117"/>
      <x:c r="U58" s="117"/>
      <x:c r="V58" s="117"/>
      <x:c r="W58" s="117"/>
      <x:c r="X58" s="117"/>
      <x:c r="Y58" s="117"/>
      <x:c r="Z58" s="117"/>
    </x:row>
    <x:row r="59">
      <x:c r="A59" s="117"/>
      <x:c r="B59" s="117"/>
      <x:c r="C59" s="117"/>
      <x:c r="D59" s="117"/>
      <x:c r="E59" s="117"/>
      <x:c r="F59" s="117"/>
      <x:c r="G59" s="117"/>
      <x:c r="H59" s="117"/>
      <x:c r="I59" s="117"/>
      <x:c r="J59" s="117"/>
      <x:c r="K59" s="117"/>
      <x:c r="L59" s="117"/>
      <x:c r="M59" s="117"/>
      <x:c r="N59" s="117"/>
      <x:c r="O59" s="117"/>
      <x:c r="P59" s="117"/>
      <x:c r="Q59" s="117"/>
      <x:c r="R59" s="117"/>
      <x:c r="S59" s="117"/>
      <x:c r="T59" s="117"/>
      <x:c r="U59" s="117"/>
      <x:c r="V59" s="117"/>
      <x:c r="W59" s="117"/>
      <x:c r="X59" s="117"/>
      <x:c r="Y59" s="117"/>
      <x:c r="Z59" s="117"/>
    </x:row>
    <x:row r="60">
      <x:c r="A60" s="117"/>
      <x:c r="B60" s="117"/>
      <x:c r="C60" s="117"/>
      <x:c r="D60" s="117"/>
      <x:c r="E60" s="117"/>
      <x:c r="F60" s="117"/>
      <x:c r="G60" s="117"/>
      <x:c r="H60" s="117"/>
      <x:c r="I60" s="117"/>
      <x:c r="J60" s="117"/>
      <x:c r="K60" s="117"/>
      <x:c r="L60" s="117"/>
      <x:c r="M60" s="117"/>
      <x:c r="N60" s="117"/>
      <x:c r="O60" s="117"/>
      <x:c r="P60" s="117"/>
      <x:c r="Q60" s="117"/>
      <x:c r="R60" s="117"/>
      <x:c r="S60" s="117"/>
      <x:c r="T60" s="117"/>
      <x:c r="U60" s="117"/>
      <x:c r="V60" s="117"/>
      <x:c r="W60" s="117"/>
      <x:c r="X60" s="117"/>
      <x:c r="Y60" s="117"/>
      <x:c r="Z60" s="117"/>
    </x:row>
    <x:row r="61">
      <x:c r="A61" s="117"/>
      <x:c r="B61" s="117"/>
      <x:c r="C61" s="117"/>
      <x:c r="D61" s="117"/>
      <x:c r="E61" s="117"/>
      <x:c r="F61" s="117"/>
      <x:c r="G61" s="117"/>
      <x:c r="H61" s="117"/>
      <x:c r="I61" s="117"/>
      <x:c r="J61" s="117"/>
      <x:c r="K61" s="117"/>
      <x:c r="L61" s="117"/>
      <x:c r="M61" s="117"/>
      <x:c r="N61" s="117"/>
      <x:c r="O61" s="117"/>
      <x:c r="P61" s="117"/>
      <x:c r="Q61" s="117"/>
      <x:c r="R61" s="117"/>
      <x:c r="S61" s="117"/>
      <x:c r="T61" s="117"/>
      <x:c r="U61" s="117"/>
      <x:c r="V61" s="117"/>
      <x:c r="W61" s="117"/>
      <x:c r="X61" s="117"/>
      <x:c r="Y61" s="117"/>
      <x:c r="Z61" s="117"/>
    </x:row>
    <x:row r="62">
      <x:c r="A62" s="117"/>
      <x:c r="B62" s="117"/>
      <x:c r="C62" s="117"/>
      <x:c r="D62" s="117"/>
      <x:c r="E62" s="117"/>
      <x:c r="F62" s="117"/>
      <x:c r="G62" s="117"/>
      <x:c r="H62" s="117"/>
      <x:c r="I62" s="117"/>
      <x:c r="J62" s="117"/>
      <x:c r="K62" s="117"/>
      <x:c r="L62" s="117"/>
      <x:c r="M62" s="117"/>
      <x:c r="N62" s="117"/>
      <x:c r="O62" s="117"/>
      <x:c r="P62" s="117"/>
      <x:c r="Q62" s="117"/>
      <x:c r="R62" s="117"/>
      <x:c r="S62" s="117"/>
      <x:c r="T62" s="117"/>
      <x:c r="U62" s="117"/>
      <x:c r="V62" s="117"/>
      <x:c r="W62" s="117"/>
      <x:c r="X62" s="117"/>
      <x:c r="Y62" s="117"/>
      <x:c r="Z62" s="117"/>
    </x:row>
    <x:row r="63">
      <x:c r="A63" s="117"/>
      <x:c r="B63" s="117"/>
      <x:c r="C63" s="117"/>
      <x:c r="D63" s="117"/>
      <x:c r="E63" s="117"/>
      <x:c r="F63" s="117"/>
      <x:c r="G63" s="117"/>
      <x:c r="H63" s="117"/>
      <x:c r="I63" s="117"/>
      <x:c r="J63" s="117"/>
      <x:c r="K63" s="117"/>
      <x:c r="L63" s="117"/>
      <x:c r="M63" s="117"/>
      <x:c r="N63" s="117"/>
      <x:c r="O63" s="117"/>
      <x:c r="P63" s="117"/>
      <x:c r="Q63" s="117"/>
      <x:c r="R63" s="117"/>
      <x:c r="S63" s="117"/>
      <x:c r="T63" s="117"/>
      <x:c r="U63" s="117"/>
      <x:c r="V63" s="117"/>
      <x:c r="W63" s="117"/>
      <x:c r="X63" s="117"/>
      <x:c r="Y63" s="117"/>
      <x:c r="Z63" s="117"/>
    </x:row>
    <x:row r="64">
      <x:c r="A64" s="117"/>
      <x:c r="B64" s="117"/>
      <x:c r="C64" s="117"/>
      <x:c r="D64" s="117"/>
      <x:c r="E64" s="117"/>
      <x:c r="F64" s="117"/>
      <x:c r="G64" s="117"/>
      <x:c r="H64" s="117"/>
      <x:c r="I64" s="117"/>
      <x:c r="J64" s="117"/>
      <x:c r="K64" s="117"/>
      <x:c r="L64" s="117"/>
      <x:c r="M64" s="117"/>
      <x:c r="N64" s="117"/>
      <x:c r="O64" s="117"/>
      <x:c r="P64" s="117"/>
      <x:c r="Q64" s="117"/>
      <x:c r="R64" s="117"/>
      <x:c r="S64" s="117"/>
      <x:c r="T64" s="117"/>
      <x:c r="U64" s="117"/>
      <x:c r="V64" s="117"/>
      <x:c r="W64" s="117"/>
      <x:c r="X64" s="117"/>
      <x:c r="Y64" s="117"/>
      <x:c r="Z64" s="117"/>
    </x:row>
    <x:row r="65">
      <x:c r="A65" s="117"/>
      <x:c r="B65" s="117"/>
      <x:c r="C65" s="117"/>
      <x:c r="D65" s="117"/>
      <x:c r="E65" s="117"/>
      <x:c r="F65" s="117"/>
      <x:c r="G65" s="117"/>
      <x:c r="H65" s="117"/>
      <x:c r="I65" s="117"/>
      <x:c r="J65" s="117"/>
      <x:c r="K65" s="117"/>
      <x:c r="L65" s="117"/>
      <x:c r="M65" s="117"/>
      <x:c r="N65" s="117"/>
      <x:c r="O65" s="117"/>
      <x:c r="P65" s="117"/>
      <x:c r="Q65" s="117"/>
      <x:c r="R65" s="117"/>
      <x:c r="S65" s="117"/>
      <x:c r="T65" s="117"/>
      <x:c r="U65" s="117"/>
      <x:c r="V65" s="117"/>
      <x:c r="W65" s="117"/>
      <x:c r="X65" s="117"/>
      <x:c r="Y65" s="117"/>
      <x:c r="Z65" s="117"/>
    </x:row>
    <x:row r="66">
      <x:c r="A66" s="117"/>
      <x:c r="B66" s="117"/>
      <x:c r="C66" s="117"/>
      <x:c r="D66" s="117"/>
      <x:c r="E66" s="117"/>
      <x:c r="F66" s="117"/>
      <x:c r="G66" s="117"/>
      <x:c r="H66" s="117"/>
      <x:c r="I66" s="117"/>
      <x:c r="J66" s="117"/>
      <x:c r="K66" s="117"/>
      <x:c r="L66" s="117"/>
      <x:c r="M66" s="117"/>
      <x:c r="N66" s="117"/>
      <x:c r="O66" s="117"/>
      <x:c r="P66" s="117"/>
      <x:c r="Q66" s="117"/>
      <x:c r="R66" s="117"/>
      <x:c r="S66" s="117"/>
      <x:c r="T66" s="117"/>
      <x:c r="U66" s="117"/>
      <x:c r="V66" s="117"/>
      <x:c r="W66" s="117"/>
      <x:c r="X66" s="117"/>
      <x:c r="Y66" s="117"/>
      <x:c r="Z66" s="117"/>
    </x:row>
    <x:row r="67">
      <x:c r="A67" s="117"/>
      <x:c r="B67" s="117"/>
      <x:c r="C67" s="117"/>
      <x:c r="D67" s="117"/>
      <x:c r="E67" s="117"/>
      <x:c r="F67" s="117"/>
      <x:c r="G67" s="117"/>
      <x:c r="H67" s="117"/>
      <x:c r="I67" s="117"/>
      <x:c r="J67" s="117"/>
      <x:c r="K67" s="117"/>
      <x:c r="L67" s="117"/>
      <x:c r="M67" s="117"/>
      <x:c r="N67" s="117"/>
      <x:c r="O67" s="117"/>
      <x:c r="P67" s="117"/>
      <x:c r="Q67" s="117"/>
      <x:c r="R67" s="117"/>
      <x:c r="S67" s="117"/>
      <x:c r="T67" s="117"/>
      <x:c r="U67" s="117"/>
      <x:c r="V67" s="117"/>
      <x:c r="W67" s="117"/>
      <x:c r="X67" s="117"/>
      <x:c r="Y67" s="117"/>
      <x:c r="Z67" s="117"/>
    </x:row>
    <x:row r="68">
      <x:c r="A68" s="117"/>
      <x:c r="B68" s="117"/>
      <x:c r="C68" s="117"/>
      <x:c r="D68" s="117"/>
      <x:c r="E68" s="117"/>
      <x:c r="F68" s="117"/>
      <x:c r="G68" s="117"/>
      <x:c r="H68" s="117"/>
      <x:c r="I68" s="117"/>
      <x:c r="J68" s="117"/>
      <x:c r="K68" s="117"/>
      <x:c r="L68" s="117"/>
      <x:c r="M68" s="117"/>
      <x:c r="N68" s="117"/>
      <x:c r="O68" s="117"/>
      <x:c r="P68" s="117"/>
      <x:c r="Q68" s="117"/>
      <x:c r="R68" s="117"/>
      <x:c r="S68" s="117"/>
      <x:c r="T68" s="117"/>
      <x:c r="U68" s="117"/>
      <x:c r="V68" s="117"/>
      <x:c r="W68" s="117"/>
      <x:c r="X68" s="117"/>
      <x:c r="Y68" s="117"/>
      <x:c r="Z68" s="117"/>
    </x:row>
    <x:row r="69">
      <x:c r="A69" s="117"/>
      <x:c r="B69" s="117"/>
      <x:c r="C69" s="117"/>
      <x:c r="D69" s="117"/>
      <x:c r="E69" s="117"/>
      <x:c r="F69" s="117"/>
      <x:c r="G69" s="117"/>
      <x:c r="H69" s="117"/>
      <x:c r="I69" s="117"/>
      <x:c r="J69" s="117"/>
      <x:c r="K69" s="117"/>
      <x:c r="L69" s="117"/>
      <x:c r="M69" s="117"/>
      <x:c r="N69" s="117"/>
      <x:c r="O69" s="117"/>
      <x:c r="P69" s="117"/>
      <x:c r="Q69" s="117"/>
      <x:c r="R69" s="117"/>
      <x:c r="S69" s="117"/>
      <x:c r="T69" s="117"/>
      <x:c r="U69" s="117"/>
      <x:c r="V69" s="117"/>
      <x:c r="W69" s="117"/>
      <x:c r="X69" s="117"/>
      <x:c r="Y69" s="117"/>
      <x:c r="Z69" s="117"/>
    </x:row>
    <x:row r="70">
      <x:c r="A70" s="117"/>
      <x:c r="B70" s="117"/>
      <x:c r="C70" s="117"/>
      <x:c r="D70" s="117"/>
      <x:c r="E70" s="117"/>
      <x:c r="F70" s="117"/>
      <x:c r="G70" s="117"/>
      <x:c r="H70" s="117"/>
      <x:c r="I70" s="117"/>
      <x:c r="J70" s="117"/>
      <x:c r="K70" s="117"/>
      <x:c r="L70" s="117"/>
      <x:c r="M70" s="117"/>
      <x:c r="N70" s="117"/>
      <x:c r="O70" s="117"/>
      <x:c r="P70" s="117"/>
      <x:c r="Q70" s="117"/>
      <x:c r="R70" s="117"/>
      <x:c r="S70" s="117"/>
      <x:c r="T70" s="117"/>
      <x:c r="U70" s="117"/>
      <x:c r="V70" s="117"/>
      <x:c r="W70" s="117"/>
      <x:c r="X70" s="117"/>
      <x:c r="Y70" s="117"/>
      <x:c r="Z70" s="117"/>
    </x:row>
    <x:row r="71">
      <x:c r="A71" s="117"/>
      <x:c r="B71" s="117"/>
      <x:c r="C71" s="117"/>
      <x:c r="D71" s="117"/>
      <x:c r="E71" s="117"/>
      <x:c r="F71" s="117"/>
      <x:c r="G71" s="117"/>
      <x:c r="H71" s="117"/>
      <x:c r="I71" s="117"/>
      <x:c r="J71" s="117"/>
      <x:c r="K71" s="117"/>
      <x:c r="L71" s="117"/>
      <x:c r="M71" s="117"/>
      <x:c r="N71" s="117"/>
      <x:c r="O71" s="117"/>
      <x:c r="P71" s="117"/>
      <x:c r="Q71" s="117"/>
      <x:c r="R71" s="117"/>
      <x:c r="S71" s="117"/>
      <x:c r="T71" s="117"/>
      <x:c r="U71" s="117"/>
      <x:c r="V71" s="117"/>
      <x:c r="W71" s="117"/>
      <x:c r="X71" s="117"/>
      <x:c r="Y71" s="117"/>
      <x:c r="Z71" s="117"/>
    </x:row>
    <x:row r="72">
      <x:c r="A72" s="117"/>
      <x:c r="B72" s="117"/>
      <x:c r="C72" s="117"/>
      <x:c r="D72" s="117"/>
      <x:c r="E72" s="117"/>
      <x:c r="F72" s="117"/>
      <x:c r="G72" s="117"/>
      <x:c r="H72" s="117"/>
      <x:c r="I72" s="117"/>
      <x:c r="J72" s="117"/>
      <x:c r="K72" s="117"/>
      <x:c r="L72" s="117"/>
      <x:c r="M72" s="117"/>
      <x:c r="N72" s="117"/>
      <x:c r="O72" s="117"/>
      <x:c r="P72" s="117"/>
      <x:c r="Q72" s="117"/>
      <x:c r="R72" s="117"/>
      <x:c r="S72" s="117"/>
      <x:c r="T72" s="117"/>
      <x:c r="U72" s="117"/>
      <x:c r="V72" s="117"/>
      <x:c r="W72" s="117"/>
      <x:c r="X72" s="117"/>
      <x:c r="Y72" s="117"/>
      <x:c r="Z72" s="117"/>
    </x:row>
    <x:row r="73">
      <x:c r="A73" s="117"/>
      <x:c r="B73" s="117"/>
      <x:c r="C73" s="117"/>
      <x:c r="D73" s="117"/>
      <x:c r="E73" s="117"/>
      <x:c r="F73" s="117"/>
      <x:c r="G73" s="117"/>
      <x:c r="H73" s="117"/>
      <x:c r="I73" s="117"/>
      <x:c r="J73" s="117"/>
      <x:c r="K73" s="117"/>
      <x:c r="L73" s="117"/>
      <x:c r="M73" s="117"/>
      <x:c r="N73" s="117"/>
      <x:c r="O73" s="117"/>
      <x:c r="P73" s="117"/>
      <x:c r="Q73" s="117"/>
      <x:c r="R73" s="117"/>
      <x:c r="S73" s="117"/>
      <x:c r="T73" s="117"/>
      <x:c r="U73" s="117"/>
      <x:c r="V73" s="117"/>
      <x:c r="W73" s="117"/>
      <x:c r="X73" s="117"/>
      <x:c r="Y73" s="117"/>
      <x:c r="Z73" s="117"/>
    </x:row>
    <x:row r="74">
      <x:c r="A74" s="117"/>
      <x:c r="B74" s="117"/>
      <x:c r="C74" s="117"/>
      <x:c r="D74" s="117"/>
      <x:c r="E74" s="117"/>
      <x:c r="F74" s="117"/>
      <x:c r="G74" s="117"/>
      <x:c r="H74" s="117"/>
      <x:c r="I74" s="117"/>
      <x:c r="J74" s="117"/>
      <x:c r="K74" s="117"/>
      <x:c r="L74" s="117"/>
      <x:c r="M74" s="117"/>
      <x:c r="N74" s="117"/>
      <x:c r="O74" s="117"/>
      <x:c r="P74" s="117"/>
      <x:c r="Q74" s="117"/>
      <x:c r="R74" s="117"/>
      <x:c r="S74" s="117"/>
      <x:c r="T74" s="117"/>
      <x:c r="U74" s="117"/>
      <x:c r="V74" s="117"/>
      <x:c r="W74" s="117"/>
      <x:c r="X74" s="117"/>
      <x:c r="Y74" s="117"/>
      <x:c r="Z74" s="117"/>
    </x:row>
    <x:row r="75">
      <x:c r="A75" s="117"/>
      <x:c r="B75" s="117"/>
      <x:c r="C75" s="117"/>
      <x:c r="D75" s="117"/>
      <x:c r="E75" s="117"/>
      <x:c r="F75" s="117"/>
      <x:c r="G75" s="117"/>
      <x:c r="H75" s="117"/>
      <x:c r="I75" s="117"/>
      <x:c r="J75" s="117"/>
      <x:c r="K75" s="117"/>
      <x:c r="L75" s="117"/>
      <x:c r="M75" s="117"/>
      <x:c r="N75" s="117"/>
      <x:c r="O75" s="117"/>
      <x:c r="P75" s="117"/>
      <x:c r="Q75" s="117"/>
      <x:c r="R75" s="117"/>
      <x:c r="S75" s="117"/>
      <x:c r="T75" s="117"/>
      <x:c r="U75" s="117"/>
      <x:c r="V75" s="117"/>
      <x:c r="W75" s="117"/>
      <x:c r="X75" s="117"/>
      <x:c r="Y75" s="117"/>
      <x:c r="Z75" s="117"/>
    </x:row>
    <x:row r="76">
      <x:c r="A76" s="117"/>
      <x:c r="B76" s="117"/>
      <x:c r="C76" s="117"/>
      <x:c r="D76" s="117"/>
      <x:c r="E76" s="117"/>
      <x:c r="F76" s="117"/>
      <x:c r="G76" s="117"/>
      <x:c r="H76" s="117"/>
      <x:c r="I76" s="117"/>
      <x:c r="J76" s="117"/>
      <x:c r="K76" s="117"/>
      <x:c r="L76" s="117"/>
      <x:c r="M76" s="117"/>
      <x:c r="N76" s="117"/>
      <x:c r="O76" s="117"/>
      <x:c r="P76" s="117"/>
      <x:c r="Q76" s="117"/>
      <x:c r="R76" s="117"/>
      <x:c r="S76" s="117"/>
      <x:c r="T76" s="117"/>
      <x:c r="U76" s="117"/>
      <x:c r="V76" s="117"/>
      <x:c r="W76" s="117"/>
      <x:c r="X76" s="117"/>
      <x:c r="Y76" s="117"/>
      <x:c r="Z76" s="117"/>
    </x:row>
    <x:row r="77">
      <x:c r="A77" s="117"/>
      <x:c r="B77" s="117"/>
      <x:c r="C77" s="117"/>
      <x:c r="D77" s="117"/>
      <x:c r="E77" s="117"/>
      <x:c r="F77" s="117"/>
      <x:c r="G77" s="117"/>
      <x:c r="H77" s="117"/>
      <x:c r="I77" s="117"/>
      <x:c r="J77" s="117"/>
      <x:c r="K77" s="117"/>
      <x:c r="L77" s="117"/>
      <x:c r="M77" s="117"/>
      <x:c r="N77" s="117"/>
      <x:c r="O77" s="117"/>
      <x:c r="P77" s="117"/>
      <x:c r="Q77" s="117"/>
      <x:c r="R77" s="117"/>
      <x:c r="S77" s="117"/>
      <x:c r="T77" s="117"/>
      <x:c r="U77" s="117"/>
      <x:c r="V77" s="117"/>
      <x:c r="W77" s="117"/>
      <x:c r="X77" s="117"/>
      <x:c r="Y77" s="117"/>
      <x:c r="Z77" s="117"/>
    </x:row>
    <x:row r="78">
      <x:c r="A78" s="117"/>
      <x:c r="B78" s="117"/>
      <x:c r="C78" s="117"/>
      <x:c r="D78" s="117"/>
      <x:c r="E78" s="117"/>
      <x:c r="F78" s="117"/>
      <x:c r="G78" s="117"/>
      <x:c r="H78" s="117"/>
      <x:c r="I78" s="117"/>
      <x:c r="J78" s="117"/>
      <x:c r="K78" s="117"/>
      <x:c r="L78" s="117"/>
      <x:c r="M78" s="117"/>
      <x:c r="N78" s="117"/>
      <x:c r="O78" s="117"/>
      <x:c r="P78" s="117"/>
      <x:c r="Q78" s="117"/>
      <x:c r="R78" s="117"/>
      <x:c r="S78" s="117"/>
      <x:c r="T78" s="117"/>
      <x:c r="U78" s="117"/>
      <x:c r="V78" s="117"/>
      <x:c r="W78" s="117"/>
      <x:c r="X78" s="117"/>
      <x:c r="Y78" s="117"/>
      <x:c r="Z78" s="117"/>
    </x:row>
    <x:row r="79">
      <x:c r="A79" s="117"/>
      <x:c r="B79" s="117"/>
      <x:c r="C79" s="117"/>
      <x:c r="D79" s="117"/>
      <x:c r="E79" s="117"/>
      <x:c r="F79" s="117"/>
      <x:c r="G79" s="117"/>
      <x:c r="H79" s="117"/>
      <x:c r="I79" s="117"/>
      <x:c r="J79" s="117"/>
      <x:c r="K79" s="117"/>
      <x:c r="L79" s="117"/>
      <x:c r="M79" s="117"/>
      <x:c r="N79" s="117"/>
      <x:c r="O79" s="117"/>
      <x:c r="P79" s="117"/>
      <x:c r="Q79" s="117"/>
      <x:c r="R79" s="117"/>
      <x:c r="S79" s="117"/>
      <x:c r="T79" s="117"/>
      <x:c r="U79" s="117"/>
      <x:c r="V79" s="117"/>
      <x:c r="W79" s="117"/>
      <x:c r="X79" s="117"/>
      <x:c r="Y79" s="117"/>
      <x:c r="Z79" s="117"/>
    </x:row>
    <x:row r="80">
      <x:c r="A80" s="117"/>
      <x:c r="B80" s="117"/>
      <x:c r="C80" s="117"/>
      <x:c r="D80" s="117"/>
      <x:c r="E80" s="117"/>
      <x:c r="F80" s="117"/>
      <x:c r="G80" s="117"/>
      <x:c r="H80" s="117"/>
      <x:c r="I80" s="117"/>
      <x:c r="J80" s="117"/>
      <x:c r="K80" s="117"/>
      <x:c r="L80" s="117"/>
      <x:c r="M80" s="117"/>
      <x:c r="N80" s="117"/>
      <x:c r="O80" s="117"/>
      <x:c r="P80" s="117"/>
      <x:c r="Q80" s="117"/>
      <x:c r="R80" s="117"/>
      <x:c r="S80" s="117"/>
      <x:c r="T80" s="117"/>
      <x:c r="U80" s="117"/>
      <x:c r="V80" s="117"/>
      <x:c r="W80" s="117"/>
      <x:c r="X80" s="117"/>
      <x:c r="Y80" s="117"/>
      <x:c r="Z80" s="117"/>
    </x:row>
    <x:row r="81">
      <x:c r="A81" s="117"/>
      <x:c r="B81" s="117"/>
      <x:c r="C81" s="117"/>
      <x:c r="D81" s="117"/>
      <x:c r="E81" s="117"/>
      <x:c r="F81" s="117"/>
      <x:c r="G81" s="117"/>
      <x:c r="H81" s="117"/>
      <x:c r="I81" s="117"/>
      <x:c r="J81" s="117"/>
      <x:c r="K81" s="117"/>
      <x:c r="L81" s="117"/>
      <x:c r="M81" s="117"/>
      <x:c r="N81" s="117"/>
      <x:c r="O81" s="117"/>
      <x:c r="P81" s="117"/>
      <x:c r="Q81" s="117"/>
      <x:c r="R81" s="117"/>
      <x:c r="S81" s="117"/>
      <x:c r="T81" s="117"/>
      <x:c r="U81" s="117"/>
      <x:c r="V81" s="117"/>
      <x:c r="W81" s="117"/>
      <x:c r="X81" s="117"/>
      <x:c r="Y81" s="117"/>
      <x:c r="Z81" s="117"/>
    </x:row>
    <x:row r="82">
      <x:c r="A82" s="117"/>
      <x:c r="B82" s="117"/>
      <x:c r="C82" s="117"/>
      <x:c r="D82" s="117"/>
      <x:c r="E82" s="117"/>
      <x:c r="F82" s="117"/>
      <x:c r="G82" s="117"/>
      <x:c r="H82" s="117"/>
      <x:c r="I82" s="117"/>
      <x:c r="J82" s="117"/>
      <x:c r="K82" s="117"/>
      <x:c r="L82" s="117"/>
      <x:c r="M82" s="117"/>
      <x:c r="N82" s="117"/>
      <x:c r="O82" s="117"/>
      <x:c r="P82" s="117"/>
      <x:c r="Q82" s="117"/>
      <x:c r="R82" s="117"/>
      <x:c r="S82" s="117"/>
      <x:c r="T82" s="117"/>
      <x:c r="U82" s="117"/>
      <x:c r="V82" s="117"/>
      <x:c r="W82" s="117"/>
      <x:c r="X82" s="117"/>
      <x:c r="Y82" s="117"/>
      <x:c r="Z82" s="117"/>
    </x:row>
    <x:row r="83">
      <x:c r="A83" s="117"/>
      <x:c r="B83" s="117"/>
      <x:c r="C83" s="117"/>
      <x:c r="D83" s="117"/>
      <x:c r="E83" s="117"/>
      <x:c r="F83" s="117"/>
      <x:c r="G83" s="117"/>
      <x:c r="H83" s="117"/>
      <x:c r="I83" s="117"/>
      <x:c r="J83" s="117"/>
      <x:c r="K83" s="117"/>
      <x:c r="L83" s="117"/>
      <x:c r="M83" s="117"/>
      <x:c r="N83" s="117"/>
      <x:c r="O83" s="117"/>
      <x:c r="P83" s="117"/>
      <x:c r="Q83" s="117"/>
      <x:c r="R83" s="117"/>
      <x:c r="S83" s="117"/>
      <x:c r="T83" s="117"/>
      <x:c r="U83" s="117"/>
      <x:c r="V83" s="117"/>
      <x:c r="W83" s="117"/>
      <x:c r="X83" s="117"/>
      <x:c r="Y83" s="117"/>
      <x:c r="Z83" s="117"/>
    </x:row>
    <x:row r="84">
      <x:c r="A84" s="117"/>
      <x:c r="B84" s="117"/>
      <x:c r="C84" s="117"/>
      <x:c r="D84" s="117"/>
      <x:c r="E84" s="117"/>
      <x:c r="F84" s="117"/>
      <x:c r="G84" s="117"/>
      <x:c r="H84" s="117"/>
      <x:c r="I84" s="117"/>
      <x:c r="J84" s="117"/>
      <x:c r="K84" s="117"/>
      <x:c r="L84" s="117"/>
      <x:c r="M84" s="117"/>
      <x:c r="N84" s="117"/>
      <x:c r="O84" s="117"/>
      <x:c r="P84" s="117"/>
      <x:c r="Q84" s="117"/>
      <x:c r="R84" s="117"/>
      <x:c r="S84" s="117"/>
      <x:c r="T84" s="117"/>
      <x:c r="U84" s="117"/>
      <x:c r="V84" s="117"/>
      <x:c r="W84" s="117"/>
      <x:c r="X84" s="117"/>
      <x:c r="Y84" s="117"/>
      <x:c r="Z84" s="117"/>
    </x:row>
    <x:row r="85">
      <x:c r="A85" s="117"/>
      <x:c r="B85" s="117"/>
      <x:c r="C85" s="117"/>
      <x:c r="D85" s="117"/>
      <x:c r="E85" s="117"/>
      <x:c r="F85" s="117"/>
      <x:c r="G85" s="117"/>
      <x:c r="H85" s="117"/>
      <x:c r="I85" s="117"/>
      <x:c r="J85" s="117"/>
      <x:c r="K85" s="117"/>
      <x:c r="L85" s="117"/>
      <x:c r="M85" s="117"/>
      <x:c r="N85" s="117"/>
      <x:c r="O85" s="117"/>
      <x:c r="P85" s="117"/>
      <x:c r="Q85" s="117"/>
      <x:c r="R85" s="117"/>
      <x:c r="S85" s="117"/>
      <x:c r="T85" s="117"/>
      <x:c r="U85" s="117"/>
      <x:c r="V85" s="117"/>
      <x:c r="W85" s="117"/>
      <x:c r="X85" s="117"/>
      <x:c r="Y85" s="117"/>
      <x:c r="Z85" s="117"/>
    </x:row>
    <x:row r="86">
      <x:c r="A86" s="117"/>
      <x:c r="B86" s="117"/>
      <x:c r="C86" s="117"/>
      <x:c r="D86" s="117"/>
      <x:c r="E86" s="117"/>
      <x:c r="F86" s="117"/>
      <x:c r="G86" s="117"/>
      <x:c r="H86" s="117"/>
      <x:c r="I86" s="117"/>
      <x:c r="J86" s="117"/>
      <x:c r="K86" s="117"/>
      <x:c r="L86" s="117"/>
      <x:c r="M86" s="117"/>
      <x:c r="N86" s="117"/>
      <x:c r="O86" s="117"/>
      <x:c r="P86" s="117"/>
      <x:c r="Q86" s="117"/>
      <x:c r="R86" s="117"/>
      <x:c r="S86" s="117"/>
      <x:c r="T86" s="117"/>
      <x:c r="U86" s="117"/>
      <x:c r="V86" s="117"/>
      <x:c r="W86" s="117"/>
      <x:c r="X86" s="117"/>
      <x:c r="Y86" s="117"/>
      <x:c r="Z86" s="117"/>
    </x:row>
    <x:row r="87">
      <x:c r="A87" s="117"/>
      <x:c r="B87" s="117"/>
      <x:c r="C87" s="117"/>
      <x:c r="D87" s="117"/>
      <x:c r="E87" s="117"/>
      <x:c r="F87" s="117"/>
      <x:c r="G87" s="117"/>
      <x:c r="H87" s="117"/>
      <x:c r="I87" s="117"/>
      <x:c r="J87" s="117"/>
      <x:c r="K87" s="117"/>
      <x:c r="L87" s="117"/>
      <x:c r="M87" s="117"/>
      <x:c r="N87" s="117"/>
      <x:c r="O87" s="117"/>
      <x:c r="P87" s="117"/>
      <x:c r="Q87" s="117"/>
      <x:c r="R87" s="117"/>
      <x:c r="S87" s="117"/>
      <x:c r="T87" s="117"/>
      <x:c r="U87" s="117"/>
      <x:c r="V87" s="117"/>
      <x:c r="W87" s="117"/>
      <x:c r="X87" s="117"/>
      <x:c r="Y87" s="117"/>
      <x:c r="Z87" s="117"/>
    </x:row>
    <x:row r="88">
      <x:c r="A88" s="117"/>
      <x:c r="B88" s="117"/>
      <x:c r="C88" s="117"/>
      <x:c r="D88" s="117"/>
      <x:c r="E88" s="117"/>
      <x:c r="F88" s="117"/>
      <x:c r="G88" s="117"/>
      <x:c r="H88" s="117"/>
      <x:c r="I88" s="117"/>
      <x:c r="J88" s="117"/>
      <x:c r="K88" s="117"/>
      <x:c r="L88" s="117"/>
      <x:c r="M88" s="117"/>
      <x:c r="N88" s="117"/>
      <x:c r="O88" s="117"/>
      <x:c r="P88" s="117"/>
      <x:c r="Q88" s="117"/>
      <x:c r="R88" s="117"/>
      <x:c r="S88" s="117"/>
      <x:c r="T88" s="117"/>
      <x:c r="U88" s="117"/>
      <x:c r="V88" s="117"/>
      <x:c r="W88" s="117"/>
      <x:c r="X88" s="117"/>
      <x:c r="Y88" s="117"/>
      <x:c r="Z88" s="117"/>
    </x:row>
    <x:row r="89">
      <x:c r="A89" s="117"/>
      <x:c r="B89" s="117"/>
      <x:c r="C89" s="117"/>
      <x:c r="D89" s="117"/>
      <x:c r="E89" s="117"/>
      <x:c r="F89" s="117"/>
      <x:c r="G89" s="117"/>
      <x:c r="H89" s="117"/>
      <x:c r="I89" s="117"/>
      <x:c r="J89" s="117"/>
      <x:c r="K89" s="117"/>
      <x:c r="L89" s="117"/>
      <x:c r="M89" s="117"/>
      <x:c r="N89" s="117"/>
      <x:c r="O89" s="117"/>
      <x:c r="P89" s="117"/>
      <x:c r="Q89" s="117"/>
      <x:c r="R89" s="117"/>
      <x:c r="S89" s="117"/>
      <x:c r="T89" s="117"/>
      <x:c r="U89" s="117"/>
      <x:c r="V89" s="117"/>
      <x:c r="W89" s="117"/>
      <x:c r="X89" s="117"/>
      <x:c r="Y89" s="117"/>
      <x:c r="Z89" s="117"/>
    </x:row>
    <x:row r="90">
      <x:c r="A90" s="117"/>
      <x:c r="B90" s="117"/>
      <x:c r="C90" s="117"/>
      <x:c r="D90" s="117"/>
      <x:c r="E90" s="117"/>
      <x:c r="F90" s="117"/>
      <x:c r="G90" s="117"/>
      <x:c r="H90" s="117"/>
      <x:c r="I90" s="117"/>
      <x:c r="J90" s="117"/>
      <x:c r="K90" s="117"/>
      <x:c r="L90" s="117"/>
      <x:c r="M90" s="117"/>
      <x:c r="N90" s="117"/>
      <x:c r="O90" s="117"/>
      <x:c r="P90" s="117"/>
      <x:c r="Q90" s="117"/>
      <x:c r="R90" s="117"/>
      <x:c r="S90" s="117"/>
      <x:c r="T90" s="117"/>
      <x:c r="U90" s="117"/>
      <x:c r="V90" s="117"/>
      <x:c r="W90" s="117"/>
      <x:c r="X90" s="117"/>
      <x:c r="Y90" s="117"/>
      <x:c r="Z90" s="117"/>
    </x:row>
    <x:row r="91">
      <x:c r="A91" s="117"/>
      <x:c r="B91" s="117"/>
      <x:c r="C91" s="117"/>
      <x:c r="D91" s="117"/>
      <x:c r="E91" s="117"/>
      <x:c r="F91" s="117"/>
      <x:c r="G91" s="117"/>
      <x:c r="H91" s="117"/>
      <x:c r="I91" s="117"/>
      <x:c r="J91" s="117"/>
      <x:c r="K91" s="117"/>
      <x:c r="L91" s="117"/>
      <x:c r="M91" s="117"/>
      <x:c r="N91" s="117"/>
      <x:c r="O91" s="117"/>
      <x:c r="P91" s="117"/>
      <x:c r="Q91" s="117"/>
      <x:c r="R91" s="117"/>
      <x:c r="S91" s="117"/>
      <x:c r="T91" s="117"/>
      <x:c r="U91" s="117"/>
      <x:c r="V91" s="117"/>
      <x:c r="W91" s="117"/>
      <x:c r="X91" s="117"/>
      <x:c r="Y91" s="117"/>
      <x:c r="Z91" s="117"/>
    </x:row>
    <x:row r="92">
      <x:c r="A92" s="117"/>
      <x:c r="B92" s="117"/>
      <x:c r="C92" s="117"/>
      <x:c r="D92" s="117"/>
      <x:c r="E92" s="117"/>
      <x:c r="F92" s="117"/>
      <x:c r="G92" s="117"/>
      <x:c r="H92" s="117"/>
      <x:c r="I92" s="117"/>
      <x:c r="J92" s="117"/>
      <x:c r="K92" s="117"/>
      <x:c r="L92" s="117"/>
      <x:c r="M92" s="117"/>
      <x:c r="N92" s="117"/>
      <x:c r="O92" s="117"/>
      <x:c r="P92" s="117"/>
      <x:c r="Q92" s="117"/>
      <x:c r="R92" s="117"/>
      <x:c r="S92" s="117"/>
      <x:c r="T92" s="117"/>
      <x:c r="U92" s="117"/>
      <x:c r="V92" s="117"/>
      <x:c r="W92" s="117"/>
      <x:c r="X92" s="117"/>
      <x:c r="Y92" s="117"/>
      <x:c r="Z92" s="117"/>
    </x:row>
    <x:row r="93">
      <x:c r="A93" s="117"/>
      <x:c r="B93" s="117"/>
      <x:c r="C93" s="117"/>
      <x:c r="D93" s="117"/>
      <x:c r="E93" s="117"/>
      <x:c r="F93" s="117"/>
      <x:c r="G93" s="117"/>
      <x:c r="H93" s="117"/>
      <x:c r="I93" s="117"/>
      <x:c r="J93" s="117"/>
      <x:c r="K93" s="117"/>
      <x:c r="L93" s="117"/>
      <x:c r="M93" s="117"/>
      <x:c r="N93" s="117"/>
      <x:c r="O93" s="117"/>
      <x:c r="P93" s="117"/>
      <x:c r="Q93" s="117"/>
      <x:c r="R93" s="117"/>
      <x:c r="S93" s="117"/>
      <x:c r="T93" s="117"/>
      <x:c r="U93" s="117"/>
      <x:c r="V93" s="117"/>
      <x:c r="W93" s="117"/>
      <x:c r="X93" s="117"/>
      <x:c r="Y93" s="117"/>
      <x:c r="Z93" s="117"/>
    </x:row>
    <x:row r="94">
      <x:c r="A94" s="117"/>
      <x:c r="B94" s="117"/>
      <x:c r="C94" s="117"/>
      <x:c r="D94" s="117"/>
      <x:c r="E94" s="117"/>
      <x:c r="F94" s="117"/>
      <x:c r="G94" s="117"/>
      <x:c r="H94" s="117"/>
      <x:c r="I94" s="117"/>
      <x:c r="J94" s="117"/>
      <x:c r="K94" s="117"/>
      <x:c r="L94" s="117"/>
      <x:c r="M94" s="117"/>
      <x:c r="N94" s="117"/>
      <x:c r="O94" s="117"/>
      <x:c r="P94" s="117"/>
      <x:c r="Q94" s="117"/>
      <x:c r="R94" s="117"/>
      <x:c r="S94" s="117"/>
      <x:c r="T94" s="117"/>
      <x:c r="U94" s="117"/>
      <x:c r="V94" s="117"/>
      <x:c r="W94" s="117"/>
      <x:c r="X94" s="117"/>
      <x:c r="Y94" s="117"/>
      <x:c r="Z94" s="117"/>
    </x:row>
    <x:row r="95">
      <x:c r="A95" s="117"/>
      <x:c r="B95" s="117"/>
      <x:c r="C95" s="117"/>
      <x:c r="D95" s="117"/>
      <x:c r="E95" s="117"/>
      <x:c r="F95" s="117"/>
      <x:c r="G95" s="117"/>
      <x:c r="H95" s="117"/>
      <x:c r="I95" s="117"/>
      <x:c r="J95" s="117"/>
      <x:c r="K95" s="117"/>
      <x:c r="L95" s="117"/>
      <x:c r="M95" s="117"/>
      <x:c r="N95" s="117"/>
      <x:c r="O95" s="117"/>
      <x:c r="P95" s="117"/>
      <x:c r="Q95" s="117"/>
      <x:c r="R95" s="117"/>
      <x:c r="S95" s="117"/>
      <x:c r="T95" s="117"/>
      <x:c r="U95" s="117"/>
      <x:c r="V95" s="117"/>
      <x:c r="W95" s="117"/>
      <x:c r="X95" s="117"/>
      <x:c r="Y95" s="117"/>
      <x:c r="Z95" s="117"/>
    </x:row>
    <x:row r="96">
      <x:c r="A96" s="117"/>
      <x:c r="B96" s="117"/>
      <x:c r="C96" s="117"/>
      <x:c r="D96" s="117"/>
      <x:c r="E96" s="117"/>
      <x:c r="F96" s="117"/>
      <x:c r="G96" s="117"/>
      <x:c r="H96" s="117"/>
      <x:c r="I96" s="117"/>
      <x:c r="J96" s="117"/>
      <x:c r="K96" s="117"/>
      <x:c r="L96" s="117"/>
      <x:c r="M96" s="117"/>
      <x:c r="N96" s="117"/>
      <x:c r="O96" s="117"/>
      <x:c r="P96" s="117"/>
      <x:c r="Q96" s="117"/>
      <x:c r="R96" s="117"/>
      <x:c r="S96" s="117"/>
      <x:c r="T96" s="117"/>
      <x:c r="U96" s="117"/>
      <x:c r="V96" s="117"/>
      <x:c r="W96" s="117"/>
      <x:c r="X96" s="117"/>
      <x:c r="Y96" s="117"/>
      <x:c r="Z96" s="117"/>
    </x:row>
    <x:row r="97">
      <x:c r="A97" s="117"/>
      <x:c r="B97" s="117"/>
      <x:c r="C97" s="117"/>
      <x:c r="D97" s="117"/>
      <x:c r="E97" s="117"/>
      <x:c r="F97" s="117"/>
      <x:c r="G97" s="117"/>
      <x:c r="H97" s="117"/>
      <x:c r="I97" s="117"/>
      <x:c r="J97" s="117"/>
      <x:c r="K97" s="117"/>
      <x:c r="L97" s="117"/>
      <x:c r="M97" s="117"/>
      <x:c r="N97" s="117"/>
      <x:c r="O97" s="117"/>
      <x:c r="P97" s="117"/>
      <x:c r="Q97" s="117"/>
      <x:c r="R97" s="117"/>
      <x:c r="S97" s="117"/>
      <x:c r="T97" s="117"/>
      <x:c r="U97" s="117"/>
      <x:c r="V97" s="117"/>
      <x:c r="W97" s="117"/>
      <x:c r="X97" s="117"/>
      <x:c r="Y97" s="117"/>
      <x:c r="Z97" s="117"/>
    </x:row>
    <x:row r="98">
      <x:c r="A98" s="117"/>
      <x:c r="B98" s="117"/>
      <x:c r="C98" s="117"/>
      <x:c r="D98" s="117"/>
      <x:c r="E98" s="117"/>
      <x:c r="F98" s="117"/>
      <x:c r="G98" s="117"/>
      <x:c r="H98" s="117"/>
      <x:c r="I98" s="117"/>
      <x:c r="J98" s="117"/>
      <x:c r="K98" s="117"/>
      <x:c r="L98" s="117"/>
      <x:c r="M98" s="117"/>
      <x:c r="N98" s="117"/>
      <x:c r="O98" s="117"/>
      <x:c r="P98" s="117"/>
      <x:c r="Q98" s="117"/>
      <x:c r="R98" s="117"/>
      <x:c r="S98" s="117"/>
      <x:c r="T98" s="117"/>
      <x:c r="U98" s="117"/>
      <x:c r="V98" s="117"/>
      <x:c r="W98" s="117"/>
      <x:c r="X98" s="117"/>
      <x:c r="Y98" s="117"/>
      <x:c r="Z98" s="117"/>
    </x:row>
    <x:row r="99">
      <x:c r="A99" s="117"/>
      <x:c r="B99" s="117"/>
      <x:c r="C99" s="117"/>
      <x:c r="D99" s="117"/>
      <x:c r="E99" s="117"/>
      <x:c r="F99" s="117"/>
      <x:c r="G99" s="117"/>
      <x:c r="H99" s="117"/>
      <x:c r="I99" s="117"/>
      <x:c r="J99" s="117"/>
      <x:c r="K99" s="117"/>
      <x:c r="L99" s="117"/>
      <x:c r="M99" s="117"/>
      <x:c r="N99" s="117"/>
      <x:c r="O99" s="117"/>
      <x:c r="P99" s="117"/>
      <x:c r="Q99" s="117"/>
      <x:c r="R99" s="117"/>
      <x:c r="S99" s="117"/>
      <x:c r="T99" s="117"/>
      <x:c r="U99" s="117"/>
      <x:c r="V99" s="117"/>
      <x:c r="W99" s="117"/>
      <x:c r="X99" s="117"/>
      <x:c r="Y99" s="117"/>
      <x:c r="Z99" s="117"/>
    </x:row>
    <x:row r="100">
      <x:c r="A100" s="117"/>
      <x:c r="B100" s="117"/>
      <x:c r="C100" s="117"/>
      <x:c r="D100" s="117"/>
      <x:c r="E100" s="117"/>
      <x:c r="F100" s="117"/>
      <x:c r="G100" s="117"/>
      <x:c r="H100" s="117"/>
      <x:c r="I100" s="117"/>
      <x:c r="J100" s="117"/>
      <x:c r="K100" s="117"/>
      <x:c r="L100" s="117"/>
      <x:c r="M100" s="117"/>
      <x:c r="N100" s="117"/>
      <x:c r="O100" s="117"/>
      <x:c r="P100" s="117"/>
      <x:c r="Q100" s="117"/>
      <x:c r="R100" s="117"/>
      <x:c r="S100" s="117"/>
      <x:c r="T100" s="117"/>
      <x:c r="U100" s="117"/>
      <x:c r="V100" s="117"/>
      <x:c r="W100" s="117"/>
      <x:c r="X100" s="117"/>
      <x:c r="Y100" s="117"/>
      <x:c r="Z100" s="117"/>
    </x:row>
    <x:row r="101">
      <x:c r="A101" s="117"/>
      <x:c r="B101" s="117"/>
      <x:c r="C101" s="117"/>
      <x:c r="D101" s="117"/>
      <x:c r="E101" s="117"/>
      <x:c r="F101" s="117"/>
      <x:c r="G101" s="117"/>
      <x:c r="H101" s="117"/>
      <x:c r="I101" s="117"/>
      <x:c r="J101" s="117"/>
      <x:c r="K101" s="117"/>
      <x:c r="L101" s="117"/>
      <x:c r="M101" s="117"/>
      <x:c r="N101" s="117"/>
      <x:c r="O101" s="117"/>
      <x:c r="P101" s="117"/>
      <x:c r="Q101" s="117"/>
      <x:c r="R101" s="117"/>
      <x:c r="S101" s="117"/>
      <x:c r="T101" s="117"/>
      <x:c r="U101" s="117"/>
      <x:c r="V101" s="117"/>
      <x:c r="W101" s="117"/>
      <x:c r="X101" s="117"/>
      <x:c r="Y101" s="117"/>
      <x:c r="Z101" s="117"/>
    </x:row>
    <x:row r="102">
      <x:c r="A102" s="117"/>
      <x:c r="B102" s="117"/>
      <x:c r="C102" s="117"/>
      <x:c r="D102" s="117"/>
      <x:c r="E102" s="117"/>
      <x:c r="F102" s="117"/>
      <x:c r="G102" s="117"/>
      <x:c r="H102" s="117"/>
      <x:c r="I102" s="117"/>
      <x:c r="J102" s="117"/>
      <x:c r="K102" s="117"/>
      <x:c r="L102" s="117"/>
      <x:c r="M102" s="117"/>
      <x:c r="N102" s="117"/>
      <x:c r="O102" s="117"/>
      <x:c r="P102" s="117"/>
      <x:c r="Q102" s="117"/>
      <x:c r="R102" s="117"/>
      <x:c r="S102" s="117"/>
      <x:c r="T102" s="117"/>
      <x:c r="U102" s="117"/>
      <x:c r="V102" s="117"/>
      <x:c r="W102" s="117"/>
      <x:c r="X102" s="117"/>
      <x:c r="Y102" s="117"/>
      <x:c r="Z102" s="117"/>
    </x:row>
    <x:row r="103">
      <x:c r="A103" s="117"/>
      <x:c r="B103" s="117"/>
      <x:c r="C103" s="117"/>
      <x:c r="D103" s="117"/>
      <x:c r="E103" s="117"/>
      <x:c r="F103" s="117"/>
      <x:c r="G103" s="117"/>
      <x:c r="H103" s="117"/>
      <x:c r="I103" s="117"/>
      <x:c r="J103" s="117"/>
      <x:c r="K103" s="117"/>
      <x:c r="L103" s="117"/>
      <x:c r="M103" s="117"/>
      <x:c r="N103" s="117"/>
      <x:c r="O103" s="117"/>
      <x:c r="P103" s="117"/>
      <x:c r="Q103" s="117"/>
      <x:c r="R103" s="117"/>
      <x:c r="S103" s="117"/>
      <x:c r="T103" s="117"/>
      <x:c r="U103" s="117"/>
      <x:c r="V103" s="117"/>
      <x:c r="W103" s="117"/>
      <x:c r="X103" s="117"/>
      <x:c r="Y103" s="117"/>
      <x:c r="Z103" s="117"/>
    </x:row>
    <x:row r="104">
      <x:c r="A104" s="117"/>
      <x:c r="B104" s="117"/>
      <x:c r="C104" s="117"/>
      <x:c r="D104" s="117"/>
      <x:c r="E104" s="117"/>
      <x:c r="F104" s="117"/>
      <x:c r="G104" s="117"/>
      <x:c r="H104" s="117"/>
      <x:c r="I104" s="117"/>
      <x:c r="J104" s="117"/>
      <x:c r="K104" s="117"/>
      <x:c r="L104" s="117"/>
      <x:c r="M104" s="117"/>
      <x:c r="N104" s="117"/>
      <x:c r="O104" s="117"/>
      <x:c r="P104" s="117"/>
      <x:c r="Q104" s="117"/>
      <x:c r="R104" s="117"/>
      <x:c r="S104" s="117"/>
      <x:c r="T104" s="117"/>
      <x:c r="U104" s="117"/>
      <x:c r="V104" s="117"/>
      <x:c r="W104" s="117"/>
      <x:c r="X104" s="117"/>
      <x:c r="Y104" s="117"/>
      <x:c r="Z104" s="117"/>
    </x:row>
    <x:row r="105">
      <x:c r="A105" s="117"/>
      <x:c r="B105" s="117"/>
      <x:c r="C105" s="117"/>
      <x:c r="D105" s="117"/>
      <x:c r="E105" s="117"/>
      <x:c r="F105" s="117"/>
      <x:c r="G105" s="117"/>
      <x:c r="H105" s="117"/>
      <x:c r="I105" s="117"/>
      <x:c r="J105" s="117"/>
      <x:c r="K105" s="117"/>
      <x:c r="L105" s="117"/>
      <x:c r="M105" s="117"/>
      <x:c r="N105" s="117"/>
      <x:c r="O105" s="117"/>
      <x:c r="P105" s="117"/>
      <x:c r="Q105" s="117"/>
      <x:c r="R105" s="117"/>
      <x:c r="S105" s="117"/>
      <x:c r="T105" s="117"/>
      <x:c r="U105" s="117"/>
      <x:c r="V105" s="117"/>
      <x:c r="W105" s="117"/>
      <x:c r="X105" s="117"/>
      <x:c r="Y105" s="117"/>
      <x:c r="Z105" s="117"/>
    </x:row>
    <x:row r="106">
      <x:c r="A106" s="117"/>
      <x:c r="B106" s="117"/>
      <x:c r="C106" s="117"/>
      <x:c r="D106" s="117"/>
      <x:c r="E106" s="117"/>
      <x:c r="F106" s="117"/>
      <x:c r="G106" s="117"/>
      <x:c r="H106" s="117"/>
      <x:c r="I106" s="117"/>
      <x:c r="J106" s="117"/>
      <x:c r="K106" s="117"/>
      <x:c r="L106" s="117"/>
      <x:c r="M106" s="117"/>
      <x:c r="N106" s="117"/>
      <x:c r="O106" s="117"/>
      <x:c r="P106" s="117"/>
      <x:c r="Q106" s="117"/>
      <x:c r="R106" s="117"/>
      <x:c r="S106" s="117"/>
      <x:c r="T106" s="117"/>
      <x:c r="U106" s="117"/>
      <x:c r="V106" s="117"/>
      <x:c r="W106" s="117"/>
      <x:c r="X106" s="117"/>
      <x:c r="Y106" s="117"/>
      <x:c r="Z106" s="117"/>
    </x:row>
    <x:row r="107">
      <x:c r="A107" s="117"/>
      <x:c r="B107" s="117"/>
      <x:c r="C107" s="117"/>
      <x:c r="D107" s="117"/>
      <x:c r="E107" s="117"/>
      <x:c r="F107" s="117"/>
      <x:c r="G107" s="117"/>
      <x:c r="H107" s="117"/>
      <x:c r="I107" s="117"/>
      <x:c r="J107" s="117"/>
      <x:c r="K107" s="117"/>
      <x:c r="L107" s="117"/>
      <x:c r="M107" s="117"/>
      <x:c r="N107" s="117"/>
      <x:c r="O107" s="117"/>
      <x:c r="P107" s="117"/>
      <x:c r="Q107" s="117"/>
      <x:c r="R107" s="117"/>
      <x:c r="S107" s="117"/>
      <x:c r="T107" s="117"/>
      <x:c r="U107" s="117"/>
      <x:c r="V107" s="117"/>
      <x:c r="W107" s="117"/>
      <x:c r="X107" s="117"/>
      <x:c r="Y107" s="117"/>
      <x:c r="Z107" s="117"/>
    </x:row>
    <x:row r="108">
      <x:c r="A108" s="117"/>
      <x:c r="B108" s="117"/>
      <x:c r="C108" s="117"/>
      <x:c r="D108" s="117"/>
      <x:c r="E108" s="117"/>
      <x:c r="F108" s="117"/>
      <x:c r="G108" s="117"/>
      <x:c r="H108" s="117"/>
      <x:c r="I108" s="117"/>
      <x:c r="J108" s="117"/>
      <x:c r="K108" s="117"/>
      <x:c r="L108" s="117"/>
      <x:c r="M108" s="117"/>
      <x:c r="N108" s="117"/>
      <x:c r="O108" s="117"/>
      <x:c r="P108" s="117"/>
      <x:c r="Q108" s="117"/>
      <x:c r="R108" s="117"/>
      <x:c r="S108" s="117"/>
      <x:c r="T108" s="117"/>
      <x:c r="U108" s="117"/>
      <x:c r="V108" s="117"/>
      <x:c r="W108" s="117"/>
      <x:c r="X108" s="117"/>
      <x:c r="Y108" s="117"/>
      <x:c r="Z108" s="117"/>
    </x:row>
    <x:row r="109">
      <x:c r="A109" s="117"/>
      <x:c r="B109" s="117"/>
      <x:c r="C109" s="117"/>
      <x:c r="D109" s="117"/>
      <x:c r="E109" s="117"/>
      <x:c r="F109" s="117"/>
      <x:c r="G109" s="117"/>
      <x:c r="H109" s="117"/>
      <x:c r="I109" s="117"/>
      <x:c r="J109" s="117"/>
      <x:c r="K109" s="117"/>
      <x:c r="L109" s="117"/>
      <x:c r="M109" s="117"/>
      <x:c r="N109" s="117"/>
      <x:c r="O109" s="117"/>
      <x:c r="P109" s="117"/>
      <x:c r="Q109" s="117"/>
      <x:c r="R109" s="117"/>
      <x:c r="S109" s="117"/>
      <x:c r="T109" s="117"/>
      <x:c r="U109" s="117"/>
      <x:c r="V109" s="117"/>
      <x:c r="W109" s="117"/>
      <x:c r="X109" s="117"/>
      <x:c r="Y109" s="117"/>
      <x:c r="Z109" s="117"/>
    </x:row>
    <x:row r="110">
      <x:c r="A110" s="117"/>
      <x:c r="B110" s="117"/>
      <x:c r="C110" s="117"/>
      <x:c r="D110" s="117"/>
      <x:c r="E110" s="117"/>
      <x:c r="F110" s="117"/>
      <x:c r="G110" s="117"/>
      <x:c r="H110" s="117"/>
      <x:c r="I110" s="117"/>
      <x:c r="J110" s="117"/>
      <x:c r="K110" s="117"/>
      <x:c r="L110" s="117"/>
      <x:c r="M110" s="117"/>
      <x:c r="N110" s="117"/>
      <x:c r="O110" s="117"/>
      <x:c r="P110" s="117"/>
      <x:c r="Q110" s="117"/>
      <x:c r="R110" s="117"/>
      <x:c r="S110" s="117"/>
      <x:c r="T110" s="117"/>
      <x:c r="U110" s="117"/>
      <x:c r="V110" s="117"/>
      <x:c r="W110" s="117"/>
      <x:c r="X110" s="117"/>
      <x:c r="Y110" s="117"/>
      <x:c r="Z110" s="117"/>
    </x:row>
    <x:row r="111">
      <x:c r="A111" s="117"/>
      <x:c r="B111" s="117"/>
      <x:c r="C111" s="117"/>
      <x:c r="D111" s="117"/>
      <x:c r="E111" s="117"/>
      <x:c r="F111" s="117"/>
      <x:c r="G111" s="117"/>
      <x:c r="H111" s="117"/>
      <x:c r="I111" s="117"/>
      <x:c r="J111" s="117"/>
      <x:c r="K111" s="117"/>
      <x:c r="L111" s="117"/>
      <x:c r="M111" s="117"/>
      <x:c r="N111" s="117"/>
      <x:c r="O111" s="117"/>
      <x:c r="P111" s="117"/>
      <x:c r="Q111" s="117"/>
      <x:c r="R111" s="117"/>
      <x:c r="S111" s="117"/>
      <x:c r="T111" s="117"/>
      <x:c r="U111" s="117"/>
      <x:c r="V111" s="117"/>
      <x:c r="W111" s="117"/>
      <x:c r="X111" s="117"/>
      <x:c r="Y111" s="117"/>
      <x:c r="Z111" s="117"/>
    </x:row>
    <x:row r="112">
      <x:c r="A112" s="117"/>
      <x:c r="B112" s="117"/>
      <x:c r="C112" s="117"/>
      <x:c r="D112" s="117"/>
      <x:c r="E112" s="117"/>
      <x:c r="F112" s="117"/>
      <x:c r="G112" s="117"/>
      <x:c r="H112" s="117"/>
      <x:c r="I112" s="117"/>
      <x:c r="J112" s="117"/>
      <x:c r="K112" s="117"/>
      <x:c r="L112" s="117"/>
      <x:c r="M112" s="117"/>
      <x:c r="N112" s="117"/>
      <x:c r="O112" s="117"/>
      <x:c r="P112" s="117"/>
      <x:c r="Q112" s="117"/>
      <x:c r="R112" s="117"/>
      <x:c r="S112" s="117"/>
      <x:c r="T112" s="117"/>
      <x:c r="U112" s="117"/>
      <x:c r="V112" s="117"/>
      <x:c r="W112" s="117"/>
      <x:c r="X112" s="117"/>
      <x:c r="Y112" s="117"/>
      <x:c r="Z112" s="117"/>
    </x:row>
    <x:row r="113">
      <x:c r="A113" s="117"/>
      <x:c r="B113" s="117"/>
      <x:c r="C113" s="117"/>
      <x:c r="D113" s="117"/>
      <x:c r="E113" s="117"/>
      <x:c r="F113" s="117"/>
      <x:c r="G113" s="117"/>
      <x:c r="H113" s="117"/>
      <x:c r="I113" s="117"/>
      <x:c r="J113" s="117"/>
      <x:c r="K113" s="117"/>
      <x:c r="L113" s="117"/>
      <x:c r="M113" s="117"/>
      <x:c r="N113" s="117"/>
      <x:c r="O113" s="117"/>
      <x:c r="P113" s="117"/>
      <x:c r="Q113" s="117"/>
      <x:c r="R113" s="117"/>
      <x:c r="S113" s="117"/>
      <x:c r="T113" s="117"/>
      <x:c r="U113" s="117"/>
      <x:c r="V113" s="117"/>
      <x:c r="W113" s="117"/>
      <x:c r="X113" s="117"/>
      <x:c r="Y113" s="117"/>
      <x:c r="Z113" s="117"/>
    </x:row>
    <x:row r="114">
      <x:c r="A114" s="117"/>
      <x:c r="B114" s="117"/>
      <x:c r="C114" s="117"/>
      <x:c r="D114" s="117"/>
      <x:c r="E114" s="117"/>
      <x:c r="F114" s="117"/>
      <x:c r="G114" s="117"/>
      <x:c r="H114" s="117"/>
      <x:c r="I114" s="117"/>
      <x:c r="J114" s="117"/>
      <x:c r="K114" s="117"/>
      <x:c r="L114" s="117"/>
      <x:c r="M114" s="117"/>
      <x:c r="N114" s="117"/>
      <x:c r="O114" s="117"/>
      <x:c r="P114" s="117"/>
      <x:c r="Q114" s="117"/>
      <x:c r="R114" s="117"/>
      <x:c r="S114" s="117"/>
      <x:c r="T114" s="117"/>
      <x:c r="U114" s="117"/>
      <x:c r="V114" s="117"/>
      <x:c r="W114" s="117"/>
      <x:c r="X114" s="117"/>
      <x:c r="Y114" s="117"/>
      <x:c r="Z114" s="117"/>
    </x:row>
    <x:row r="115">
      <x:c r="A115" s="117"/>
      <x:c r="B115" s="117"/>
      <x:c r="C115" s="117"/>
      <x:c r="D115" s="117"/>
      <x:c r="E115" s="117"/>
      <x:c r="F115" s="117"/>
      <x:c r="G115" s="117"/>
      <x:c r="H115" s="117"/>
      <x:c r="I115" s="117"/>
      <x:c r="J115" s="117"/>
      <x:c r="K115" s="117"/>
      <x:c r="L115" s="117"/>
      <x:c r="M115" s="117"/>
      <x:c r="N115" s="117"/>
      <x:c r="O115" s="117"/>
      <x:c r="P115" s="117"/>
      <x:c r="Q115" s="117"/>
      <x:c r="R115" s="117"/>
      <x:c r="S115" s="117"/>
      <x:c r="T115" s="117"/>
      <x:c r="U115" s="117"/>
      <x:c r="V115" s="117"/>
      <x:c r="W115" s="117"/>
      <x:c r="X115" s="117"/>
      <x:c r="Y115" s="117"/>
      <x:c r="Z115" s="117"/>
    </x:row>
    <x:row r="116">
      <x:c r="A116" s="117"/>
      <x:c r="B116" s="117"/>
      <x:c r="C116" s="117"/>
      <x:c r="D116" s="117"/>
      <x:c r="E116" s="117"/>
      <x:c r="F116" s="117"/>
      <x:c r="G116" s="117"/>
      <x:c r="H116" s="117"/>
      <x:c r="I116" s="117"/>
      <x:c r="J116" s="117"/>
      <x:c r="K116" s="117"/>
      <x:c r="L116" s="117"/>
      <x:c r="M116" s="117"/>
      <x:c r="N116" s="117"/>
      <x:c r="O116" s="117"/>
      <x:c r="P116" s="117"/>
      <x:c r="Q116" s="117"/>
      <x:c r="R116" s="117"/>
      <x:c r="S116" s="117"/>
      <x:c r="T116" s="117"/>
      <x:c r="U116" s="117"/>
      <x:c r="V116" s="117"/>
      <x:c r="W116" s="117"/>
      <x:c r="X116" s="117"/>
      <x:c r="Y116" s="117"/>
      <x:c r="Z116" s="117"/>
    </x:row>
    <x:row r="117">
      <x:c r="A117" s="117"/>
      <x:c r="B117" s="117"/>
      <x:c r="C117" s="117"/>
      <x:c r="D117" s="117"/>
      <x:c r="E117" s="117"/>
      <x:c r="F117" s="117"/>
      <x:c r="G117" s="117"/>
      <x:c r="H117" s="117"/>
      <x:c r="I117" s="117"/>
      <x:c r="J117" s="117"/>
      <x:c r="K117" s="117"/>
      <x:c r="L117" s="117"/>
      <x:c r="M117" s="117"/>
      <x:c r="N117" s="117"/>
      <x:c r="O117" s="117"/>
      <x:c r="P117" s="117"/>
      <x:c r="Q117" s="117"/>
      <x:c r="R117" s="117"/>
      <x:c r="S117" s="117"/>
      <x:c r="T117" s="117"/>
      <x:c r="U117" s="117"/>
      <x:c r="V117" s="117"/>
      <x:c r="W117" s="117"/>
      <x:c r="X117" s="117"/>
      <x:c r="Y117" s="117"/>
      <x:c r="Z117" s="117"/>
    </x:row>
    <x:row r="118">
      <x:c r="A118" s="117"/>
      <x:c r="B118" s="117"/>
      <x:c r="C118" s="117"/>
      <x:c r="D118" s="117"/>
      <x:c r="E118" s="117"/>
      <x:c r="F118" s="117"/>
      <x:c r="G118" s="117"/>
      <x:c r="H118" s="117"/>
      <x:c r="I118" s="117"/>
      <x:c r="J118" s="117"/>
      <x:c r="K118" s="117"/>
      <x:c r="L118" s="117"/>
      <x:c r="M118" s="117"/>
      <x:c r="N118" s="117"/>
      <x:c r="O118" s="117"/>
      <x:c r="P118" s="117"/>
      <x:c r="Q118" s="117"/>
      <x:c r="R118" s="117"/>
      <x:c r="S118" s="117"/>
      <x:c r="T118" s="117"/>
      <x:c r="U118" s="117"/>
      <x:c r="V118" s="117"/>
      <x:c r="W118" s="117"/>
      <x:c r="X118" s="117"/>
      <x:c r="Y118" s="117"/>
      <x:c r="Z118" s="117"/>
    </x:row>
    <x:row r="119">
      <x:c r="A119" s="117"/>
      <x:c r="B119" s="117"/>
      <x:c r="C119" s="117"/>
      <x:c r="D119" s="117"/>
      <x:c r="E119" s="117"/>
      <x:c r="F119" s="117"/>
      <x:c r="G119" s="117"/>
      <x:c r="H119" s="117"/>
      <x:c r="I119" s="117"/>
      <x:c r="J119" s="117"/>
      <x:c r="K119" s="117"/>
      <x:c r="L119" s="117"/>
      <x:c r="M119" s="117"/>
      <x:c r="N119" s="117"/>
      <x:c r="O119" s="117"/>
      <x:c r="P119" s="117"/>
      <x:c r="Q119" s="117"/>
      <x:c r="R119" s="117"/>
      <x:c r="S119" s="117"/>
      <x:c r="T119" s="117"/>
      <x:c r="U119" s="117"/>
      <x:c r="V119" s="117"/>
      <x:c r="W119" s="117"/>
      <x:c r="X119" s="117"/>
      <x:c r="Y119" s="117"/>
      <x:c r="Z119" s="117"/>
    </x:row>
    <x:row r="120">
      <x:c r="A120" s="117"/>
      <x:c r="B120" s="117"/>
      <x:c r="C120" s="117"/>
      <x:c r="D120" s="117"/>
      <x:c r="E120" s="117"/>
      <x:c r="F120" s="117"/>
      <x:c r="G120" s="117"/>
      <x:c r="H120" s="117"/>
      <x:c r="I120" s="117"/>
      <x:c r="J120" s="117"/>
      <x:c r="K120" s="117"/>
      <x:c r="L120" s="117"/>
      <x:c r="M120" s="117"/>
      <x:c r="N120" s="117"/>
      <x:c r="O120" s="117"/>
      <x:c r="P120" s="117"/>
      <x:c r="Q120" s="117"/>
      <x:c r="R120" s="117"/>
      <x:c r="S120" s="117"/>
      <x:c r="T120" s="117"/>
      <x:c r="U120" s="117"/>
      <x:c r="V120" s="117"/>
      <x:c r="W120" s="117"/>
      <x:c r="X120" s="117"/>
      <x:c r="Y120" s="117"/>
      <x:c r="Z120" s="117"/>
    </x:row>
    <x:row r="121">
      <x:c r="A121" s="117"/>
      <x:c r="B121" s="117"/>
      <x:c r="C121" s="117"/>
      <x:c r="D121" s="117"/>
      <x:c r="E121" s="117"/>
      <x:c r="F121" s="117"/>
      <x:c r="G121" s="117"/>
      <x:c r="H121" s="117"/>
      <x:c r="I121" s="117"/>
      <x:c r="J121" s="117"/>
      <x:c r="K121" s="117"/>
      <x:c r="L121" s="117"/>
      <x:c r="M121" s="117"/>
      <x:c r="N121" s="117"/>
      <x:c r="O121" s="117"/>
      <x:c r="P121" s="117"/>
      <x:c r="Q121" s="117"/>
      <x:c r="R121" s="117"/>
      <x:c r="S121" s="117"/>
      <x:c r="T121" s="117"/>
      <x:c r="U121" s="117"/>
      <x:c r="V121" s="117"/>
      <x:c r="W121" s="117"/>
      <x:c r="X121" s="117"/>
      <x:c r="Y121" s="117"/>
      <x:c r="Z121" s="117"/>
    </x:row>
    <x:row r="122">
      <x:c r="A122" s="117"/>
      <x:c r="B122" s="117"/>
      <x:c r="C122" s="117"/>
      <x:c r="D122" s="117"/>
      <x:c r="E122" s="117"/>
      <x:c r="F122" s="117"/>
      <x:c r="G122" s="117"/>
      <x:c r="H122" s="117"/>
      <x:c r="I122" s="117"/>
      <x:c r="J122" s="117"/>
      <x:c r="K122" s="117"/>
      <x:c r="L122" s="117"/>
      <x:c r="M122" s="117"/>
      <x:c r="N122" s="117"/>
      <x:c r="O122" s="117"/>
      <x:c r="P122" s="117"/>
      <x:c r="Q122" s="117"/>
      <x:c r="R122" s="117"/>
      <x:c r="S122" s="117"/>
      <x:c r="T122" s="117"/>
      <x:c r="U122" s="117"/>
      <x:c r="V122" s="117"/>
      <x:c r="W122" s="117"/>
      <x:c r="X122" s="117"/>
      <x:c r="Y122" s="117"/>
      <x:c r="Z122" s="117"/>
    </x:row>
    <x:row r="123">
      <x:c r="A123" s="117"/>
      <x:c r="B123" s="117"/>
      <x:c r="C123" s="117"/>
      <x:c r="D123" s="117"/>
      <x:c r="E123" s="117"/>
      <x:c r="F123" s="117"/>
      <x:c r="G123" s="117"/>
      <x:c r="H123" s="117"/>
      <x:c r="I123" s="117"/>
      <x:c r="J123" s="117"/>
      <x:c r="K123" s="117"/>
      <x:c r="L123" s="117"/>
      <x:c r="M123" s="117"/>
      <x:c r="N123" s="117"/>
      <x:c r="O123" s="117"/>
      <x:c r="P123" s="117"/>
      <x:c r="Q123" s="117"/>
      <x:c r="R123" s="117"/>
      <x:c r="S123" s="117"/>
      <x:c r="T123" s="117"/>
      <x:c r="U123" s="117"/>
      <x:c r="V123" s="117"/>
      <x:c r="W123" s="117"/>
      <x:c r="X123" s="117"/>
      <x:c r="Y123" s="117"/>
      <x:c r="Z123" s="117"/>
    </x:row>
    <x:row r="124">
      <x:c r="A124" s="117"/>
      <x:c r="B124" s="117"/>
      <x:c r="C124" s="117"/>
      <x:c r="D124" s="117"/>
      <x:c r="E124" s="117"/>
      <x:c r="F124" s="117"/>
      <x:c r="G124" s="117"/>
      <x:c r="H124" s="117"/>
      <x:c r="I124" s="117"/>
      <x:c r="J124" s="117"/>
      <x:c r="K124" s="117"/>
      <x:c r="L124" s="117"/>
      <x:c r="M124" s="117"/>
      <x:c r="N124" s="117"/>
      <x:c r="O124" s="117"/>
      <x:c r="P124" s="117"/>
      <x:c r="Q124" s="117"/>
      <x:c r="R124" s="117"/>
      <x:c r="S124" s="117"/>
      <x:c r="T124" s="117"/>
      <x:c r="U124" s="117"/>
      <x:c r="V124" s="117"/>
      <x:c r="W124" s="117"/>
      <x:c r="X124" s="117"/>
      <x:c r="Y124" s="117"/>
      <x:c r="Z124" s="117"/>
    </x:row>
    <x:row r="125">
      <x:c r="A125" s="117"/>
      <x:c r="B125" s="117"/>
      <x:c r="C125" s="117"/>
      <x:c r="D125" s="117"/>
      <x:c r="E125" s="117"/>
      <x:c r="F125" s="117"/>
      <x:c r="G125" s="117"/>
      <x:c r="H125" s="117"/>
      <x:c r="I125" s="117"/>
      <x:c r="J125" s="117"/>
      <x:c r="K125" s="117"/>
      <x:c r="L125" s="117"/>
      <x:c r="M125" s="117"/>
      <x:c r="N125" s="117"/>
      <x:c r="O125" s="117"/>
      <x:c r="P125" s="117"/>
      <x:c r="Q125" s="117"/>
      <x:c r="R125" s="117"/>
      <x:c r="S125" s="117"/>
      <x:c r="T125" s="117"/>
      <x:c r="U125" s="117"/>
      <x:c r="V125" s="117"/>
      <x:c r="W125" s="117"/>
      <x:c r="X125" s="117"/>
      <x:c r="Y125" s="117"/>
      <x:c r="Z125" s="117"/>
    </x:row>
    <x:row r="126">
      <x:c r="A126" s="117"/>
      <x:c r="B126" s="117"/>
      <x:c r="C126" s="117"/>
      <x:c r="D126" s="117"/>
      <x:c r="E126" s="117"/>
      <x:c r="F126" s="117"/>
      <x:c r="G126" s="117"/>
      <x:c r="H126" s="117"/>
      <x:c r="I126" s="117"/>
      <x:c r="J126" s="117"/>
      <x:c r="K126" s="117"/>
      <x:c r="L126" s="117"/>
      <x:c r="M126" s="117"/>
      <x:c r="N126" s="117"/>
      <x:c r="O126" s="117"/>
      <x:c r="P126" s="117"/>
      <x:c r="Q126" s="117"/>
      <x:c r="R126" s="117"/>
      <x:c r="S126" s="117"/>
      <x:c r="T126" s="117"/>
      <x:c r="U126" s="117"/>
      <x:c r="V126" s="117"/>
      <x:c r="W126" s="117"/>
      <x:c r="X126" s="117"/>
      <x:c r="Y126" s="117"/>
      <x:c r="Z126" s="117"/>
    </x:row>
    <x:row r="127">
      <x:c r="A127" s="117"/>
      <x:c r="B127" s="117"/>
      <x:c r="C127" s="117"/>
      <x:c r="D127" s="117"/>
      <x:c r="E127" s="117"/>
      <x:c r="F127" s="117"/>
      <x:c r="G127" s="117"/>
      <x:c r="H127" s="117"/>
      <x:c r="I127" s="117"/>
      <x:c r="J127" s="117"/>
      <x:c r="K127" s="117"/>
      <x:c r="L127" s="117"/>
      <x:c r="M127" s="117"/>
      <x:c r="N127" s="117"/>
      <x:c r="O127" s="117"/>
      <x:c r="P127" s="117"/>
      <x:c r="Q127" s="117"/>
      <x:c r="R127" s="117"/>
      <x:c r="S127" s="117"/>
      <x:c r="T127" s="117"/>
      <x:c r="U127" s="117"/>
      <x:c r="V127" s="117"/>
      <x:c r="W127" s="117"/>
      <x:c r="X127" s="117"/>
      <x:c r="Y127" s="117"/>
      <x:c r="Z127" s="117"/>
    </x:row>
    <x:row r="128">
      <x:c r="A128" s="117"/>
      <x:c r="B128" s="117"/>
      <x:c r="C128" s="117"/>
      <x:c r="D128" s="117"/>
      <x:c r="E128" s="117"/>
      <x:c r="F128" s="117"/>
      <x:c r="G128" s="117"/>
      <x:c r="H128" s="117"/>
      <x:c r="I128" s="117"/>
      <x:c r="J128" s="117"/>
      <x:c r="K128" s="117"/>
      <x:c r="L128" s="117"/>
      <x:c r="M128" s="117"/>
      <x:c r="N128" s="117"/>
      <x:c r="O128" s="117"/>
      <x:c r="P128" s="117"/>
      <x:c r="Q128" s="117"/>
      <x:c r="R128" s="117"/>
      <x:c r="S128" s="117"/>
      <x:c r="T128" s="117"/>
      <x:c r="U128" s="117"/>
      <x:c r="V128" s="117"/>
      <x:c r="W128" s="117"/>
      <x:c r="X128" s="117"/>
      <x:c r="Y128" s="117"/>
      <x:c r="Z128" s="117"/>
    </x:row>
    <x:row r="129">
      <x:c r="A129" s="117"/>
      <x:c r="B129" s="117"/>
      <x:c r="C129" s="117"/>
      <x:c r="D129" s="117"/>
      <x:c r="E129" s="117"/>
      <x:c r="F129" s="117"/>
      <x:c r="G129" s="117"/>
      <x:c r="H129" s="117"/>
      <x:c r="I129" s="117"/>
      <x:c r="J129" s="117"/>
      <x:c r="K129" s="117"/>
      <x:c r="L129" s="117"/>
      <x:c r="M129" s="117"/>
      <x:c r="N129" s="117"/>
      <x:c r="O129" s="117"/>
      <x:c r="P129" s="117"/>
      <x:c r="Q129" s="117"/>
      <x:c r="R129" s="117"/>
      <x:c r="S129" s="117"/>
      <x:c r="T129" s="117"/>
      <x:c r="U129" s="117"/>
      <x:c r="V129" s="117"/>
      <x:c r="W129" s="117"/>
      <x:c r="X129" s="117"/>
      <x:c r="Y129" s="117"/>
      <x:c r="Z129" s="117"/>
    </x:row>
    <x:row r="130">
      <x:c r="A130" s="117"/>
      <x:c r="B130" s="117"/>
      <x:c r="C130" s="117"/>
      <x:c r="D130" s="117"/>
      <x:c r="E130" s="117"/>
      <x:c r="F130" s="117"/>
      <x:c r="G130" s="117"/>
      <x:c r="H130" s="117"/>
      <x:c r="I130" s="117"/>
      <x:c r="J130" s="117"/>
      <x:c r="K130" s="117"/>
      <x:c r="L130" s="117"/>
      <x:c r="M130" s="117"/>
      <x:c r="N130" s="117"/>
      <x:c r="O130" s="117"/>
      <x:c r="P130" s="117"/>
      <x:c r="Q130" s="117"/>
      <x:c r="R130" s="117"/>
      <x:c r="S130" s="117"/>
      <x:c r="T130" s="117"/>
      <x:c r="U130" s="117"/>
      <x:c r="V130" s="117"/>
      <x:c r="W130" s="117"/>
      <x:c r="X130" s="117"/>
      <x:c r="Y130" s="117"/>
      <x:c r="Z130" s="117"/>
    </x:row>
    <x:row r="131">
      <x:c r="A131" s="117"/>
      <x:c r="B131" s="117"/>
      <x:c r="C131" s="117"/>
      <x:c r="D131" s="117"/>
      <x:c r="E131" s="117"/>
      <x:c r="F131" s="117"/>
      <x:c r="G131" s="117"/>
      <x:c r="H131" s="117"/>
      <x:c r="I131" s="117"/>
      <x:c r="J131" s="117"/>
      <x:c r="K131" s="117"/>
      <x:c r="L131" s="117"/>
      <x:c r="M131" s="117"/>
      <x:c r="N131" s="117"/>
      <x:c r="O131" s="117"/>
      <x:c r="P131" s="117"/>
      <x:c r="Q131" s="117"/>
      <x:c r="R131" s="117"/>
      <x:c r="S131" s="117"/>
      <x:c r="T131" s="117"/>
      <x:c r="U131" s="117"/>
      <x:c r="V131" s="117"/>
      <x:c r="W131" s="117"/>
      <x:c r="X131" s="117"/>
      <x:c r="Y131" s="117"/>
      <x:c r="Z131" s="117"/>
    </x:row>
    <x:row r="132">
      <x:c r="A132" s="117"/>
      <x:c r="B132" s="117"/>
      <x:c r="C132" s="117"/>
      <x:c r="D132" s="117"/>
      <x:c r="E132" s="117"/>
      <x:c r="F132" s="117"/>
      <x:c r="G132" s="117"/>
      <x:c r="H132" s="117"/>
      <x:c r="I132" s="117"/>
      <x:c r="J132" s="117"/>
      <x:c r="K132" s="117"/>
      <x:c r="L132" s="117"/>
      <x:c r="M132" s="117"/>
      <x:c r="N132" s="117"/>
      <x:c r="O132" s="117"/>
      <x:c r="P132" s="117"/>
      <x:c r="Q132" s="117"/>
      <x:c r="R132" s="117"/>
      <x:c r="S132" s="117"/>
      <x:c r="T132" s="117"/>
      <x:c r="U132" s="117"/>
      <x:c r="V132" s="117"/>
      <x:c r="W132" s="117"/>
      <x:c r="X132" s="117"/>
      <x:c r="Y132" s="117"/>
      <x:c r="Z132" s="117"/>
    </x:row>
    <x:row r="133">
      <x:c r="A133" s="117"/>
      <x:c r="B133" s="117"/>
      <x:c r="C133" s="117"/>
      <x:c r="D133" s="117"/>
      <x:c r="E133" s="117"/>
      <x:c r="F133" s="117"/>
      <x:c r="G133" s="117"/>
      <x:c r="H133" s="117"/>
      <x:c r="I133" s="117"/>
      <x:c r="J133" s="117"/>
      <x:c r="K133" s="117"/>
      <x:c r="L133" s="117"/>
      <x:c r="M133" s="117"/>
      <x:c r="N133" s="117"/>
      <x:c r="O133" s="117"/>
      <x:c r="P133" s="117"/>
      <x:c r="Q133" s="117"/>
      <x:c r="R133" s="117"/>
      <x:c r="S133" s="117"/>
      <x:c r="T133" s="117"/>
      <x:c r="U133" s="117"/>
      <x:c r="V133" s="117"/>
      <x:c r="W133" s="117"/>
      <x:c r="X133" s="117"/>
      <x:c r="Y133" s="117"/>
      <x:c r="Z133" s="117"/>
    </x:row>
    <x:row r="134">
      <x:c r="A134" s="117"/>
      <x:c r="B134" s="117"/>
      <x:c r="C134" s="117"/>
      <x:c r="D134" s="117"/>
      <x:c r="E134" s="117"/>
      <x:c r="F134" s="117"/>
      <x:c r="G134" s="117"/>
      <x:c r="H134" s="117"/>
      <x:c r="I134" s="117"/>
      <x:c r="J134" s="117"/>
      <x:c r="K134" s="117"/>
      <x:c r="L134" s="117"/>
      <x:c r="M134" s="117"/>
      <x:c r="N134" s="117"/>
      <x:c r="O134" s="117"/>
      <x:c r="P134" s="117"/>
      <x:c r="Q134" s="117"/>
      <x:c r="R134" s="117"/>
      <x:c r="S134" s="117"/>
      <x:c r="T134" s="117"/>
      <x:c r="U134" s="117"/>
      <x:c r="V134" s="117"/>
      <x:c r="W134" s="117"/>
      <x:c r="X134" s="117"/>
      <x:c r="Y134" s="117"/>
      <x:c r="Z134" s="117"/>
    </x:row>
    <x:row r="135">
      <x:c r="A135" s="117"/>
      <x:c r="B135" s="117"/>
      <x:c r="C135" s="117"/>
      <x:c r="D135" s="117"/>
      <x:c r="E135" s="117"/>
      <x:c r="F135" s="117"/>
      <x:c r="G135" s="117"/>
      <x:c r="H135" s="117"/>
      <x:c r="I135" s="117"/>
      <x:c r="J135" s="117"/>
      <x:c r="K135" s="117"/>
      <x:c r="L135" s="117"/>
      <x:c r="M135" s="117"/>
      <x:c r="N135" s="117"/>
      <x:c r="O135" s="117"/>
      <x:c r="P135" s="117"/>
      <x:c r="Q135" s="117"/>
      <x:c r="R135" s="117"/>
      <x:c r="S135" s="117"/>
      <x:c r="T135" s="117"/>
      <x:c r="U135" s="117"/>
      <x:c r="V135" s="117"/>
      <x:c r="W135" s="117"/>
      <x:c r="X135" s="117"/>
      <x:c r="Y135" s="117"/>
      <x:c r="Z135" s="117"/>
    </x:row>
    <x:row r="136">
      <x:c r="A136" s="117"/>
      <x:c r="B136" s="117"/>
      <x:c r="C136" s="117"/>
      <x:c r="D136" s="117"/>
      <x:c r="E136" s="117"/>
      <x:c r="F136" s="117"/>
      <x:c r="G136" s="117"/>
      <x:c r="H136" s="117"/>
      <x:c r="I136" s="117"/>
      <x:c r="J136" s="117"/>
      <x:c r="K136" s="117"/>
      <x:c r="L136" s="117"/>
      <x:c r="M136" s="117"/>
      <x:c r="N136" s="117"/>
      <x:c r="O136" s="117"/>
      <x:c r="P136" s="117"/>
      <x:c r="Q136" s="117"/>
      <x:c r="R136" s="117"/>
      <x:c r="S136" s="117"/>
      <x:c r="T136" s="117"/>
      <x:c r="U136" s="117"/>
      <x:c r="V136" s="117"/>
      <x:c r="W136" s="117"/>
      <x:c r="X136" s="117"/>
      <x:c r="Y136" s="117"/>
      <x:c r="Z136" s="117"/>
    </x:row>
    <x:row r="137">
      <x:c r="A137" s="117"/>
      <x:c r="B137" s="117"/>
      <x:c r="C137" s="117"/>
      <x:c r="D137" s="117"/>
      <x:c r="E137" s="117"/>
      <x:c r="F137" s="117"/>
      <x:c r="G137" s="117"/>
      <x:c r="H137" s="117"/>
      <x:c r="I137" s="117"/>
      <x:c r="J137" s="117"/>
      <x:c r="K137" s="117"/>
      <x:c r="L137" s="117"/>
      <x:c r="M137" s="117"/>
      <x:c r="N137" s="117"/>
      <x:c r="O137" s="117"/>
      <x:c r="P137" s="117"/>
      <x:c r="Q137" s="117"/>
      <x:c r="R137" s="117"/>
      <x:c r="S137" s="117"/>
      <x:c r="T137" s="117"/>
      <x:c r="U137" s="117"/>
      <x:c r="V137" s="117"/>
      <x:c r="W137" s="117"/>
      <x:c r="X137" s="117"/>
      <x:c r="Y137" s="117"/>
      <x:c r="Z137" s="117"/>
    </x:row>
    <x:row r="138">
      <x:c r="A138" s="117"/>
      <x:c r="B138" s="117"/>
      <x:c r="C138" s="117"/>
      <x:c r="D138" s="117"/>
      <x:c r="E138" s="117"/>
      <x:c r="F138" s="117"/>
      <x:c r="G138" s="117"/>
      <x:c r="H138" s="117"/>
      <x:c r="I138" s="117"/>
      <x:c r="J138" s="117"/>
      <x:c r="K138" s="117"/>
      <x:c r="L138" s="117"/>
      <x:c r="M138" s="117"/>
      <x:c r="N138" s="117"/>
      <x:c r="O138" s="117"/>
      <x:c r="P138" s="117"/>
      <x:c r="Q138" s="117"/>
      <x:c r="R138" s="117"/>
      <x:c r="S138" s="117"/>
      <x:c r="T138" s="117"/>
      <x:c r="U138" s="117"/>
      <x:c r="V138" s="117"/>
      <x:c r="W138" s="117"/>
      <x:c r="X138" s="117"/>
      <x:c r="Y138" s="117"/>
      <x:c r="Z138" s="117"/>
    </x:row>
    <x:row r="139">
      <x:c r="A139" s="117"/>
      <x:c r="B139" s="117"/>
      <x:c r="C139" s="117"/>
      <x:c r="D139" s="117"/>
      <x:c r="E139" s="117"/>
      <x:c r="F139" s="117"/>
      <x:c r="G139" s="117"/>
      <x:c r="H139" s="117"/>
      <x:c r="I139" s="117"/>
      <x:c r="J139" s="117"/>
      <x:c r="K139" s="117"/>
      <x:c r="L139" s="117"/>
      <x:c r="M139" s="117"/>
      <x:c r="N139" s="117"/>
      <x:c r="O139" s="117"/>
      <x:c r="P139" s="117"/>
      <x:c r="Q139" s="117"/>
      <x:c r="R139" s="117"/>
      <x:c r="S139" s="117"/>
      <x:c r="T139" s="117"/>
      <x:c r="U139" s="117"/>
      <x:c r="V139" s="117"/>
      <x:c r="W139" s="117"/>
      <x:c r="X139" s="117"/>
      <x:c r="Y139" s="117"/>
      <x:c r="Z139" s="117"/>
    </x:row>
    <x:row r="140">
      <x:c r="A140" s="117"/>
      <x:c r="B140" s="117"/>
      <x:c r="C140" s="117"/>
      <x:c r="D140" s="117"/>
      <x:c r="E140" s="117"/>
      <x:c r="F140" s="117"/>
      <x:c r="G140" s="117"/>
      <x:c r="H140" s="117"/>
      <x:c r="I140" s="117"/>
      <x:c r="J140" s="117"/>
      <x:c r="K140" s="117"/>
      <x:c r="L140" s="117"/>
      <x:c r="M140" s="117"/>
      <x:c r="N140" s="117"/>
      <x:c r="O140" s="117"/>
      <x:c r="P140" s="117"/>
      <x:c r="Q140" s="117"/>
      <x:c r="R140" s="117"/>
      <x:c r="S140" s="117"/>
      <x:c r="T140" s="117"/>
      <x:c r="U140" s="117"/>
      <x:c r="V140" s="117"/>
      <x:c r="W140" s="117"/>
      <x:c r="X140" s="117"/>
      <x:c r="Y140" s="117"/>
      <x:c r="Z140" s="117"/>
    </x:row>
    <x:row r="141">
      <x:c r="A141" s="117"/>
      <x:c r="B141" s="117"/>
      <x:c r="C141" s="117"/>
      <x:c r="D141" s="117"/>
      <x:c r="E141" s="117"/>
      <x:c r="F141" s="117"/>
      <x:c r="G141" s="117"/>
      <x:c r="H141" s="117"/>
      <x:c r="I141" s="117"/>
      <x:c r="J141" s="117"/>
      <x:c r="K141" s="117"/>
      <x:c r="L141" s="117"/>
      <x:c r="M141" s="117"/>
      <x:c r="N141" s="117"/>
      <x:c r="O141" s="117"/>
      <x:c r="P141" s="117"/>
      <x:c r="Q141" s="117"/>
      <x:c r="R141" s="117"/>
      <x:c r="S141" s="117"/>
      <x:c r="T141" s="117"/>
      <x:c r="U141" s="117"/>
      <x:c r="V141" s="117"/>
      <x:c r="W141" s="117"/>
      <x:c r="X141" s="117"/>
      <x:c r="Y141" s="117"/>
      <x:c r="Z141" s="117"/>
    </x:row>
    <x:row r="142">
      <x:c r="A142" s="117"/>
      <x:c r="B142" s="117"/>
      <x:c r="C142" s="117"/>
      <x:c r="D142" s="117"/>
      <x:c r="E142" s="117"/>
      <x:c r="F142" s="117"/>
      <x:c r="G142" s="117"/>
      <x:c r="H142" s="117"/>
      <x:c r="I142" s="117"/>
      <x:c r="J142" s="117"/>
      <x:c r="K142" s="117"/>
      <x:c r="L142" s="117"/>
      <x:c r="M142" s="117"/>
      <x:c r="N142" s="117"/>
      <x:c r="O142" s="117"/>
      <x:c r="P142" s="117"/>
      <x:c r="Q142" s="117"/>
      <x:c r="R142" s="117"/>
      <x:c r="S142" s="117"/>
      <x:c r="T142" s="117"/>
      <x:c r="U142" s="117"/>
      <x:c r="V142" s="117"/>
      <x:c r="W142" s="117"/>
      <x:c r="X142" s="117"/>
      <x:c r="Y142" s="117"/>
      <x:c r="Z142" s="117"/>
    </x:row>
    <x:row r="143">
      <x:c r="A143" s="117"/>
      <x:c r="B143" s="117"/>
      <x:c r="C143" s="117"/>
      <x:c r="D143" s="117"/>
      <x:c r="E143" s="117"/>
      <x:c r="F143" s="117"/>
      <x:c r="G143" s="117"/>
      <x:c r="H143" s="117"/>
      <x:c r="I143" s="117"/>
      <x:c r="J143" s="117"/>
      <x:c r="K143" s="117"/>
      <x:c r="L143" s="117"/>
      <x:c r="M143" s="117"/>
      <x:c r="N143" s="117"/>
      <x:c r="O143" s="117"/>
      <x:c r="P143" s="117"/>
      <x:c r="Q143" s="117"/>
      <x:c r="R143" s="117"/>
      <x:c r="S143" s="117"/>
      <x:c r="T143" s="117"/>
      <x:c r="U143" s="117"/>
      <x:c r="V143" s="117"/>
      <x:c r="W143" s="117"/>
      <x:c r="X143" s="117"/>
      <x:c r="Y143" s="117"/>
      <x:c r="Z143" s="117"/>
    </x:row>
    <x:row r="144">
      <x:c r="A144" s="117"/>
      <x:c r="B144" s="117"/>
      <x:c r="C144" s="117"/>
      <x:c r="D144" s="117"/>
      <x:c r="E144" s="117"/>
      <x:c r="F144" s="117"/>
      <x:c r="G144" s="117"/>
      <x:c r="H144" s="117"/>
      <x:c r="I144" s="117"/>
      <x:c r="J144" s="117"/>
      <x:c r="K144" s="117"/>
      <x:c r="L144" s="117"/>
      <x:c r="M144" s="117"/>
      <x:c r="N144" s="117"/>
      <x:c r="O144" s="117"/>
      <x:c r="P144" s="117"/>
      <x:c r="Q144" s="117"/>
      <x:c r="R144" s="117"/>
      <x:c r="S144" s="117"/>
      <x:c r="T144" s="117"/>
      <x:c r="U144" s="117"/>
      <x:c r="V144" s="117"/>
      <x:c r="W144" s="117"/>
      <x:c r="X144" s="117"/>
      <x:c r="Y144" s="117"/>
      <x:c r="Z144" s="117"/>
    </x:row>
    <x:row r="145">
      <x:c r="A145" s="117"/>
      <x:c r="B145" s="117"/>
      <x:c r="C145" s="117"/>
      <x:c r="D145" s="117"/>
      <x:c r="E145" s="117"/>
      <x:c r="F145" s="117"/>
      <x:c r="G145" s="117"/>
      <x:c r="H145" s="117"/>
      <x:c r="I145" s="117"/>
      <x:c r="J145" s="117"/>
      <x:c r="K145" s="117"/>
      <x:c r="L145" s="117"/>
      <x:c r="M145" s="117"/>
      <x:c r="N145" s="117"/>
      <x:c r="O145" s="117"/>
      <x:c r="P145" s="117"/>
      <x:c r="Q145" s="117"/>
      <x:c r="R145" s="117"/>
      <x:c r="S145" s="117"/>
      <x:c r="T145" s="117"/>
      <x:c r="U145" s="117"/>
      <x:c r="V145" s="117"/>
      <x:c r="W145" s="117"/>
      <x:c r="X145" s="117"/>
      <x:c r="Y145" s="117"/>
      <x:c r="Z145" s="117"/>
    </x:row>
    <x:row r="146">
      <x:c r="A146" s="117"/>
      <x:c r="B146" s="117"/>
      <x:c r="C146" s="117"/>
      <x:c r="D146" s="117"/>
      <x:c r="E146" s="117"/>
      <x:c r="F146" s="117"/>
      <x:c r="G146" s="117"/>
      <x:c r="H146" s="117"/>
      <x:c r="I146" s="117"/>
      <x:c r="J146" s="117"/>
      <x:c r="K146" s="117"/>
      <x:c r="L146" s="117"/>
      <x:c r="M146" s="117"/>
      <x:c r="N146" s="117"/>
      <x:c r="O146" s="117"/>
      <x:c r="P146" s="117"/>
      <x:c r="Q146" s="117"/>
      <x:c r="R146" s="117"/>
      <x:c r="S146" s="117"/>
      <x:c r="T146" s="117"/>
      <x:c r="U146" s="117"/>
      <x:c r="V146" s="117"/>
      <x:c r="W146" s="117"/>
      <x:c r="X146" s="117"/>
      <x:c r="Y146" s="117"/>
      <x:c r="Z146" s="117"/>
    </x:row>
    <x:row r="147">
      <x:c r="A147" s="117"/>
      <x:c r="B147" s="117"/>
      <x:c r="C147" s="117"/>
      <x:c r="D147" s="117"/>
      <x:c r="E147" s="117"/>
      <x:c r="F147" s="117"/>
      <x:c r="G147" s="117"/>
      <x:c r="H147" s="117"/>
      <x:c r="I147" s="117"/>
      <x:c r="J147" s="117"/>
      <x:c r="K147" s="117"/>
      <x:c r="L147" s="117"/>
      <x:c r="M147" s="117"/>
      <x:c r="N147" s="117"/>
      <x:c r="O147" s="117"/>
      <x:c r="P147" s="117"/>
      <x:c r="Q147" s="117"/>
      <x:c r="R147" s="117"/>
      <x:c r="S147" s="117"/>
      <x:c r="T147" s="117"/>
      <x:c r="U147" s="117"/>
      <x:c r="V147" s="117"/>
      <x:c r="W147" s="117"/>
      <x:c r="X147" s="117"/>
      <x:c r="Y147" s="117"/>
      <x:c r="Z147" s="117"/>
    </x:row>
    <x:row r="148">
      <x:c r="A148" s="117"/>
      <x:c r="B148" s="117"/>
      <x:c r="C148" s="117"/>
      <x:c r="D148" s="117"/>
      <x:c r="E148" s="117"/>
      <x:c r="F148" s="117"/>
      <x:c r="G148" s="117"/>
      <x:c r="H148" s="117"/>
      <x:c r="I148" s="117"/>
      <x:c r="J148" s="117"/>
      <x:c r="K148" s="117"/>
      <x:c r="L148" s="117"/>
      <x:c r="M148" s="117"/>
      <x:c r="N148" s="117"/>
      <x:c r="O148" s="117"/>
      <x:c r="P148" s="117"/>
      <x:c r="Q148" s="117"/>
      <x:c r="R148" s="117"/>
      <x:c r="S148" s="117"/>
      <x:c r="T148" s="117"/>
      <x:c r="U148" s="117"/>
      <x:c r="V148" s="117"/>
      <x:c r="W148" s="117"/>
      <x:c r="X148" s="117"/>
      <x:c r="Y148" s="117"/>
      <x:c r="Z148" s="117"/>
    </x:row>
    <x:row r="149">
      <x:c r="A149" s="117"/>
      <x:c r="B149" s="117"/>
      <x:c r="C149" s="117"/>
      <x:c r="D149" s="117"/>
      <x:c r="E149" s="117"/>
      <x:c r="F149" s="117"/>
      <x:c r="G149" s="117"/>
      <x:c r="H149" s="117"/>
      <x:c r="I149" s="117"/>
      <x:c r="J149" s="117"/>
      <x:c r="K149" s="117"/>
      <x:c r="L149" s="117"/>
      <x:c r="M149" s="117"/>
      <x:c r="N149" s="117"/>
      <x:c r="O149" s="117"/>
      <x:c r="P149" s="117"/>
      <x:c r="Q149" s="117"/>
      <x:c r="R149" s="117"/>
      <x:c r="S149" s="117"/>
      <x:c r="T149" s="117"/>
      <x:c r="U149" s="117"/>
      <x:c r="V149" s="117"/>
      <x:c r="W149" s="117"/>
      <x:c r="X149" s="117"/>
      <x:c r="Y149" s="117"/>
      <x:c r="Z149" s="117"/>
    </x:row>
    <x:row r="150">
      <x:c r="A150" s="117"/>
      <x:c r="B150" s="117"/>
      <x:c r="C150" s="117"/>
      <x:c r="D150" s="117"/>
      <x:c r="E150" s="117"/>
      <x:c r="F150" s="117"/>
      <x:c r="G150" s="117"/>
      <x:c r="H150" s="117"/>
      <x:c r="I150" s="117"/>
      <x:c r="J150" s="117"/>
      <x:c r="K150" s="117"/>
      <x:c r="L150" s="117"/>
      <x:c r="M150" s="117"/>
      <x:c r="N150" s="117"/>
      <x:c r="O150" s="117"/>
      <x:c r="P150" s="117"/>
      <x:c r="Q150" s="117"/>
      <x:c r="R150" s="117"/>
      <x:c r="S150" s="117"/>
      <x:c r="T150" s="117"/>
      <x:c r="U150" s="117"/>
      <x:c r="V150" s="117"/>
      <x:c r="W150" s="117"/>
      <x:c r="X150" s="117"/>
      <x:c r="Y150" s="117"/>
      <x:c r="Z150" s="117"/>
    </x:row>
    <x:row r="151">
      <x:c r="A151" s="117"/>
      <x:c r="B151" s="117"/>
      <x:c r="C151" s="117"/>
      <x:c r="D151" s="117"/>
      <x:c r="E151" s="117"/>
      <x:c r="F151" s="117"/>
      <x:c r="G151" s="117"/>
      <x:c r="H151" s="117"/>
      <x:c r="I151" s="117"/>
      <x:c r="J151" s="117"/>
      <x:c r="K151" s="117"/>
      <x:c r="L151" s="117"/>
      <x:c r="M151" s="117"/>
      <x:c r="N151" s="117"/>
      <x:c r="O151" s="117"/>
      <x:c r="P151" s="117"/>
      <x:c r="Q151" s="117"/>
      <x:c r="R151" s="117"/>
      <x:c r="S151" s="117"/>
      <x:c r="T151" s="117"/>
      <x:c r="U151" s="117"/>
      <x:c r="V151" s="117"/>
      <x:c r="W151" s="117"/>
      <x:c r="X151" s="117"/>
      <x:c r="Y151" s="117"/>
      <x:c r="Z151" s="117"/>
    </x:row>
    <x:row r="152">
      <x:c r="A152" s="117"/>
      <x:c r="B152" s="117"/>
      <x:c r="C152" s="117"/>
      <x:c r="D152" s="117"/>
      <x:c r="E152" s="117"/>
      <x:c r="F152" s="117"/>
      <x:c r="G152" s="117"/>
      <x:c r="H152" s="117"/>
      <x:c r="I152" s="117"/>
      <x:c r="J152" s="117"/>
      <x:c r="K152" s="117"/>
      <x:c r="L152" s="117"/>
      <x:c r="M152" s="117"/>
      <x:c r="N152" s="117"/>
      <x:c r="O152" s="117"/>
      <x:c r="P152" s="117"/>
      <x:c r="Q152" s="117"/>
      <x:c r="R152" s="117"/>
      <x:c r="S152" s="117"/>
      <x:c r="T152" s="117"/>
      <x:c r="U152" s="117"/>
      <x:c r="V152" s="117"/>
      <x:c r="W152" s="117"/>
      <x:c r="X152" s="117"/>
      <x:c r="Y152" s="117"/>
      <x:c r="Z152" s="117"/>
    </x:row>
    <x:row r="153">
      <x:c r="A153" s="117"/>
      <x:c r="B153" s="117"/>
      <x:c r="C153" s="117"/>
      <x:c r="D153" s="117"/>
      <x:c r="E153" s="117"/>
      <x:c r="F153" s="117"/>
      <x:c r="G153" s="117"/>
      <x:c r="H153" s="117"/>
      <x:c r="I153" s="117"/>
      <x:c r="J153" s="117"/>
      <x:c r="K153" s="117"/>
      <x:c r="L153" s="117"/>
      <x:c r="M153" s="117"/>
      <x:c r="N153" s="117"/>
      <x:c r="O153" s="117"/>
      <x:c r="P153" s="117"/>
      <x:c r="Q153" s="117"/>
      <x:c r="R153" s="117"/>
      <x:c r="S153" s="117"/>
      <x:c r="T153" s="117"/>
      <x:c r="U153" s="117"/>
      <x:c r="V153" s="117"/>
      <x:c r="W153" s="117"/>
      <x:c r="X153" s="117"/>
      <x:c r="Y153" s="117"/>
      <x:c r="Z153" s="117"/>
    </x:row>
    <x:row r="154">
      <x:c r="A154" s="117"/>
      <x:c r="B154" s="117"/>
      <x:c r="C154" s="117"/>
      <x:c r="D154" s="117"/>
      <x:c r="E154" s="117"/>
      <x:c r="F154" s="117"/>
      <x:c r="G154" s="117"/>
      <x:c r="H154" s="117"/>
      <x:c r="I154" s="117"/>
      <x:c r="J154" s="117"/>
      <x:c r="K154" s="117"/>
      <x:c r="L154" s="117"/>
      <x:c r="M154" s="117"/>
      <x:c r="N154" s="117"/>
      <x:c r="O154" s="117"/>
      <x:c r="P154" s="117"/>
      <x:c r="Q154" s="117"/>
      <x:c r="R154" s="117"/>
      <x:c r="S154" s="117"/>
      <x:c r="T154" s="117"/>
      <x:c r="U154" s="117"/>
      <x:c r="V154" s="117"/>
      <x:c r="W154" s="117"/>
      <x:c r="X154" s="117"/>
      <x:c r="Y154" s="117"/>
      <x:c r="Z154" s="117"/>
    </x:row>
    <x:row r="155">
      <x:c r="A155" s="117"/>
      <x:c r="B155" s="117"/>
      <x:c r="C155" s="117"/>
      <x:c r="D155" s="117"/>
      <x:c r="E155" s="117"/>
      <x:c r="F155" s="117"/>
      <x:c r="G155" s="117"/>
      <x:c r="H155" s="117"/>
      <x:c r="I155" s="117"/>
      <x:c r="J155" s="117"/>
      <x:c r="K155" s="117"/>
      <x:c r="L155" s="117"/>
      <x:c r="M155" s="117"/>
      <x:c r="N155" s="117"/>
      <x:c r="O155" s="117"/>
      <x:c r="P155" s="117"/>
      <x:c r="Q155" s="117"/>
      <x:c r="R155" s="117"/>
      <x:c r="S155" s="117"/>
      <x:c r="T155" s="117"/>
      <x:c r="U155" s="117"/>
      <x:c r="V155" s="117"/>
      <x:c r="W155" s="117"/>
      <x:c r="X155" s="117"/>
      <x:c r="Y155" s="117"/>
      <x:c r="Z155" s="117"/>
    </x:row>
    <x:row r="156">
      <x:c r="A156" s="117"/>
      <x:c r="B156" s="117"/>
      <x:c r="C156" s="117"/>
      <x:c r="D156" s="117"/>
      <x:c r="E156" s="117"/>
      <x:c r="F156" s="117"/>
      <x:c r="G156" s="117"/>
      <x:c r="H156" s="117"/>
      <x:c r="I156" s="117"/>
      <x:c r="J156" s="117"/>
      <x:c r="K156" s="117"/>
      <x:c r="L156" s="117"/>
      <x:c r="M156" s="117"/>
      <x:c r="N156" s="117"/>
      <x:c r="O156" s="117"/>
      <x:c r="P156" s="117"/>
      <x:c r="Q156" s="117"/>
      <x:c r="R156" s="117"/>
      <x:c r="S156" s="117"/>
      <x:c r="T156" s="117"/>
      <x:c r="U156" s="117"/>
      <x:c r="V156" s="117"/>
      <x:c r="W156" s="117"/>
      <x:c r="X156" s="117"/>
      <x:c r="Y156" s="117"/>
      <x:c r="Z156" s="117"/>
    </x:row>
    <x:row r="157">
      <x:c r="A157" s="117"/>
      <x:c r="B157" s="117"/>
      <x:c r="C157" s="117"/>
      <x:c r="D157" s="117"/>
      <x:c r="E157" s="117"/>
      <x:c r="F157" s="117"/>
      <x:c r="G157" s="117"/>
      <x:c r="H157" s="117"/>
      <x:c r="I157" s="117"/>
      <x:c r="J157" s="117"/>
      <x:c r="K157" s="117"/>
      <x:c r="L157" s="117"/>
      <x:c r="M157" s="117"/>
      <x:c r="N157" s="117"/>
      <x:c r="O157" s="117"/>
      <x:c r="P157" s="117"/>
      <x:c r="Q157" s="117"/>
      <x:c r="R157" s="117"/>
      <x:c r="S157" s="117"/>
      <x:c r="T157" s="117"/>
      <x:c r="U157" s="117"/>
      <x:c r="V157" s="117"/>
      <x:c r="W157" s="117"/>
      <x:c r="X157" s="117"/>
      <x:c r="Y157" s="117"/>
      <x:c r="Z157" s="117"/>
    </x:row>
    <x:row r="158">
      <x:c r="A158" s="117"/>
      <x:c r="B158" s="117"/>
      <x:c r="C158" s="117"/>
      <x:c r="D158" s="117"/>
      <x:c r="E158" s="117"/>
      <x:c r="F158" s="117"/>
      <x:c r="G158" s="117"/>
      <x:c r="H158" s="117"/>
      <x:c r="I158" s="117"/>
      <x:c r="J158" s="117"/>
      <x:c r="K158" s="117"/>
      <x:c r="L158" s="117"/>
      <x:c r="M158" s="117"/>
      <x:c r="N158" s="117"/>
      <x:c r="O158" s="117"/>
      <x:c r="P158" s="117"/>
      <x:c r="Q158" s="117"/>
      <x:c r="R158" s="117"/>
      <x:c r="S158" s="117"/>
      <x:c r="T158" s="117"/>
      <x:c r="U158" s="117"/>
      <x:c r="V158" s="117"/>
      <x:c r="W158" s="117"/>
      <x:c r="X158" s="117"/>
      <x:c r="Y158" s="117"/>
      <x:c r="Z158" s="117"/>
    </x:row>
    <x:row r="159">
      <x:c r="A159" s="117"/>
      <x:c r="B159" s="117"/>
      <x:c r="C159" s="117"/>
      <x:c r="D159" s="117"/>
      <x:c r="E159" s="117"/>
      <x:c r="F159" s="117"/>
      <x:c r="G159" s="117"/>
      <x:c r="H159" s="117"/>
      <x:c r="I159" s="117"/>
      <x:c r="J159" s="117"/>
      <x:c r="K159" s="117"/>
      <x:c r="L159" s="117"/>
      <x:c r="M159" s="117"/>
      <x:c r="N159" s="117"/>
      <x:c r="O159" s="117"/>
      <x:c r="P159" s="117"/>
      <x:c r="Q159" s="117"/>
      <x:c r="R159" s="117"/>
      <x:c r="S159" s="117"/>
      <x:c r="T159" s="117"/>
      <x:c r="U159" s="117"/>
      <x:c r="V159" s="117"/>
      <x:c r="W159" s="117"/>
      <x:c r="X159" s="117"/>
      <x:c r="Y159" s="117"/>
      <x:c r="Z159" s="117"/>
    </x:row>
    <x:row r="160">
      <x:c r="A160" s="117"/>
      <x:c r="B160" s="117"/>
      <x:c r="C160" s="117"/>
      <x:c r="D160" s="117"/>
      <x:c r="E160" s="117"/>
      <x:c r="F160" s="117"/>
      <x:c r="G160" s="117"/>
      <x:c r="H160" s="117"/>
      <x:c r="I160" s="117"/>
      <x:c r="J160" s="117"/>
      <x:c r="K160" s="117"/>
      <x:c r="L160" s="117"/>
      <x:c r="M160" s="117"/>
      <x:c r="N160" s="117"/>
      <x:c r="O160" s="117"/>
      <x:c r="P160" s="117"/>
      <x:c r="Q160" s="117"/>
      <x:c r="R160" s="117"/>
      <x:c r="S160" s="117"/>
      <x:c r="T160" s="117"/>
      <x:c r="U160" s="117"/>
      <x:c r="V160" s="117"/>
      <x:c r="W160" s="117"/>
      <x:c r="X160" s="117"/>
      <x:c r="Y160" s="117"/>
      <x:c r="Z160" s="117"/>
    </x:row>
    <x:row r="161">
      <x:c r="A161" s="117"/>
      <x:c r="B161" s="117"/>
      <x:c r="C161" s="117"/>
      <x:c r="D161" s="117"/>
      <x:c r="E161" s="117"/>
      <x:c r="F161" s="117"/>
      <x:c r="G161" s="117"/>
      <x:c r="H161" s="117"/>
      <x:c r="I161" s="117"/>
      <x:c r="J161" s="117"/>
      <x:c r="K161" s="117"/>
      <x:c r="L161" s="117"/>
      <x:c r="M161" s="117"/>
      <x:c r="N161" s="117"/>
      <x:c r="O161" s="117"/>
      <x:c r="P161" s="117"/>
      <x:c r="Q161" s="117"/>
      <x:c r="R161" s="117"/>
      <x:c r="S161" s="117"/>
      <x:c r="T161" s="117"/>
      <x:c r="U161" s="117"/>
      <x:c r="V161" s="117"/>
      <x:c r="W161" s="117"/>
      <x:c r="X161" s="117"/>
      <x:c r="Y161" s="117"/>
      <x:c r="Z161" s="117"/>
    </x:row>
    <x:row r="162">
      <x:c r="A162" s="117"/>
      <x:c r="B162" s="117"/>
      <x:c r="C162" s="117"/>
      <x:c r="D162" s="117"/>
      <x:c r="E162" s="117"/>
      <x:c r="F162" s="117"/>
      <x:c r="G162" s="117"/>
      <x:c r="H162" s="117"/>
      <x:c r="I162" s="117"/>
      <x:c r="J162" s="117"/>
      <x:c r="K162" s="117"/>
      <x:c r="L162" s="117"/>
      <x:c r="M162" s="117"/>
      <x:c r="N162" s="117"/>
      <x:c r="O162" s="117"/>
      <x:c r="P162" s="117"/>
      <x:c r="Q162" s="117"/>
      <x:c r="R162" s="117"/>
      <x:c r="S162" s="117"/>
      <x:c r="T162" s="117"/>
      <x:c r="U162" s="117"/>
      <x:c r="V162" s="117"/>
      <x:c r="W162" s="117"/>
      <x:c r="X162" s="117"/>
      <x:c r="Y162" s="117"/>
      <x:c r="Z162" s="117"/>
    </x:row>
    <x:row r="163">
      <x:c r="A163" s="117"/>
      <x:c r="B163" s="117"/>
      <x:c r="C163" s="117"/>
      <x:c r="D163" s="117"/>
      <x:c r="E163" s="117"/>
      <x:c r="F163" s="117"/>
      <x:c r="G163" s="117"/>
      <x:c r="H163" s="117"/>
      <x:c r="I163" s="117"/>
      <x:c r="J163" s="117"/>
      <x:c r="K163" s="117"/>
      <x:c r="L163" s="117"/>
      <x:c r="M163" s="117"/>
      <x:c r="N163" s="117"/>
      <x:c r="O163" s="117"/>
      <x:c r="P163" s="117"/>
      <x:c r="Q163" s="117"/>
      <x:c r="R163" s="117"/>
      <x:c r="S163" s="117"/>
      <x:c r="T163" s="117"/>
      <x:c r="U163" s="117"/>
      <x:c r="V163" s="117"/>
      <x:c r="W163" s="117"/>
      <x:c r="X163" s="117"/>
      <x:c r="Y163" s="117"/>
      <x:c r="Z163" s="117"/>
    </x:row>
    <x:row r="164">
      <x:c r="A164" s="117"/>
      <x:c r="B164" s="117"/>
      <x:c r="C164" s="117"/>
      <x:c r="D164" s="117"/>
      <x:c r="E164" s="117"/>
      <x:c r="F164" s="117"/>
      <x:c r="G164" s="117"/>
      <x:c r="H164" s="117"/>
      <x:c r="I164" s="117"/>
      <x:c r="J164" s="117"/>
      <x:c r="K164" s="117"/>
      <x:c r="L164" s="117"/>
      <x:c r="M164" s="117"/>
      <x:c r="N164" s="117"/>
      <x:c r="O164" s="117"/>
      <x:c r="P164" s="117"/>
      <x:c r="Q164" s="117"/>
      <x:c r="R164" s="117"/>
      <x:c r="S164" s="117"/>
      <x:c r="T164" s="117"/>
      <x:c r="U164" s="117"/>
      <x:c r="V164" s="117"/>
      <x:c r="W164" s="117"/>
      <x:c r="X164" s="117"/>
      <x:c r="Y164" s="117"/>
      <x:c r="Z164" s="117"/>
    </x:row>
    <x:row r="165">
      <x:c r="A165" s="117"/>
      <x:c r="B165" s="117"/>
      <x:c r="C165" s="117"/>
      <x:c r="D165" s="117"/>
      <x:c r="E165" s="117"/>
      <x:c r="F165" s="117"/>
      <x:c r="G165" s="117"/>
      <x:c r="H165" s="117"/>
      <x:c r="I165" s="117"/>
      <x:c r="J165" s="117"/>
      <x:c r="K165" s="117"/>
      <x:c r="L165" s="117"/>
      <x:c r="M165" s="117"/>
      <x:c r="N165" s="117"/>
      <x:c r="O165" s="117"/>
      <x:c r="P165" s="117"/>
      <x:c r="Q165" s="117"/>
      <x:c r="R165" s="117"/>
      <x:c r="S165" s="117"/>
      <x:c r="T165" s="117"/>
      <x:c r="U165" s="117"/>
      <x:c r="V165" s="117"/>
      <x:c r="W165" s="117"/>
      <x:c r="X165" s="117"/>
      <x:c r="Y165" s="117"/>
      <x:c r="Z165" s="117"/>
    </x:row>
    <x:row r="166">
      <x:c r="A166" s="117"/>
      <x:c r="B166" s="117"/>
      <x:c r="C166" s="117"/>
      <x:c r="D166" s="117"/>
      <x:c r="E166" s="117"/>
      <x:c r="F166" s="117"/>
      <x:c r="G166" s="117"/>
      <x:c r="H166" s="117"/>
      <x:c r="I166" s="117"/>
      <x:c r="J166" s="117"/>
      <x:c r="K166" s="117"/>
      <x:c r="L166" s="117"/>
      <x:c r="M166" s="117"/>
      <x:c r="N166" s="117"/>
      <x:c r="O166" s="117"/>
      <x:c r="P166" s="117"/>
      <x:c r="Q166" s="117"/>
      <x:c r="R166" s="117"/>
      <x:c r="S166" s="117"/>
      <x:c r="T166" s="117"/>
      <x:c r="U166" s="117"/>
      <x:c r="V166" s="117"/>
      <x:c r="W166" s="117"/>
      <x:c r="X166" s="117"/>
      <x:c r="Y166" s="117"/>
      <x:c r="Z166" s="117"/>
    </x:row>
    <x:row r="167">
      <x:c r="A167" s="117"/>
      <x:c r="B167" s="117"/>
      <x:c r="C167" s="117"/>
      <x:c r="D167" s="117"/>
      <x:c r="E167" s="117"/>
      <x:c r="F167" s="117"/>
      <x:c r="G167" s="117"/>
      <x:c r="H167" s="117"/>
      <x:c r="I167" s="117"/>
      <x:c r="J167" s="117"/>
      <x:c r="K167" s="117"/>
      <x:c r="L167" s="117"/>
      <x:c r="M167" s="117"/>
      <x:c r="N167" s="117"/>
      <x:c r="O167" s="117"/>
      <x:c r="P167" s="117"/>
      <x:c r="Q167" s="117"/>
      <x:c r="R167" s="117"/>
      <x:c r="S167" s="117"/>
      <x:c r="T167" s="117"/>
      <x:c r="U167" s="117"/>
      <x:c r="V167" s="117"/>
      <x:c r="W167" s="117"/>
      <x:c r="X167" s="117"/>
      <x:c r="Y167" s="117"/>
      <x:c r="Z167" s="117"/>
    </x:row>
    <x:row r="168">
      <x:c r="A168" s="117"/>
      <x:c r="B168" s="117"/>
      <x:c r="C168" s="117"/>
      <x:c r="D168" s="117"/>
      <x:c r="E168" s="117"/>
      <x:c r="F168" s="117"/>
      <x:c r="G168" s="117"/>
      <x:c r="H168" s="117"/>
      <x:c r="I168" s="117"/>
      <x:c r="J168" s="117"/>
      <x:c r="K168" s="117"/>
      <x:c r="L168" s="117"/>
      <x:c r="M168" s="117"/>
      <x:c r="N168" s="117"/>
      <x:c r="O168" s="117"/>
      <x:c r="P168" s="117"/>
      <x:c r="Q168" s="117"/>
      <x:c r="R168" s="117"/>
      <x:c r="S168" s="117"/>
      <x:c r="T168" s="117"/>
      <x:c r="U168" s="117"/>
      <x:c r="V168" s="117"/>
      <x:c r="W168" s="117"/>
      <x:c r="X168" s="117"/>
      <x:c r="Y168" s="117"/>
      <x:c r="Z168" s="117"/>
    </x:row>
    <x:row r="169">
      <x:c r="A169" s="117"/>
      <x:c r="B169" s="117"/>
      <x:c r="C169" s="117"/>
      <x:c r="D169" s="117"/>
      <x:c r="E169" s="117"/>
      <x:c r="F169" s="117"/>
      <x:c r="G169" s="117"/>
      <x:c r="H169" s="117"/>
      <x:c r="I169" s="117"/>
      <x:c r="J169" s="117"/>
      <x:c r="K169" s="117"/>
      <x:c r="L169" s="117"/>
      <x:c r="M169" s="117"/>
      <x:c r="N169" s="117"/>
      <x:c r="O169" s="117"/>
      <x:c r="P169" s="117"/>
      <x:c r="Q169" s="117"/>
      <x:c r="R169" s="117"/>
      <x:c r="S169" s="117"/>
      <x:c r="T169" s="117"/>
      <x:c r="U169" s="117"/>
      <x:c r="V169" s="117"/>
      <x:c r="W169" s="117"/>
      <x:c r="X169" s="117"/>
      <x:c r="Y169" s="117"/>
      <x:c r="Z169" s="117"/>
    </x:row>
    <x:row r="170">
      <x:c r="A170" s="117"/>
      <x:c r="B170" s="117"/>
      <x:c r="C170" s="117"/>
      <x:c r="D170" s="117"/>
      <x:c r="E170" s="117"/>
      <x:c r="F170" s="117"/>
      <x:c r="G170" s="117"/>
      <x:c r="H170" s="117"/>
      <x:c r="I170" s="117"/>
      <x:c r="J170" s="117"/>
      <x:c r="K170" s="117"/>
      <x:c r="L170" s="117"/>
      <x:c r="M170" s="117"/>
      <x:c r="N170" s="117"/>
      <x:c r="O170" s="117"/>
      <x:c r="P170" s="117"/>
      <x:c r="Q170" s="117"/>
      <x:c r="R170" s="117"/>
      <x:c r="S170" s="117"/>
      <x:c r="T170" s="117"/>
      <x:c r="U170" s="117"/>
      <x:c r="V170" s="117"/>
      <x:c r="W170" s="117"/>
      <x:c r="X170" s="117"/>
      <x:c r="Y170" s="117"/>
      <x:c r="Z170" s="117"/>
    </x:row>
    <x:row r="171">
      <x:c r="A171" s="117"/>
      <x:c r="B171" s="117"/>
      <x:c r="C171" s="117"/>
      <x:c r="D171" s="117"/>
      <x:c r="E171" s="117"/>
      <x:c r="F171" s="117"/>
      <x:c r="G171" s="117"/>
      <x:c r="H171" s="117"/>
      <x:c r="I171" s="117"/>
      <x:c r="J171" s="117"/>
      <x:c r="K171" s="117"/>
      <x:c r="L171" s="117"/>
      <x:c r="M171" s="117"/>
      <x:c r="N171" s="117"/>
      <x:c r="O171" s="117"/>
      <x:c r="P171" s="117"/>
      <x:c r="Q171" s="117"/>
      <x:c r="R171" s="117"/>
      <x:c r="S171" s="117"/>
      <x:c r="T171" s="117"/>
      <x:c r="U171" s="117"/>
      <x:c r="V171" s="117"/>
      <x:c r="W171" s="117"/>
      <x:c r="X171" s="117"/>
      <x:c r="Y171" s="117"/>
      <x:c r="Z171" s="117"/>
    </x:row>
    <x:row r="172">
      <x:c r="A172" s="117"/>
      <x:c r="B172" s="117"/>
      <x:c r="C172" s="117"/>
      <x:c r="D172" s="117"/>
      <x:c r="E172" s="117"/>
      <x:c r="F172" s="117"/>
      <x:c r="G172" s="117"/>
      <x:c r="H172" s="117"/>
      <x:c r="I172" s="117"/>
      <x:c r="J172" s="117"/>
      <x:c r="K172" s="117"/>
      <x:c r="L172" s="117"/>
      <x:c r="M172" s="117"/>
      <x:c r="N172" s="117"/>
      <x:c r="O172" s="117"/>
      <x:c r="P172" s="117"/>
      <x:c r="Q172" s="117"/>
      <x:c r="R172" s="117"/>
      <x:c r="S172" s="117"/>
      <x:c r="T172" s="117"/>
      <x:c r="U172" s="117"/>
      <x:c r="V172" s="117"/>
      <x:c r="W172" s="117"/>
      <x:c r="X172" s="117"/>
      <x:c r="Y172" s="117"/>
      <x:c r="Z172" s="117"/>
    </x:row>
    <x:row r="173">
      <x:c r="A173" s="117"/>
      <x:c r="B173" s="117"/>
      <x:c r="C173" s="117"/>
      <x:c r="D173" s="117"/>
      <x:c r="E173" s="117"/>
      <x:c r="F173" s="117"/>
      <x:c r="G173" s="117"/>
      <x:c r="H173" s="117"/>
      <x:c r="I173" s="117"/>
      <x:c r="J173" s="117"/>
      <x:c r="K173" s="117"/>
      <x:c r="L173" s="117"/>
      <x:c r="M173" s="117"/>
      <x:c r="N173" s="117"/>
      <x:c r="O173" s="117"/>
      <x:c r="P173" s="117"/>
      <x:c r="Q173" s="117"/>
      <x:c r="R173" s="117"/>
      <x:c r="S173" s="117"/>
      <x:c r="T173" s="117"/>
      <x:c r="U173" s="117"/>
      <x:c r="V173" s="117"/>
      <x:c r="W173" s="117"/>
      <x:c r="X173" s="117"/>
      <x:c r="Y173" s="117"/>
      <x:c r="Z173" s="117"/>
    </x:row>
    <x:row r="174">
      <x:c r="A174" s="117"/>
      <x:c r="B174" s="117"/>
      <x:c r="C174" s="117"/>
      <x:c r="D174" s="117"/>
      <x:c r="E174" s="117"/>
      <x:c r="F174" s="117"/>
      <x:c r="G174" s="117"/>
      <x:c r="H174" s="117"/>
      <x:c r="I174" s="117"/>
      <x:c r="J174" s="117"/>
      <x:c r="K174" s="117"/>
      <x:c r="L174" s="117"/>
      <x:c r="M174" s="117"/>
      <x:c r="N174" s="117"/>
      <x:c r="O174" s="117"/>
      <x:c r="P174" s="117"/>
      <x:c r="Q174" s="117"/>
      <x:c r="R174" s="117"/>
      <x:c r="S174" s="117"/>
      <x:c r="T174" s="117"/>
      <x:c r="U174" s="117"/>
      <x:c r="V174" s="117"/>
      <x:c r="W174" s="117"/>
      <x:c r="X174" s="117"/>
      <x:c r="Y174" s="117"/>
      <x:c r="Z174" s="117"/>
    </x:row>
    <x:row r="175">
      <x:c r="A175" s="117"/>
      <x:c r="B175" s="117"/>
      <x:c r="C175" s="117"/>
      <x:c r="D175" s="117"/>
      <x:c r="E175" s="117"/>
      <x:c r="F175" s="117"/>
      <x:c r="G175" s="117"/>
      <x:c r="H175" s="117"/>
      <x:c r="I175" s="117"/>
      <x:c r="J175" s="117"/>
      <x:c r="K175" s="117"/>
      <x:c r="L175" s="117"/>
      <x:c r="M175" s="117"/>
      <x:c r="N175" s="117"/>
      <x:c r="O175" s="117"/>
      <x:c r="P175" s="117"/>
      <x:c r="Q175" s="117"/>
      <x:c r="R175" s="117"/>
      <x:c r="S175" s="117"/>
      <x:c r="T175" s="117"/>
      <x:c r="U175" s="117"/>
      <x:c r="V175" s="117"/>
      <x:c r="W175" s="117"/>
      <x:c r="X175" s="117"/>
      <x:c r="Y175" s="117"/>
      <x:c r="Z175" s="117"/>
    </x:row>
    <x:row r="176">
      <x:c r="A176" s="117"/>
      <x:c r="B176" s="117"/>
      <x:c r="C176" s="117"/>
      <x:c r="D176" s="117"/>
      <x:c r="E176" s="117"/>
      <x:c r="F176" s="117"/>
      <x:c r="G176" s="117"/>
      <x:c r="H176" s="117"/>
      <x:c r="I176" s="117"/>
      <x:c r="J176" s="117"/>
      <x:c r="K176" s="117"/>
      <x:c r="L176" s="117"/>
      <x:c r="M176" s="117"/>
      <x:c r="N176" s="117"/>
      <x:c r="O176" s="117"/>
      <x:c r="P176" s="117"/>
      <x:c r="Q176" s="117"/>
      <x:c r="R176" s="117"/>
      <x:c r="S176" s="117"/>
      <x:c r="T176" s="117"/>
      <x:c r="U176" s="117"/>
      <x:c r="V176" s="117"/>
      <x:c r="W176" s="117"/>
      <x:c r="X176" s="117"/>
      <x:c r="Y176" s="117"/>
      <x:c r="Z176" s="117"/>
    </x:row>
    <x:row r="177">
      <x:c r="A177" s="117"/>
      <x:c r="B177" s="117"/>
      <x:c r="C177" s="117"/>
      <x:c r="D177" s="117"/>
      <x:c r="E177" s="117"/>
      <x:c r="F177" s="117"/>
      <x:c r="G177" s="117"/>
      <x:c r="H177" s="117"/>
      <x:c r="I177" s="117"/>
      <x:c r="J177" s="117"/>
      <x:c r="K177" s="117"/>
      <x:c r="L177" s="117"/>
      <x:c r="M177" s="117"/>
      <x:c r="N177" s="117"/>
      <x:c r="O177" s="117"/>
      <x:c r="P177" s="117"/>
      <x:c r="Q177" s="117"/>
      <x:c r="R177" s="117"/>
      <x:c r="S177" s="117"/>
      <x:c r="T177" s="117"/>
      <x:c r="U177" s="117"/>
      <x:c r="V177" s="117"/>
      <x:c r="W177" s="117"/>
      <x:c r="X177" s="117"/>
      <x:c r="Y177" s="117"/>
      <x:c r="Z177" s="117"/>
    </x:row>
    <x:row r="178">
      <x:c r="A178" s="117"/>
      <x:c r="B178" s="117"/>
      <x:c r="C178" s="117"/>
      <x:c r="D178" s="117"/>
      <x:c r="E178" s="117"/>
      <x:c r="F178" s="117"/>
      <x:c r="G178" s="117"/>
      <x:c r="H178" s="117"/>
      <x:c r="I178" s="117"/>
      <x:c r="J178" s="117"/>
      <x:c r="K178" s="117"/>
      <x:c r="L178" s="117"/>
      <x:c r="M178" s="117"/>
      <x:c r="N178" s="117"/>
      <x:c r="O178" s="117"/>
      <x:c r="P178" s="117"/>
      <x:c r="Q178" s="117"/>
      <x:c r="R178" s="117"/>
      <x:c r="S178" s="117"/>
      <x:c r="T178" s="117"/>
      <x:c r="U178" s="117"/>
      <x:c r="V178" s="117"/>
      <x:c r="W178" s="117"/>
      <x:c r="X178" s="117"/>
      <x:c r="Y178" s="117"/>
      <x:c r="Z178" s="117"/>
    </x:row>
    <x:row r="179">
      <x:c r="A179" s="117"/>
      <x:c r="B179" s="117"/>
      <x:c r="C179" s="117"/>
      <x:c r="D179" s="117"/>
      <x:c r="E179" s="117"/>
      <x:c r="F179" s="117"/>
      <x:c r="G179" s="117"/>
      <x:c r="H179" s="117"/>
      <x:c r="I179" s="117"/>
      <x:c r="J179" s="117"/>
      <x:c r="K179" s="117"/>
      <x:c r="L179" s="117"/>
      <x:c r="M179" s="117"/>
      <x:c r="N179" s="117"/>
      <x:c r="O179" s="117"/>
      <x:c r="P179" s="117"/>
      <x:c r="Q179" s="117"/>
      <x:c r="R179" s="117"/>
      <x:c r="S179" s="117"/>
      <x:c r="T179" s="117"/>
      <x:c r="U179" s="117"/>
      <x:c r="V179" s="117"/>
      <x:c r="W179" s="117"/>
      <x:c r="X179" s="117"/>
      <x:c r="Y179" s="117"/>
      <x:c r="Z179" s="117"/>
    </x:row>
    <x:row r="180">
      <x:c r="A180" s="117"/>
      <x:c r="B180" s="117"/>
      <x:c r="C180" s="117"/>
      <x:c r="D180" s="117"/>
      <x:c r="E180" s="117"/>
      <x:c r="F180" s="117"/>
      <x:c r="G180" s="117"/>
      <x:c r="H180" s="117"/>
      <x:c r="I180" s="117"/>
      <x:c r="J180" s="117"/>
      <x:c r="K180" s="117"/>
      <x:c r="L180" s="117"/>
      <x:c r="M180" s="117"/>
      <x:c r="N180" s="117"/>
      <x:c r="O180" s="117"/>
      <x:c r="P180" s="117"/>
      <x:c r="Q180" s="117"/>
      <x:c r="R180" s="117"/>
      <x:c r="S180" s="117"/>
      <x:c r="T180" s="117"/>
      <x:c r="U180" s="117"/>
      <x:c r="V180" s="117"/>
      <x:c r="W180" s="117"/>
      <x:c r="X180" s="117"/>
      <x:c r="Y180" s="117"/>
      <x:c r="Z180" s="117"/>
    </x:row>
    <x:row r="181">
      <x:c r="A181" s="117"/>
      <x:c r="B181" s="117"/>
      <x:c r="C181" s="117"/>
      <x:c r="D181" s="117"/>
      <x:c r="E181" s="117"/>
      <x:c r="F181" s="117"/>
      <x:c r="G181" s="117"/>
      <x:c r="H181" s="117"/>
      <x:c r="I181" s="117"/>
      <x:c r="J181" s="117"/>
      <x:c r="K181" s="117"/>
      <x:c r="L181" s="117"/>
      <x:c r="M181" s="117"/>
      <x:c r="N181" s="117"/>
      <x:c r="O181" s="117"/>
      <x:c r="P181" s="117"/>
      <x:c r="Q181" s="117"/>
      <x:c r="R181" s="117"/>
      <x:c r="S181" s="117"/>
      <x:c r="T181" s="117"/>
      <x:c r="U181" s="117"/>
      <x:c r="V181" s="117"/>
      <x:c r="W181" s="117"/>
      <x:c r="X181" s="117"/>
      <x:c r="Y181" s="117"/>
      <x:c r="Z181" s="117"/>
    </x:row>
    <x:row r="182">
      <x:c r="A182" s="117"/>
      <x:c r="B182" s="117"/>
      <x:c r="C182" s="117"/>
      <x:c r="D182" s="117"/>
      <x:c r="E182" s="117"/>
      <x:c r="F182" s="117"/>
      <x:c r="G182" s="117"/>
      <x:c r="H182" s="117"/>
      <x:c r="I182" s="117"/>
      <x:c r="J182" s="117"/>
      <x:c r="K182" s="117"/>
      <x:c r="L182" s="117"/>
      <x:c r="M182" s="117"/>
      <x:c r="N182" s="117"/>
      <x:c r="O182" s="117"/>
      <x:c r="P182" s="117"/>
      <x:c r="Q182" s="117"/>
      <x:c r="R182" s="117"/>
      <x:c r="S182" s="117"/>
      <x:c r="T182" s="117"/>
      <x:c r="U182" s="117"/>
      <x:c r="V182" s="117"/>
      <x:c r="W182" s="117"/>
      <x:c r="X182" s="117"/>
      <x:c r="Y182" s="117"/>
      <x:c r="Z182" s="117"/>
    </x:row>
    <x:row r="183">
      <x:c r="A183" s="117"/>
      <x:c r="B183" s="117"/>
      <x:c r="C183" s="117"/>
      <x:c r="D183" s="117"/>
      <x:c r="E183" s="117"/>
      <x:c r="F183" s="117"/>
      <x:c r="G183" s="117"/>
      <x:c r="H183" s="117"/>
      <x:c r="I183" s="117"/>
      <x:c r="J183" s="117"/>
      <x:c r="K183" s="117"/>
      <x:c r="L183" s="117"/>
      <x:c r="M183" s="117"/>
      <x:c r="N183" s="117"/>
      <x:c r="O183" s="117"/>
      <x:c r="P183" s="117"/>
      <x:c r="Q183" s="117"/>
      <x:c r="R183" s="117"/>
      <x:c r="S183" s="117"/>
      <x:c r="T183" s="117"/>
      <x:c r="U183" s="117"/>
      <x:c r="V183" s="117"/>
      <x:c r="W183" s="117"/>
      <x:c r="X183" s="117"/>
      <x:c r="Y183" s="117"/>
      <x:c r="Z183" s="117"/>
    </x:row>
    <x:row r="184">
      <x:c r="A184" s="117"/>
      <x:c r="B184" s="117"/>
      <x:c r="C184" s="117"/>
      <x:c r="D184" s="117"/>
      <x:c r="E184" s="117"/>
      <x:c r="F184" s="117"/>
      <x:c r="G184" s="117"/>
      <x:c r="H184" s="117"/>
      <x:c r="I184" s="117"/>
      <x:c r="J184" s="117"/>
      <x:c r="K184" s="117"/>
      <x:c r="L184" s="117"/>
      <x:c r="M184" s="117"/>
      <x:c r="N184" s="117"/>
      <x:c r="O184" s="117"/>
      <x:c r="P184" s="117"/>
      <x:c r="Q184" s="117"/>
      <x:c r="R184" s="117"/>
      <x:c r="S184" s="117"/>
      <x:c r="T184" s="117"/>
      <x:c r="U184" s="117"/>
      <x:c r="V184" s="117"/>
      <x:c r="W184" s="117"/>
      <x:c r="X184" s="117"/>
      <x:c r="Y184" s="117"/>
      <x:c r="Z184" s="117"/>
    </x:row>
    <x:row r="185">
      <x:c r="A185" s="117"/>
      <x:c r="B185" s="117"/>
      <x:c r="C185" s="117"/>
      <x:c r="D185" s="117"/>
      <x:c r="E185" s="117"/>
      <x:c r="F185" s="117"/>
      <x:c r="G185" s="117"/>
      <x:c r="H185" s="117"/>
      <x:c r="I185" s="117"/>
      <x:c r="J185" s="117"/>
      <x:c r="K185" s="117"/>
      <x:c r="L185" s="117"/>
      <x:c r="M185" s="117"/>
      <x:c r="N185" s="117"/>
      <x:c r="O185" s="117"/>
      <x:c r="P185" s="117"/>
      <x:c r="Q185" s="117"/>
      <x:c r="R185" s="117"/>
      <x:c r="S185" s="117"/>
      <x:c r="T185" s="117"/>
      <x:c r="U185" s="117"/>
      <x:c r="V185" s="117"/>
      <x:c r="W185" s="117"/>
      <x:c r="X185" s="117"/>
      <x:c r="Y185" s="117"/>
      <x:c r="Z185" s="117"/>
    </x:row>
    <x:row r="186">
      <x:c r="A186" s="117"/>
      <x:c r="B186" s="117"/>
      <x:c r="C186" s="117"/>
      <x:c r="D186" s="117"/>
      <x:c r="E186" s="117"/>
      <x:c r="F186" s="117"/>
      <x:c r="G186" s="117"/>
      <x:c r="H186" s="117"/>
      <x:c r="I186" s="117"/>
      <x:c r="J186" s="117"/>
      <x:c r="K186" s="117"/>
      <x:c r="L186" s="117"/>
      <x:c r="M186" s="117"/>
      <x:c r="N186" s="117"/>
      <x:c r="O186" s="117"/>
      <x:c r="P186" s="117"/>
      <x:c r="Q186" s="117"/>
      <x:c r="R186" s="117"/>
      <x:c r="S186" s="117"/>
      <x:c r="T186" s="117"/>
      <x:c r="U186" s="117"/>
      <x:c r="V186" s="117"/>
      <x:c r="W186" s="117"/>
      <x:c r="X186" s="117"/>
      <x:c r="Y186" s="117"/>
      <x:c r="Z186" s="117"/>
    </x:row>
    <x:row r="187">
      <x:c r="A187" s="117"/>
      <x:c r="B187" s="117"/>
      <x:c r="C187" s="117"/>
      <x:c r="D187" s="117"/>
      <x:c r="E187" s="117"/>
      <x:c r="F187" s="117"/>
      <x:c r="G187" s="117"/>
      <x:c r="H187" s="117"/>
      <x:c r="I187" s="117"/>
      <x:c r="J187" s="117"/>
      <x:c r="K187" s="117"/>
      <x:c r="L187" s="117"/>
      <x:c r="M187" s="117"/>
      <x:c r="N187" s="117"/>
      <x:c r="O187" s="117"/>
      <x:c r="P187" s="117"/>
      <x:c r="Q187" s="117"/>
      <x:c r="R187" s="117"/>
      <x:c r="S187" s="117"/>
      <x:c r="T187" s="117"/>
      <x:c r="U187" s="117"/>
      <x:c r="V187" s="117"/>
      <x:c r="W187" s="117"/>
      <x:c r="X187" s="117"/>
      <x:c r="Y187" s="117"/>
      <x:c r="Z187" s="117"/>
    </x:row>
    <x:row r="188">
      <x:c r="A188" s="117"/>
      <x:c r="B188" s="117"/>
      <x:c r="C188" s="117"/>
      <x:c r="D188" s="117"/>
      <x:c r="E188" s="117"/>
      <x:c r="F188" s="117"/>
      <x:c r="G188" s="117"/>
      <x:c r="H188" s="117"/>
      <x:c r="I188" s="117"/>
      <x:c r="J188" s="117"/>
      <x:c r="K188" s="117"/>
      <x:c r="L188" s="117"/>
      <x:c r="M188" s="117"/>
      <x:c r="N188" s="117"/>
      <x:c r="O188" s="117"/>
      <x:c r="P188" s="117"/>
      <x:c r="Q188" s="117"/>
      <x:c r="R188" s="117"/>
      <x:c r="S188" s="117"/>
      <x:c r="T188" s="117"/>
      <x:c r="U188" s="117"/>
      <x:c r="V188" s="117"/>
      <x:c r="W188" s="117"/>
      <x:c r="X188" s="117"/>
      <x:c r="Y188" s="117"/>
      <x:c r="Z188" s="117"/>
    </x:row>
    <x:row r="189">
      <x:c r="A189" s="117"/>
      <x:c r="B189" s="117"/>
      <x:c r="C189" s="117"/>
      <x:c r="D189" s="117"/>
      <x:c r="E189" s="117"/>
      <x:c r="F189" s="117"/>
      <x:c r="G189" s="117"/>
      <x:c r="H189" s="117"/>
      <x:c r="I189" s="117"/>
      <x:c r="J189" s="117"/>
      <x:c r="K189" s="117"/>
      <x:c r="L189" s="117"/>
      <x:c r="M189" s="117"/>
      <x:c r="N189" s="117"/>
      <x:c r="O189" s="117"/>
      <x:c r="P189" s="117"/>
      <x:c r="Q189" s="117"/>
      <x:c r="R189" s="117"/>
      <x:c r="S189" s="117"/>
      <x:c r="T189" s="117"/>
      <x:c r="U189" s="117"/>
      <x:c r="V189" s="117"/>
      <x:c r="W189" s="117"/>
      <x:c r="X189" s="117"/>
      <x:c r="Y189" s="117"/>
      <x:c r="Z189" s="117"/>
    </x:row>
    <x:row r="190">
      <x:c r="A190" s="117"/>
      <x:c r="B190" s="117"/>
      <x:c r="C190" s="117"/>
      <x:c r="D190" s="117"/>
      <x:c r="E190" s="117"/>
      <x:c r="F190" s="117"/>
      <x:c r="G190" s="117"/>
      <x:c r="H190" s="117"/>
      <x:c r="I190" s="117"/>
      <x:c r="J190" s="117"/>
      <x:c r="K190" s="117"/>
      <x:c r="L190" s="117"/>
      <x:c r="M190" s="117"/>
      <x:c r="N190" s="117"/>
      <x:c r="O190" s="117"/>
      <x:c r="P190" s="117"/>
      <x:c r="Q190" s="117"/>
      <x:c r="R190" s="117"/>
      <x:c r="S190" s="117"/>
      <x:c r="T190" s="117"/>
      <x:c r="U190" s="117"/>
      <x:c r="V190" s="117"/>
      <x:c r="W190" s="117"/>
      <x:c r="X190" s="117"/>
      <x:c r="Y190" s="117"/>
      <x:c r="Z190" s="117"/>
    </x:row>
    <x:row r="191">
      <x:c r="A191" s="117"/>
      <x:c r="B191" s="117"/>
      <x:c r="C191" s="117"/>
      <x:c r="D191" s="117"/>
      <x:c r="E191" s="117"/>
      <x:c r="F191" s="117"/>
      <x:c r="G191" s="117"/>
      <x:c r="H191" s="117"/>
      <x:c r="I191" s="117"/>
      <x:c r="J191" s="117"/>
      <x:c r="K191" s="117"/>
      <x:c r="L191" s="117"/>
      <x:c r="M191" s="117"/>
      <x:c r="N191" s="117"/>
      <x:c r="O191" s="117"/>
      <x:c r="P191" s="117"/>
      <x:c r="Q191" s="117"/>
      <x:c r="R191" s="117"/>
      <x:c r="S191" s="117"/>
      <x:c r="T191" s="117"/>
      <x:c r="U191" s="117"/>
      <x:c r="V191" s="117"/>
      <x:c r="W191" s="117"/>
      <x:c r="X191" s="117"/>
      <x:c r="Y191" s="117"/>
      <x:c r="Z191" s="117"/>
    </x:row>
    <x:row r="192">
      <x:c r="A192" s="117"/>
      <x:c r="B192" s="117"/>
      <x:c r="C192" s="117"/>
      <x:c r="D192" s="117"/>
      <x:c r="E192" s="117"/>
      <x:c r="F192" s="117"/>
      <x:c r="G192" s="117"/>
      <x:c r="H192" s="117"/>
      <x:c r="I192" s="117"/>
      <x:c r="J192" s="117"/>
      <x:c r="K192" s="117"/>
      <x:c r="L192" s="117"/>
      <x:c r="M192" s="117"/>
      <x:c r="N192" s="117"/>
      <x:c r="O192" s="117"/>
      <x:c r="P192" s="117"/>
      <x:c r="Q192" s="117"/>
      <x:c r="R192" s="117"/>
      <x:c r="S192" s="117"/>
      <x:c r="T192" s="117"/>
      <x:c r="U192" s="117"/>
      <x:c r="V192" s="117"/>
      <x:c r="W192" s="117"/>
      <x:c r="X192" s="117"/>
      <x:c r="Y192" s="117"/>
      <x:c r="Z192" s="117"/>
    </x:row>
    <x:row r="193">
      <x:c r="A193" s="117"/>
      <x:c r="B193" s="117"/>
      <x:c r="C193" s="117"/>
      <x:c r="D193" s="117"/>
      <x:c r="E193" s="117"/>
      <x:c r="F193" s="117"/>
      <x:c r="G193" s="117"/>
      <x:c r="H193" s="117"/>
      <x:c r="I193" s="117"/>
      <x:c r="J193" s="117"/>
      <x:c r="K193" s="117"/>
      <x:c r="L193" s="117"/>
      <x:c r="M193" s="117"/>
      <x:c r="N193" s="117"/>
      <x:c r="O193" s="117"/>
      <x:c r="P193" s="117"/>
      <x:c r="Q193" s="117"/>
      <x:c r="R193" s="117"/>
      <x:c r="S193" s="117"/>
      <x:c r="T193" s="117"/>
      <x:c r="U193" s="117"/>
      <x:c r="V193" s="117"/>
      <x:c r="W193" s="117"/>
      <x:c r="X193" s="117"/>
      <x:c r="Y193" s="117"/>
      <x:c r="Z193" s="117"/>
    </x:row>
    <x:row r="194">
      <x:c r="A194" s="117"/>
      <x:c r="B194" s="117"/>
      <x:c r="C194" s="117"/>
      <x:c r="D194" s="117"/>
      <x:c r="E194" s="117"/>
      <x:c r="F194" s="117"/>
      <x:c r="G194" s="117"/>
      <x:c r="H194" s="117"/>
      <x:c r="I194" s="117"/>
      <x:c r="J194" s="117"/>
      <x:c r="K194" s="117"/>
      <x:c r="L194" s="117"/>
      <x:c r="M194" s="117"/>
      <x:c r="N194" s="117"/>
      <x:c r="O194" s="117"/>
      <x:c r="P194" s="117"/>
      <x:c r="Q194" s="117"/>
      <x:c r="R194" s="117"/>
      <x:c r="S194" s="117"/>
      <x:c r="T194" s="117"/>
      <x:c r="U194" s="117"/>
      <x:c r="V194" s="117"/>
      <x:c r="W194" s="117"/>
      <x:c r="X194" s="117"/>
      <x:c r="Y194" s="117"/>
      <x:c r="Z194" s="117"/>
    </x:row>
    <x:row r="195">
      <x:c r="A195" s="117"/>
      <x:c r="B195" s="117"/>
      <x:c r="C195" s="117"/>
      <x:c r="D195" s="117"/>
      <x:c r="E195" s="117"/>
      <x:c r="F195" s="117"/>
      <x:c r="G195" s="117"/>
      <x:c r="H195" s="117"/>
      <x:c r="I195" s="117"/>
      <x:c r="J195" s="117"/>
      <x:c r="K195" s="117"/>
      <x:c r="L195" s="117"/>
      <x:c r="M195" s="117"/>
      <x:c r="N195" s="117"/>
      <x:c r="O195" s="117"/>
      <x:c r="P195" s="117"/>
      <x:c r="Q195" s="117"/>
      <x:c r="R195" s="117"/>
      <x:c r="S195" s="117"/>
      <x:c r="T195" s="117"/>
      <x:c r="U195" s="117"/>
      <x:c r="V195" s="117"/>
      <x:c r="W195" s="117"/>
      <x:c r="X195" s="117"/>
      <x:c r="Y195" s="117"/>
      <x:c r="Z195" s="117"/>
    </x:row>
    <x:row r="196">
      <x:c r="A196" s="117"/>
      <x:c r="B196" s="117"/>
      <x:c r="C196" s="117"/>
      <x:c r="D196" s="117"/>
      <x:c r="E196" s="117"/>
      <x:c r="F196" s="117"/>
      <x:c r="G196" s="117"/>
      <x:c r="H196" s="117"/>
      <x:c r="I196" s="117"/>
      <x:c r="J196" s="117"/>
      <x:c r="K196" s="117"/>
      <x:c r="L196" s="117"/>
      <x:c r="M196" s="117"/>
      <x:c r="N196" s="117"/>
      <x:c r="O196" s="117"/>
      <x:c r="P196" s="117"/>
      <x:c r="Q196" s="117"/>
      <x:c r="R196" s="117"/>
      <x:c r="S196" s="117"/>
      <x:c r="T196" s="117"/>
      <x:c r="U196" s="117"/>
      <x:c r="V196" s="117"/>
      <x:c r="W196" s="117"/>
      <x:c r="X196" s="117"/>
      <x:c r="Y196" s="117"/>
      <x:c r="Z196" s="117"/>
    </x:row>
    <x:row r="197">
      <x:c r="A197" s="117"/>
      <x:c r="B197" s="117"/>
      <x:c r="C197" s="117"/>
      <x:c r="D197" s="117"/>
      <x:c r="E197" s="117"/>
      <x:c r="F197" s="117"/>
      <x:c r="G197" s="117"/>
      <x:c r="H197" s="117"/>
      <x:c r="I197" s="117"/>
      <x:c r="J197" s="117"/>
      <x:c r="K197" s="117"/>
      <x:c r="L197" s="117"/>
      <x:c r="M197" s="117"/>
      <x:c r="N197" s="117"/>
      <x:c r="O197" s="117"/>
      <x:c r="P197" s="117"/>
      <x:c r="Q197" s="117"/>
      <x:c r="R197" s="117"/>
      <x:c r="S197" s="117"/>
      <x:c r="T197" s="117"/>
      <x:c r="U197" s="117"/>
      <x:c r="V197" s="117"/>
      <x:c r="W197" s="117"/>
      <x:c r="X197" s="117"/>
      <x:c r="Y197" s="117"/>
      <x:c r="Z197" s="117"/>
    </x:row>
    <x:row r="198">
      <x:c r="A198" s="117"/>
      <x:c r="B198" s="117"/>
      <x:c r="C198" s="117"/>
      <x:c r="D198" s="117"/>
      <x:c r="E198" s="117"/>
      <x:c r="F198" s="117"/>
      <x:c r="G198" s="117"/>
      <x:c r="H198" s="117"/>
      <x:c r="I198" s="117"/>
      <x:c r="J198" s="117"/>
      <x:c r="K198" s="117"/>
      <x:c r="L198" s="117"/>
      <x:c r="M198" s="117"/>
      <x:c r="N198" s="117"/>
      <x:c r="O198" s="117"/>
      <x:c r="P198" s="117"/>
      <x:c r="Q198" s="117"/>
      <x:c r="R198" s="117"/>
      <x:c r="S198" s="117"/>
      <x:c r="T198" s="117"/>
      <x:c r="U198" s="117"/>
      <x:c r="V198" s="117"/>
      <x:c r="W198" s="117"/>
      <x:c r="X198" s="117"/>
      <x:c r="Y198" s="117"/>
      <x:c r="Z198" s="117"/>
    </x:row>
    <x:row r="199">
      <x:c r="A199" s="117"/>
      <x:c r="B199" s="117"/>
      <x:c r="C199" s="117"/>
      <x:c r="D199" s="117"/>
      <x:c r="E199" s="117"/>
      <x:c r="F199" s="117"/>
      <x:c r="G199" s="117"/>
      <x:c r="H199" s="117"/>
      <x:c r="I199" s="117"/>
      <x:c r="J199" s="117"/>
      <x:c r="K199" s="117"/>
      <x:c r="L199" s="117"/>
      <x:c r="M199" s="117"/>
      <x:c r="N199" s="117"/>
      <x:c r="O199" s="117"/>
      <x:c r="P199" s="117"/>
      <x:c r="Q199" s="117"/>
      <x:c r="R199" s="117"/>
      <x:c r="S199" s="117"/>
      <x:c r="T199" s="117"/>
      <x:c r="U199" s="117"/>
      <x:c r="V199" s="117"/>
      <x:c r="W199" s="117"/>
      <x:c r="X199" s="117"/>
      <x:c r="Y199" s="117"/>
      <x:c r="Z199" s="117"/>
    </x:row>
    <x:row r="200">
      <x:c r="A200" s="117"/>
      <x:c r="B200" s="117"/>
      <x:c r="C200" s="117"/>
      <x:c r="D200" s="117"/>
      <x:c r="E200" s="117"/>
      <x:c r="F200" s="117"/>
      <x:c r="G200" s="117"/>
      <x:c r="H200" s="117"/>
      <x:c r="I200" s="117"/>
      <x:c r="J200" s="117"/>
      <x:c r="K200" s="117"/>
      <x:c r="L200" s="117"/>
      <x:c r="M200" s="117"/>
      <x:c r="N200" s="117"/>
      <x:c r="O200" s="117"/>
      <x:c r="P200" s="117"/>
      <x:c r="Q200" s="117"/>
      <x:c r="R200" s="117"/>
      <x:c r="S200" s="117"/>
      <x:c r="T200" s="117"/>
      <x:c r="U200" s="117"/>
      <x:c r="V200" s="117"/>
      <x:c r="W200" s="117"/>
      <x:c r="X200" s="117"/>
      <x:c r="Y200" s="117"/>
      <x:c r="Z200" s="117"/>
    </x:row>
  </x:sheetData>
  <x:mergeCells>
    <x:mergeCell ref="A1:P1"/>
    <x:mergeCell ref="A2:P2"/>
  </x:mergeCells>
  <x:conditionalFormatting sqref="O5:O34">
    <x:cfRule type="expression" dxfId="0" priority="1">
      <x:formula>O5="要設計"</x:formula>
    </x:cfRule>
    <x:cfRule type="expression" dxfId="1" priority="2">
      <x:formula>O5="凍結"</x:formula>
    </x:cfRule>
  </x:conditionalFormatting>
  <x:dataValidations count="2">
    <x:dataValidation type="list" sqref="M5:M34">
      <x:formula1>"必須,最優先,条件,任意"</x:formula1>
    </x:dataValidation>
    <x:dataValidation type="list" sqref="O5:O34">
      <x:formula1>"仮確定,要設計,レビュー中,凍結"</x:formula1>
    </x:dataValidation>
  </x:dataValidations>
  <x:pageMargins left="0.7" right="0.7" top="0.75" bottom="0.75" header="0.3" footer="0.3"/>
</x:worksheet>
</file>

<file path=xl/worksheets/sheet10.xml><?xml version="1.0" encoding="utf-8"?>
<x:worksheet xmlns:x="http://schemas.openxmlformats.org/spreadsheetml/2006/main">
  <x:sheetFormatPr defaultRowHeight="15"/>
  <x:cols>
    <x:col min="1" max="1" width="8" hidden="0" customWidth="1"/>
    <x:col min="2" max="2" width="18" hidden="0" customWidth="1"/>
    <x:col min="3" max="3" width="34" hidden="0" customWidth="1"/>
    <x:col min="4" max="4" width="36" hidden="0" customWidth="1"/>
    <x:col min="5" max="5" width="28" hidden="0" customWidth="1"/>
    <x:col min="6" max="6" width="22" hidden="0" customWidth="1"/>
    <x:col min="7" max="7" width="28" hidden="0" customWidth="1"/>
    <x:col min="8" max="8" width="48" hidden="0" customWidth="1"/>
    <x:col min="9" max="9" width="18" hidden="0" customWidth="1"/>
    <x:col min="10" max="10" width="24" hidden="0" customWidth="1"/>
    <x:col min="11" max="11" width="30" hidden="0" customWidth="1"/>
  </x:cols>
  <x:sheetData>
    <x:row r="1" ht="28" customHeight="1">
      <x:c r="A1" s="116" t="str">
        <x:v>09_断定レベル・文章統制</x:v>
      </x:c>
      <x:c r="B1" s="116"/>
      <x:c r="C1" s="116"/>
      <x:c r="D1" s="116"/>
      <x:c r="E1" s="116"/>
      <x:c r="F1" s="116"/>
      <x:c r="G1" s="116"/>
      <x:c r="H1" s="116"/>
      <x:c r="I1" s="116"/>
      <x:c r="J1" s="116"/>
      <x:c r="K1" s="116"/>
      <x:c r="L1" s="117"/>
      <x:c r="M1" s="117"/>
      <x:c r="N1" s="117"/>
      <x:c r="O1" s="117"/>
      <x:c r="P1" s="117"/>
      <x:c r="Q1" s="117"/>
      <x:c r="R1" s="117"/>
      <x:c r="S1" s="117"/>
      <x:c r="T1" s="117"/>
      <x:c r="U1" s="117"/>
      <x:c r="V1" s="117"/>
      <x:c r="W1" s="117"/>
      <x:c r="X1" s="117"/>
      <x:c r="Y1" s="117"/>
      <x:c r="Z1" s="117"/>
    </x:row>
    <x:row r="2" ht="34" customHeight="1">
      <x:c r="A2" s="118" t="str">
        <x:v>Evidenceの質と回答整合性に応じて、コメントの断定表現を統制する。</x:v>
      </x:c>
      <x:c r="B2" s="118"/>
      <x:c r="C2" s="118"/>
      <x:c r="D2" s="118"/>
      <x:c r="E2" s="118"/>
      <x:c r="F2" s="118"/>
      <x:c r="G2" s="118"/>
      <x:c r="H2" s="118"/>
      <x:c r="I2" s="118"/>
      <x:c r="J2" s="118"/>
      <x:c r="K2" s="118"/>
      <x:c r="L2" s="117"/>
      <x:c r="M2" s="117"/>
      <x:c r="N2" s="117"/>
      <x:c r="O2" s="117"/>
      <x:c r="P2" s="117"/>
      <x:c r="Q2" s="117"/>
      <x:c r="R2" s="117"/>
      <x:c r="S2" s="117"/>
      <x:c r="T2" s="117"/>
      <x:c r="U2" s="117"/>
      <x:c r="V2" s="117"/>
      <x:c r="W2" s="117"/>
      <x:c r="X2" s="117"/>
      <x:c r="Y2" s="117"/>
      <x:c r="Z2" s="117"/>
    </x:row>
    <x:row r="3">
      <x:c r="A3" s="117"/>
      <x:c r="B3" s="117"/>
      <x:c r="C3" s="117"/>
      <x:c r="D3" s="117"/>
      <x:c r="E3" s="117"/>
      <x:c r="F3" s="117"/>
      <x:c r="G3" s="117"/>
      <x:c r="H3" s="117"/>
      <x:c r="I3" s="117"/>
      <x:c r="J3" s="117"/>
      <x:c r="K3" s="117"/>
      <x:c r="L3" s="117"/>
      <x:c r="M3" s="117"/>
      <x:c r="N3" s="117"/>
      <x:c r="O3" s="117"/>
      <x:c r="P3" s="117"/>
      <x:c r="Q3" s="117"/>
      <x:c r="R3" s="117"/>
      <x:c r="S3" s="117"/>
      <x:c r="T3" s="117"/>
      <x:c r="U3" s="117"/>
      <x:c r="V3" s="117"/>
      <x:c r="W3" s="117"/>
      <x:c r="X3" s="117"/>
      <x:c r="Y3" s="117"/>
      <x:c r="Z3" s="117"/>
    </x:row>
    <x:row r="4" ht="34" customHeight="1">
      <x:c r="A4" s="119" t="str">
        <x:v>レベル</x:v>
      </x:c>
      <x:c r="B4" s="126" t="str">
        <x:v>名称</x:v>
      </x:c>
      <x:c r="C4" s="126" t="str">
        <x:v>主条件</x:v>
      </x:c>
      <x:c r="D4" s="126" t="str">
        <x:v>使用可能表現</x:v>
      </x:c>
      <x:c r="E4" s="126" t="str">
        <x:v>禁止表現</x:v>
      </x:c>
      <x:c r="F4" s="126" t="str">
        <x:v>診断信頼度への扱い</x:v>
      </x:c>
      <x:c r="G4" s="126" t="str">
        <x:v>判定時の処理</x:v>
      </x:c>
      <x:c r="H4" s="126" t="str">
        <x:v>例文</x:v>
      </x:c>
      <x:c r="I4" s="126" t="str">
        <x:v>コメントコード表記</x:v>
      </x:c>
      <x:c r="J4" s="126" t="str">
        <x:v>承認要件</x:v>
      </x:c>
      <x:c r="K4" s="120" t="str">
        <x:v>備考</x:v>
      </x:c>
      <x:c r="L4" s="117"/>
      <x:c r="M4" s="117"/>
      <x:c r="N4" s="117"/>
      <x:c r="O4" s="117"/>
      <x:c r="P4" s="117"/>
      <x:c r="Q4" s="117"/>
      <x:c r="R4" s="117"/>
      <x:c r="S4" s="117"/>
      <x:c r="T4" s="117"/>
      <x:c r="U4" s="117"/>
      <x:c r="V4" s="117"/>
      <x:c r="W4" s="117"/>
      <x:c r="X4" s="117"/>
      <x:c r="Y4" s="117"/>
      <x:c r="Z4" s="117"/>
    </x:row>
    <x:row r="5">
      <x:c r="A5" s="49" t="str">
        <x:v>L3</x:v>
      </x:c>
      <x:c r="B5" s="87" t="str">
        <x:v>Evidence確認済み</x:v>
      </x:c>
      <x:c r="C5" s="87" t="str">
        <x:v>正式文書・点検報告・メーカー回答・現地確認・鮮明な銘板等で確認</x:v>
      </x:c>
      <x:c r="D5" s="87" t="str">
        <x:v>確認されています／該当します／必要です／推奨します</x:v>
      </x:c>
      <x:c r="E5" s="87" t="str">
        <x:v>可能性だけで曖昧化する表現</x:v>
      </x:c>
      <x:c r="F5" s="87" t="str">
        <x:v>高評価</x:v>
      </x:c>
      <x:c r="G5" s="87" t="str">
        <x:v>事実・リスク・推奨行動を表示</x:v>
      </x:c>
      <x:c r="H5" s="87" t="str">
        <x:v>メーカー保守終了が確認されており、故障時の復旧長期化リスクがあります。</x:v>
      </x:c>
      <x:c r="I5" s="87" t="str">
        <x:v>*-L3-*</x:v>
      </x:c>
      <x:c r="J5" s="87" t="str">
        <x:v>技術レビュー＋文責者承認</x:v>
      </x:c>
      <x:c r="K5" s="50" t="str">
        <x:v>資料の有効期限・対象型式を確認</x:v>
      </x:c>
      <x:c r="L5" s="117"/>
      <x:c r="M5" s="117"/>
      <x:c r="N5" s="117"/>
      <x:c r="O5" s="117"/>
      <x:c r="P5" s="117"/>
      <x:c r="Q5" s="117"/>
      <x:c r="R5" s="117"/>
      <x:c r="S5" s="117"/>
      <x:c r="T5" s="117"/>
      <x:c r="U5" s="117"/>
      <x:c r="V5" s="117"/>
      <x:c r="W5" s="117"/>
      <x:c r="X5" s="117"/>
      <x:c r="Y5" s="117"/>
      <x:c r="Z5" s="117"/>
    </x:row>
    <x:row r="6">
      <x:c r="A6" s="51" t="str">
        <x:v>L2</x:v>
      </x:c>
      <x:c r="B6" s="88" t="str">
        <x:v>自己申告のみ</x:v>
      </x:c>
      <x:c r="C6" s="88" t="str">
        <x:v>回答者申告はあるが根拠資料未確認</x:v>
      </x:c>
      <x:c r="D6" s="88" t="str">
        <x:v>可能性があります／申告されています／確認が必要です／検討を推奨します</x:v>
      </x:c>
      <x:c r="E6" s="88" t="str">
        <x:v>確認済み、断定的な必要表現</x:v>
      </x:c>
      <x:c r="F6" s="88" t="str">
        <x:v>中評価</x:v>
      </x:c>
      <x:c r="G6" s="88" t="str">
        <x:v>事実候補と確認行動を表示</x:v>
      </x:c>
      <x:c r="H6" s="88" t="str">
        <x:v>メーカー保守が終了している可能性があります。型式とメーカー回答の確認が必要です。</x:v>
      </x:c>
      <x:c r="I6" s="88" t="str">
        <x:v>*-L2-*</x:v>
      </x:c>
      <x:c r="J6" s="88" t="str">
        <x:v>業務レビュー＋文責者承認</x:v>
      </x:c>
      <x:c r="K6" s="52" t="str">
        <x:v>自己申告と推定を区別</x:v>
      </x:c>
      <x:c r="L6" s="117"/>
      <x:c r="M6" s="117"/>
      <x:c r="N6" s="117"/>
      <x:c r="O6" s="117"/>
      <x:c r="P6" s="117"/>
      <x:c r="Q6" s="117"/>
      <x:c r="R6" s="117"/>
      <x:c r="S6" s="117"/>
      <x:c r="T6" s="117"/>
      <x:c r="U6" s="117"/>
      <x:c r="V6" s="117"/>
      <x:c r="W6" s="117"/>
      <x:c r="X6" s="117"/>
      <x:c r="Y6" s="117"/>
      <x:c r="Z6" s="117"/>
    </x:row>
    <x:row r="7">
      <x:c r="A7" s="51" t="str">
        <x:v>L1</x:v>
      </x:c>
      <x:c r="B7" s="88" t="str">
        <x:v>情報不足</x:v>
      </x:c>
      <x:c r="C7" s="88" t="str">
        <x:v>不明回答、型式不明、資料なし、対象範囲不足</x:v>
      </x:c>
      <x:c r="D7" s="88" t="str">
        <x:v>判断できません／情報が不足しています／現時点では確定できません／確認を推奨します</x:v>
      </x:c>
      <x:c r="E7" s="88" t="str">
        <x:v>問題なし、保守継続中等の推定</x:v>
      </x:c>
      <x:c r="F7" s="88" t="str">
        <x:v>低評価</x:v>
      </x:c>
      <x:c r="G7" s="88" t="str">
        <x:v>判定保留と不足情報を表示</x:v>
      </x:c>
      <x:c r="H7" s="88" t="str">
        <x:v>保守対応状況を判断する情報が不足しています。メーカーへの確認を推奨します。</x:v>
      </x:c>
      <x:c r="I7" s="88" t="str">
        <x:v>*-L1-*</x:v>
      </x:c>
      <x:c r="J7" s="88" t="str">
        <x:v>業務レビュー＋文責者承認</x:v>
      </x:c>
      <x:c r="K7" s="52" t="str">
        <x:v>情報不足を状態不良と混同しない</x:v>
      </x:c>
      <x:c r="L7" s="117"/>
      <x:c r="M7" s="117"/>
      <x:c r="N7" s="117"/>
      <x:c r="O7" s="117"/>
      <x:c r="P7" s="117"/>
      <x:c r="Q7" s="117"/>
      <x:c r="R7" s="117"/>
      <x:c r="S7" s="117"/>
      <x:c r="T7" s="117"/>
      <x:c r="U7" s="117"/>
      <x:c r="V7" s="117"/>
      <x:c r="W7" s="117"/>
      <x:c r="X7" s="117"/>
      <x:c r="Y7" s="117"/>
      <x:c r="Z7" s="117"/>
    </x:row>
    <x:row r="8">
      <x:c r="A8" s="53" t="str">
        <x:v>L0</x:v>
      </x:c>
      <x:c r="B8" s="89" t="str">
        <x:v>矛盾・判定停止</x:v>
      </x:c>
      <x:c r="C8" s="89" t="str">
        <x:v>回答間矛盾、資料不一致、日付逆転、対象設備混同</x:v>
      </x:c>
      <x:c r="D8" s="89" t="str">
        <x:v>相違があります／判定していません／再確認が必要です</x:v>
      </x:c>
      <x:c r="E8" s="89" t="str">
        <x:v>いずれか一方を採用した断定</x:v>
      </x:c>
      <x:c r="F8" s="89" t="str">
        <x:v>大幅減点</x:v>
      </x:c>
      <x:c r="G8" s="89" t="str">
        <x:v>該当判定を停止しGuardrail表示を優先</x:v>
      </x:c>
      <x:c r="H8" s="89" t="str">
        <x:v>回答内容と登録資料に相違があるため、現時点では保守状況を判定していません。内容の再確認が必要です。</x:v>
      </x:c>
      <x:c r="I8" s="89" t="str">
        <x:v>*-L0-*</x:v>
      </x:c>
      <x:c r="J8" s="89" t="str">
        <x:v>技術レビュー必須</x:v>
      </x:c>
      <x:c r="K8" s="54" t="str">
        <x:v>矛盾解消まで推奨判断へ使用しない</x:v>
      </x:c>
      <x:c r="L8" s="117"/>
      <x:c r="M8" s="117"/>
      <x:c r="N8" s="117"/>
      <x:c r="O8" s="117"/>
      <x:c r="P8" s="117"/>
      <x:c r="Q8" s="117"/>
      <x:c r="R8" s="117"/>
      <x:c r="S8" s="117"/>
      <x:c r="T8" s="117"/>
      <x:c r="U8" s="117"/>
      <x:c r="V8" s="117"/>
      <x:c r="W8" s="117"/>
      <x:c r="X8" s="117"/>
      <x:c r="Y8" s="117"/>
      <x:c r="Z8" s="117"/>
    </x:row>
    <x:row r="9">
      <x:c r="A9" s="117"/>
      <x:c r="B9" s="117"/>
      <x:c r="C9" s="117"/>
      <x:c r="D9" s="117"/>
      <x:c r="E9" s="117"/>
      <x:c r="F9" s="117"/>
      <x:c r="G9" s="117"/>
      <x:c r="H9" s="117"/>
      <x:c r="I9" s="117"/>
      <x:c r="J9" s="117"/>
      <x:c r="K9" s="117"/>
      <x:c r="L9" s="117"/>
      <x:c r="M9" s="117"/>
      <x:c r="N9" s="117"/>
      <x:c r="O9" s="117"/>
      <x:c r="P9" s="117"/>
      <x:c r="Q9" s="117"/>
      <x:c r="R9" s="117"/>
      <x:c r="S9" s="117"/>
      <x:c r="T9" s="117"/>
      <x:c r="U9" s="117"/>
      <x:c r="V9" s="117"/>
      <x:c r="W9" s="117"/>
      <x:c r="X9" s="117"/>
      <x:c r="Y9" s="117"/>
      <x:c r="Z9" s="117"/>
    </x:row>
    <x:row r="10">
      <x:c r="A10" s="117"/>
      <x:c r="B10" s="117"/>
      <x:c r="C10" s="117"/>
      <x:c r="D10" s="117"/>
      <x:c r="E10" s="117"/>
      <x:c r="F10" s="117"/>
      <x:c r="G10" s="117"/>
      <x:c r="H10" s="117"/>
      <x:c r="I10" s="117"/>
      <x:c r="J10" s="117"/>
      <x:c r="K10" s="117"/>
      <x:c r="L10" s="117"/>
      <x:c r="M10" s="117"/>
      <x:c r="N10" s="117"/>
      <x:c r="O10" s="117"/>
      <x:c r="P10" s="117"/>
      <x:c r="Q10" s="117"/>
      <x:c r="R10" s="117"/>
      <x:c r="S10" s="117"/>
      <x:c r="T10" s="117"/>
      <x:c r="U10" s="117"/>
      <x:c r="V10" s="117"/>
      <x:c r="W10" s="117"/>
      <x:c r="X10" s="117"/>
      <x:c r="Y10" s="117"/>
      <x:c r="Z10" s="117"/>
    </x:row>
    <x:row r="11">
      <x:c r="A11" s="117"/>
      <x:c r="B11" s="117"/>
      <x:c r="C11" s="117"/>
      <x:c r="D11" s="117"/>
      <x:c r="E11" s="117"/>
      <x:c r="F11" s="117"/>
      <x:c r="G11" s="117"/>
      <x:c r="H11" s="117"/>
      <x:c r="I11" s="117"/>
      <x:c r="J11" s="117"/>
      <x:c r="K11" s="117"/>
      <x:c r="L11" s="117"/>
      <x:c r="M11" s="117"/>
      <x:c r="N11" s="117"/>
      <x:c r="O11" s="117"/>
      <x:c r="P11" s="117"/>
      <x:c r="Q11" s="117"/>
      <x:c r="R11" s="117"/>
      <x:c r="S11" s="117"/>
      <x:c r="T11" s="117"/>
      <x:c r="U11" s="117"/>
      <x:c r="V11" s="117"/>
      <x:c r="W11" s="117"/>
      <x:c r="X11" s="117"/>
      <x:c r="Y11" s="117"/>
      <x:c r="Z11" s="117"/>
    </x:row>
    <x:row r="12">
      <x:c r="A12" s="117"/>
      <x:c r="B12" s="117"/>
      <x:c r="C12" s="117"/>
      <x:c r="D12" s="117"/>
      <x:c r="E12" s="117"/>
      <x:c r="F12" s="117"/>
      <x:c r="G12" s="117"/>
      <x:c r="H12" s="117"/>
      <x:c r="I12" s="117"/>
      <x:c r="J12" s="117"/>
      <x:c r="K12" s="117"/>
      <x:c r="L12" s="117"/>
      <x:c r="M12" s="117"/>
      <x:c r="N12" s="117"/>
      <x:c r="O12" s="117"/>
      <x:c r="P12" s="117"/>
      <x:c r="Q12" s="117"/>
      <x:c r="R12" s="117"/>
      <x:c r="S12" s="117"/>
      <x:c r="T12" s="117"/>
      <x:c r="U12" s="117"/>
      <x:c r="V12" s="117"/>
      <x:c r="W12" s="117"/>
      <x:c r="X12" s="117"/>
      <x:c r="Y12" s="117"/>
      <x:c r="Z12" s="117"/>
    </x:row>
    <x:row r="13">
      <x:c r="A13" s="117"/>
      <x:c r="B13" s="117"/>
      <x:c r="C13" s="117"/>
      <x:c r="D13" s="117"/>
      <x:c r="E13" s="117"/>
      <x:c r="F13" s="117"/>
      <x:c r="G13" s="117"/>
      <x:c r="H13" s="117"/>
      <x:c r="I13" s="117"/>
      <x:c r="J13" s="117"/>
      <x:c r="K13" s="117"/>
      <x:c r="L13" s="117"/>
      <x:c r="M13" s="117"/>
      <x:c r="N13" s="117"/>
      <x:c r="O13" s="117"/>
      <x:c r="P13" s="117"/>
      <x:c r="Q13" s="117"/>
      <x:c r="R13" s="117"/>
      <x:c r="S13" s="117"/>
      <x:c r="T13" s="117"/>
      <x:c r="U13" s="117"/>
      <x:c r="V13" s="117"/>
      <x:c r="W13" s="117"/>
      <x:c r="X13" s="117"/>
      <x:c r="Y13" s="117"/>
      <x:c r="Z13" s="117"/>
    </x:row>
    <x:row r="14">
      <x:c r="A14" s="117"/>
      <x:c r="B14" s="117"/>
      <x:c r="C14" s="117"/>
      <x:c r="D14" s="117"/>
      <x:c r="E14" s="117"/>
      <x:c r="F14" s="117"/>
      <x:c r="G14" s="117"/>
      <x:c r="H14" s="117"/>
      <x:c r="I14" s="117"/>
      <x:c r="J14" s="117"/>
      <x:c r="K14" s="117"/>
      <x:c r="L14" s="117"/>
      <x:c r="M14" s="117"/>
      <x:c r="N14" s="117"/>
      <x:c r="O14" s="117"/>
      <x:c r="P14" s="117"/>
      <x:c r="Q14" s="117"/>
      <x:c r="R14" s="117"/>
      <x:c r="S14" s="117"/>
      <x:c r="T14" s="117"/>
      <x:c r="U14" s="117"/>
      <x:c r="V14" s="117"/>
      <x:c r="W14" s="117"/>
      <x:c r="X14" s="117"/>
      <x:c r="Y14" s="117"/>
      <x:c r="Z14" s="117"/>
    </x:row>
    <x:row r="15">
      <x:c r="A15" s="117"/>
      <x:c r="B15" s="117"/>
      <x:c r="C15" s="117"/>
      <x:c r="D15" s="117"/>
      <x:c r="E15" s="117"/>
      <x:c r="F15" s="117"/>
      <x:c r="G15" s="117"/>
      <x:c r="H15" s="117"/>
      <x:c r="I15" s="117"/>
      <x:c r="J15" s="117"/>
      <x:c r="K15" s="117"/>
      <x:c r="L15" s="117"/>
      <x:c r="M15" s="117"/>
      <x:c r="N15" s="117"/>
      <x:c r="O15" s="117"/>
      <x:c r="P15" s="117"/>
      <x:c r="Q15" s="117"/>
      <x:c r="R15" s="117"/>
      <x:c r="S15" s="117"/>
      <x:c r="T15" s="117"/>
      <x:c r="U15" s="117"/>
      <x:c r="V15" s="117"/>
      <x:c r="W15" s="117"/>
      <x:c r="X15" s="117"/>
      <x:c r="Y15" s="117"/>
      <x:c r="Z15" s="117"/>
    </x:row>
    <x:row r="16">
      <x:c r="A16" s="117"/>
      <x:c r="B16" s="117"/>
      <x:c r="C16" s="117"/>
      <x:c r="D16" s="117"/>
      <x:c r="E16" s="117"/>
      <x:c r="F16" s="117"/>
      <x:c r="G16" s="117"/>
      <x:c r="H16" s="117"/>
      <x:c r="I16" s="117"/>
      <x:c r="J16" s="117"/>
      <x:c r="K16" s="117"/>
      <x:c r="L16" s="117"/>
      <x:c r="M16" s="117"/>
      <x:c r="N16" s="117"/>
      <x:c r="O16" s="117"/>
      <x:c r="P16" s="117"/>
      <x:c r="Q16" s="117"/>
      <x:c r="R16" s="117"/>
      <x:c r="S16" s="117"/>
      <x:c r="T16" s="117"/>
      <x:c r="U16" s="117"/>
      <x:c r="V16" s="117"/>
      <x:c r="W16" s="117"/>
      <x:c r="X16" s="117"/>
      <x:c r="Y16" s="117"/>
      <x:c r="Z16" s="117"/>
    </x:row>
    <x:row r="17">
      <x:c r="A17" s="117"/>
      <x:c r="B17" s="117"/>
      <x:c r="C17" s="117"/>
      <x:c r="D17" s="117"/>
      <x:c r="E17" s="117"/>
      <x:c r="F17" s="117"/>
      <x:c r="G17" s="117"/>
      <x:c r="H17" s="117"/>
      <x:c r="I17" s="117"/>
      <x:c r="J17" s="117"/>
      <x:c r="K17" s="117"/>
      <x:c r="L17" s="117"/>
      <x:c r="M17" s="117"/>
      <x:c r="N17" s="117"/>
      <x:c r="O17" s="117"/>
      <x:c r="P17" s="117"/>
      <x:c r="Q17" s="117"/>
      <x:c r="R17" s="117"/>
      <x:c r="S17" s="117"/>
      <x:c r="T17" s="117"/>
      <x:c r="U17" s="117"/>
      <x:c r="V17" s="117"/>
      <x:c r="W17" s="117"/>
      <x:c r="X17" s="117"/>
      <x:c r="Y17" s="117"/>
      <x:c r="Z17" s="117"/>
    </x:row>
    <x:row r="18">
      <x:c r="A18" s="117"/>
      <x:c r="B18" s="117"/>
      <x:c r="C18" s="117"/>
      <x:c r="D18" s="117"/>
      <x:c r="E18" s="117"/>
      <x:c r="F18" s="117"/>
      <x:c r="G18" s="117"/>
      <x:c r="H18" s="117"/>
      <x:c r="I18" s="117"/>
      <x:c r="J18" s="117"/>
      <x:c r="K18" s="117"/>
      <x:c r="L18" s="117"/>
      <x:c r="M18" s="117"/>
      <x:c r="N18" s="117"/>
      <x:c r="O18" s="117"/>
      <x:c r="P18" s="117"/>
      <x:c r="Q18" s="117"/>
      <x:c r="R18" s="117"/>
      <x:c r="S18" s="117"/>
      <x:c r="T18" s="117"/>
      <x:c r="U18" s="117"/>
      <x:c r="V18" s="117"/>
      <x:c r="W18" s="117"/>
      <x:c r="X18" s="117"/>
      <x:c r="Y18" s="117"/>
      <x:c r="Z18" s="117"/>
    </x:row>
    <x:row r="19">
      <x:c r="A19" s="117"/>
      <x:c r="B19" s="117"/>
      <x:c r="C19" s="117"/>
      <x:c r="D19" s="117"/>
      <x:c r="E19" s="117"/>
      <x:c r="F19" s="117"/>
      <x:c r="G19" s="117"/>
      <x:c r="H19" s="117"/>
      <x:c r="I19" s="117"/>
      <x:c r="J19" s="117"/>
      <x:c r="K19" s="117"/>
      <x:c r="L19" s="117"/>
      <x:c r="M19" s="117"/>
      <x:c r="N19" s="117"/>
      <x:c r="O19" s="117"/>
      <x:c r="P19" s="117"/>
      <x:c r="Q19" s="117"/>
      <x:c r="R19" s="117"/>
      <x:c r="S19" s="117"/>
      <x:c r="T19" s="117"/>
      <x:c r="U19" s="117"/>
      <x:c r="V19" s="117"/>
      <x:c r="W19" s="117"/>
      <x:c r="X19" s="117"/>
      <x:c r="Y19" s="117"/>
      <x:c r="Z19" s="117"/>
    </x:row>
    <x:row r="20">
      <x:c r="A20" s="117"/>
      <x:c r="B20" s="117"/>
      <x:c r="C20" s="117"/>
      <x:c r="D20" s="117"/>
      <x:c r="E20" s="117"/>
      <x:c r="F20" s="117"/>
      <x:c r="G20" s="117"/>
      <x:c r="H20" s="117"/>
      <x:c r="I20" s="117"/>
      <x:c r="J20" s="117"/>
      <x:c r="K20" s="117"/>
      <x:c r="L20" s="117"/>
      <x:c r="M20" s="117"/>
      <x:c r="N20" s="117"/>
      <x:c r="O20" s="117"/>
      <x:c r="P20" s="117"/>
      <x:c r="Q20" s="117"/>
      <x:c r="R20" s="117"/>
      <x:c r="S20" s="117"/>
      <x:c r="T20" s="117"/>
      <x:c r="U20" s="117"/>
      <x:c r="V20" s="117"/>
      <x:c r="W20" s="117"/>
      <x:c r="X20" s="117"/>
      <x:c r="Y20" s="117"/>
      <x:c r="Z20" s="117"/>
    </x:row>
    <x:row r="21">
      <x:c r="A21" s="117"/>
      <x:c r="B21" s="117"/>
      <x:c r="C21" s="117"/>
      <x:c r="D21" s="117"/>
      <x:c r="E21" s="117"/>
      <x:c r="F21" s="117"/>
      <x:c r="G21" s="117"/>
      <x:c r="H21" s="117"/>
      <x:c r="I21" s="117"/>
      <x:c r="J21" s="117"/>
      <x:c r="K21" s="117"/>
      <x:c r="L21" s="117"/>
      <x:c r="M21" s="117"/>
      <x:c r="N21" s="117"/>
      <x:c r="O21" s="117"/>
      <x:c r="P21" s="117"/>
      <x:c r="Q21" s="117"/>
      <x:c r="R21" s="117"/>
      <x:c r="S21" s="117"/>
      <x:c r="T21" s="117"/>
      <x:c r="U21" s="117"/>
      <x:c r="V21" s="117"/>
      <x:c r="W21" s="117"/>
      <x:c r="X21" s="117"/>
      <x:c r="Y21" s="117"/>
      <x:c r="Z21" s="117"/>
    </x:row>
    <x:row r="22">
      <x:c r="A22" s="117"/>
      <x:c r="B22" s="117"/>
      <x:c r="C22" s="117"/>
      <x:c r="D22" s="117"/>
      <x:c r="E22" s="117"/>
      <x:c r="F22" s="117"/>
      <x:c r="G22" s="117"/>
      <x:c r="H22" s="117"/>
      <x:c r="I22" s="117"/>
      <x:c r="J22" s="117"/>
      <x:c r="K22" s="117"/>
      <x:c r="L22" s="117"/>
      <x:c r="M22" s="117"/>
      <x:c r="N22" s="117"/>
      <x:c r="O22" s="117"/>
      <x:c r="P22" s="117"/>
      <x:c r="Q22" s="117"/>
      <x:c r="R22" s="117"/>
      <x:c r="S22" s="117"/>
      <x:c r="T22" s="117"/>
      <x:c r="U22" s="117"/>
      <x:c r="V22" s="117"/>
      <x:c r="W22" s="117"/>
      <x:c r="X22" s="117"/>
      <x:c r="Y22" s="117"/>
      <x:c r="Z22" s="117"/>
    </x:row>
    <x:row r="23">
      <x:c r="A23" s="117"/>
      <x:c r="B23" s="117"/>
      <x:c r="C23" s="117"/>
      <x:c r="D23" s="117"/>
      <x:c r="E23" s="117"/>
      <x:c r="F23" s="117"/>
      <x:c r="G23" s="117"/>
      <x:c r="H23" s="117"/>
      <x:c r="I23" s="117"/>
      <x:c r="J23" s="117"/>
      <x:c r="K23" s="117"/>
      <x:c r="L23" s="117"/>
      <x:c r="M23" s="117"/>
      <x:c r="N23" s="117"/>
      <x:c r="O23" s="117"/>
      <x:c r="P23" s="117"/>
      <x:c r="Q23" s="117"/>
      <x:c r="R23" s="117"/>
      <x:c r="S23" s="117"/>
      <x:c r="T23" s="117"/>
      <x:c r="U23" s="117"/>
      <x:c r="V23" s="117"/>
      <x:c r="W23" s="117"/>
      <x:c r="X23" s="117"/>
      <x:c r="Y23" s="117"/>
      <x:c r="Z23" s="117"/>
    </x:row>
    <x:row r="24">
      <x:c r="A24" s="117"/>
      <x:c r="B24" s="117"/>
      <x:c r="C24" s="117"/>
      <x:c r="D24" s="117"/>
      <x:c r="E24" s="117"/>
      <x:c r="F24" s="117"/>
      <x:c r="G24" s="117"/>
      <x:c r="H24" s="117"/>
      <x:c r="I24" s="117"/>
      <x:c r="J24" s="117"/>
      <x:c r="K24" s="117"/>
      <x:c r="L24" s="117"/>
      <x:c r="M24" s="117"/>
      <x:c r="N24" s="117"/>
      <x:c r="O24" s="117"/>
      <x:c r="P24" s="117"/>
      <x:c r="Q24" s="117"/>
      <x:c r="R24" s="117"/>
      <x:c r="S24" s="117"/>
      <x:c r="T24" s="117"/>
      <x:c r="U24" s="117"/>
      <x:c r="V24" s="117"/>
      <x:c r="W24" s="117"/>
      <x:c r="X24" s="117"/>
      <x:c r="Y24" s="117"/>
      <x:c r="Z24" s="117"/>
    </x:row>
    <x:row r="25">
      <x:c r="A25" s="117"/>
      <x:c r="B25" s="117"/>
      <x:c r="C25" s="117"/>
      <x:c r="D25" s="117"/>
      <x:c r="E25" s="117"/>
      <x:c r="F25" s="117"/>
      <x:c r="G25" s="117"/>
      <x:c r="H25" s="117"/>
      <x:c r="I25" s="117"/>
      <x:c r="J25" s="117"/>
      <x:c r="K25" s="117"/>
      <x:c r="L25" s="117"/>
      <x:c r="M25" s="117"/>
      <x:c r="N25" s="117"/>
      <x:c r="O25" s="117"/>
      <x:c r="P25" s="117"/>
      <x:c r="Q25" s="117"/>
      <x:c r="R25" s="117"/>
      <x:c r="S25" s="117"/>
      <x:c r="T25" s="117"/>
      <x:c r="U25" s="117"/>
      <x:c r="V25" s="117"/>
      <x:c r="W25" s="117"/>
      <x:c r="X25" s="117"/>
      <x:c r="Y25" s="117"/>
      <x:c r="Z25" s="117"/>
    </x:row>
    <x:row r="26">
      <x:c r="A26" s="117"/>
      <x:c r="B26" s="117"/>
      <x:c r="C26" s="117"/>
      <x:c r="D26" s="117"/>
      <x:c r="E26" s="117"/>
      <x:c r="F26" s="117"/>
      <x:c r="G26" s="117"/>
      <x:c r="H26" s="117"/>
      <x:c r="I26" s="117"/>
      <x:c r="J26" s="117"/>
      <x:c r="K26" s="117"/>
      <x:c r="L26" s="117"/>
      <x:c r="M26" s="117"/>
      <x:c r="N26" s="117"/>
      <x:c r="O26" s="117"/>
      <x:c r="P26" s="117"/>
      <x:c r="Q26" s="117"/>
      <x:c r="R26" s="117"/>
      <x:c r="S26" s="117"/>
      <x:c r="T26" s="117"/>
      <x:c r="U26" s="117"/>
      <x:c r="V26" s="117"/>
      <x:c r="W26" s="117"/>
      <x:c r="X26" s="117"/>
      <x:c r="Y26" s="117"/>
      <x:c r="Z26" s="117"/>
    </x:row>
    <x:row r="27">
      <x:c r="A27" s="117"/>
      <x:c r="B27" s="117"/>
      <x:c r="C27" s="117"/>
      <x:c r="D27" s="117"/>
      <x:c r="E27" s="117"/>
      <x:c r="F27" s="117"/>
      <x:c r="G27" s="117"/>
      <x:c r="H27" s="117"/>
      <x:c r="I27" s="117"/>
      <x:c r="J27" s="117"/>
      <x:c r="K27" s="117"/>
      <x:c r="L27" s="117"/>
      <x:c r="M27" s="117"/>
      <x:c r="N27" s="117"/>
      <x:c r="O27" s="117"/>
      <x:c r="P27" s="117"/>
      <x:c r="Q27" s="117"/>
      <x:c r="R27" s="117"/>
      <x:c r="S27" s="117"/>
      <x:c r="T27" s="117"/>
      <x:c r="U27" s="117"/>
      <x:c r="V27" s="117"/>
      <x:c r="W27" s="117"/>
      <x:c r="X27" s="117"/>
      <x:c r="Y27" s="117"/>
      <x:c r="Z27" s="117"/>
    </x:row>
    <x:row r="28">
      <x:c r="A28" s="117"/>
      <x:c r="B28" s="117"/>
      <x:c r="C28" s="117"/>
      <x:c r="D28" s="117"/>
      <x:c r="E28" s="117"/>
      <x:c r="F28" s="117"/>
      <x:c r="G28" s="117"/>
      <x:c r="H28" s="117"/>
      <x:c r="I28" s="117"/>
      <x:c r="J28" s="117"/>
      <x:c r="K28" s="117"/>
      <x:c r="L28" s="117"/>
      <x:c r="M28" s="117"/>
      <x:c r="N28" s="117"/>
      <x:c r="O28" s="117"/>
      <x:c r="P28" s="117"/>
      <x:c r="Q28" s="117"/>
      <x:c r="R28" s="117"/>
      <x:c r="S28" s="117"/>
      <x:c r="T28" s="117"/>
      <x:c r="U28" s="117"/>
      <x:c r="V28" s="117"/>
      <x:c r="W28" s="117"/>
      <x:c r="X28" s="117"/>
      <x:c r="Y28" s="117"/>
      <x:c r="Z28" s="117"/>
    </x:row>
    <x:row r="29">
      <x:c r="A29" s="117"/>
      <x:c r="B29" s="117"/>
      <x:c r="C29" s="117"/>
      <x:c r="D29" s="117"/>
      <x:c r="E29" s="117"/>
      <x:c r="F29" s="117"/>
      <x:c r="G29" s="117"/>
      <x:c r="H29" s="117"/>
      <x:c r="I29" s="117"/>
      <x:c r="J29" s="117"/>
      <x:c r="K29" s="117"/>
      <x:c r="L29" s="117"/>
      <x:c r="M29" s="117"/>
      <x:c r="N29" s="117"/>
      <x:c r="O29" s="117"/>
      <x:c r="P29" s="117"/>
      <x:c r="Q29" s="117"/>
      <x:c r="R29" s="117"/>
      <x:c r="S29" s="117"/>
      <x:c r="T29" s="117"/>
      <x:c r="U29" s="117"/>
      <x:c r="V29" s="117"/>
      <x:c r="W29" s="117"/>
      <x:c r="X29" s="117"/>
      <x:c r="Y29" s="117"/>
      <x:c r="Z29" s="117"/>
    </x:row>
    <x:row r="30">
      <x:c r="A30" s="117"/>
      <x:c r="B30" s="117"/>
      <x:c r="C30" s="117"/>
      <x:c r="D30" s="117"/>
      <x:c r="E30" s="117"/>
      <x:c r="F30" s="117"/>
      <x:c r="G30" s="117"/>
      <x:c r="H30" s="117"/>
      <x:c r="I30" s="117"/>
      <x:c r="J30" s="117"/>
      <x:c r="K30" s="117"/>
      <x:c r="L30" s="117"/>
      <x:c r="M30" s="117"/>
      <x:c r="N30" s="117"/>
      <x:c r="O30" s="117"/>
      <x:c r="P30" s="117"/>
      <x:c r="Q30" s="117"/>
      <x:c r="R30" s="117"/>
      <x:c r="S30" s="117"/>
      <x:c r="T30" s="117"/>
      <x:c r="U30" s="117"/>
      <x:c r="V30" s="117"/>
      <x:c r="W30" s="117"/>
      <x:c r="X30" s="117"/>
      <x:c r="Y30" s="117"/>
      <x:c r="Z30" s="117"/>
    </x:row>
    <x:row r="31">
      <x:c r="A31" s="117"/>
      <x:c r="B31" s="117"/>
      <x:c r="C31" s="117"/>
      <x:c r="D31" s="117"/>
      <x:c r="E31" s="117"/>
      <x:c r="F31" s="117"/>
      <x:c r="G31" s="117"/>
      <x:c r="H31" s="117"/>
      <x:c r="I31" s="117"/>
      <x:c r="J31" s="117"/>
      <x:c r="K31" s="117"/>
      <x:c r="L31" s="117"/>
      <x:c r="M31" s="117"/>
      <x:c r="N31" s="117"/>
      <x:c r="O31" s="117"/>
      <x:c r="P31" s="117"/>
      <x:c r="Q31" s="117"/>
      <x:c r="R31" s="117"/>
      <x:c r="S31" s="117"/>
      <x:c r="T31" s="117"/>
      <x:c r="U31" s="117"/>
      <x:c r="V31" s="117"/>
      <x:c r="W31" s="117"/>
      <x:c r="X31" s="117"/>
      <x:c r="Y31" s="117"/>
      <x:c r="Z31" s="117"/>
    </x:row>
    <x:row r="32">
      <x:c r="A32" s="117"/>
      <x:c r="B32" s="117"/>
      <x:c r="C32" s="117"/>
      <x:c r="D32" s="117"/>
      <x:c r="E32" s="117"/>
      <x:c r="F32" s="117"/>
      <x:c r="G32" s="117"/>
      <x:c r="H32" s="117"/>
      <x:c r="I32" s="117"/>
      <x:c r="J32" s="117"/>
      <x:c r="K32" s="117"/>
      <x:c r="L32" s="117"/>
      <x:c r="M32" s="117"/>
      <x:c r="N32" s="117"/>
      <x:c r="O32" s="117"/>
      <x:c r="P32" s="117"/>
      <x:c r="Q32" s="117"/>
      <x:c r="R32" s="117"/>
      <x:c r="S32" s="117"/>
      <x:c r="T32" s="117"/>
      <x:c r="U32" s="117"/>
      <x:c r="V32" s="117"/>
      <x:c r="W32" s="117"/>
      <x:c r="X32" s="117"/>
      <x:c r="Y32" s="117"/>
      <x:c r="Z32" s="117"/>
    </x:row>
    <x:row r="33">
      <x:c r="A33" s="117"/>
      <x:c r="B33" s="117"/>
      <x:c r="C33" s="117"/>
      <x:c r="D33" s="117"/>
      <x:c r="E33" s="117"/>
      <x:c r="F33" s="117"/>
      <x:c r="G33" s="117"/>
      <x:c r="H33" s="117"/>
      <x:c r="I33" s="117"/>
      <x:c r="J33" s="117"/>
      <x:c r="K33" s="117"/>
      <x:c r="L33" s="117"/>
      <x:c r="M33" s="117"/>
      <x:c r="N33" s="117"/>
      <x:c r="O33" s="117"/>
      <x:c r="P33" s="117"/>
      <x:c r="Q33" s="117"/>
      <x:c r="R33" s="117"/>
      <x:c r="S33" s="117"/>
      <x:c r="T33" s="117"/>
      <x:c r="U33" s="117"/>
      <x:c r="V33" s="117"/>
      <x:c r="W33" s="117"/>
      <x:c r="X33" s="117"/>
      <x:c r="Y33" s="117"/>
      <x:c r="Z33" s="117"/>
    </x:row>
    <x:row r="34">
      <x:c r="A34" s="117"/>
      <x:c r="B34" s="117"/>
      <x:c r="C34" s="117"/>
      <x:c r="D34" s="117"/>
      <x:c r="E34" s="117"/>
      <x:c r="F34" s="117"/>
      <x:c r="G34" s="117"/>
      <x:c r="H34" s="117"/>
      <x:c r="I34" s="117"/>
      <x:c r="J34" s="117"/>
      <x:c r="K34" s="117"/>
      <x:c r="L34" s="117"/>
      <x:c r="M34" s="117"/>
      <x:c r="N34" s="117"/>
      <x:c r="O34" s="117"/>
      <x:c r="P34" s="117"/>
      <x:c r="Q34" s="117"/>
      <x:c r="R34" s="117"/>
      <x:c r="S34" s="117"/>
      <x:c r="T34" s="117"/>
      <x:c r="U34" s="117"/>
      <x:c r="V34" s="117"/>
      <x:c r="W34" s="117"/>
      <x:c r="X34" s="117"/>
      <x:c r="Y34" s="117"/>
      <x:c r="Z34" s="117"/>
    </x:row>
    <x:row r="35">
      <x:c r="A35" s="117"/>
      <x:c r="B35" s="117"/>
      <x:c r="C35" s="117"/>
      <x:c r="D35" s="117"/>
      <x:c r="E35" s="117"/>
      <x:c r="F35" s="117"/>
      <x:c r="G35" s="117"/>
      <x:c r="H35" s="117"/>
      <x:c r="I35" s="117"/>
      <x:c r="J35" s="117"/>
      <x:c r="K35" s="117"/>
      <x:c r="L35" s="117"/>
      <x:c r="M35" s="117"/>
      <x:c r="N35" s="117"/>
      <x:c r="O35" s="117"/>
      <x:c r="P35" s="117"/>
      <x:c r="Q35" s="117"/>
      <x:c r="R35" s="117"/>
      <x:c r="S35" s="117"/>
      <x:c r="T35" s="117"/>
      <x:c r="U35" s="117"/>
      <x:c r="V35" s="117"/>
      <x:c r="W35" s="117"/>
      <x:c r="X35" s="117"/>
      <x:c r="Y35" s="117"/>
      <x:c r="Z35" s="117"/>
    </x:row>
    <x:row r="36">
      <x:c r="A36" s="117"/>
      <x:c r="B36" s="117"/>
      <x:c r="C36" s="117"/>
      <x:c r="D36" s="117"/>
      <x:c r="E36" s="117"/>
      <x:c r="F36" s="117"/>
      <x:c r="G36" s="117"/>
      <x:c r="H36" s="117"/>
      <x:c r="I36" s="117"/>
      <x:c r="J36" s="117"/>
      <x:c r="K36" s="117"/>
      <x:c r="L36" s="117"/>
      <x:c r="M36" s="117"/>
      <x:c r="N36" s="117"/>
      <x:c r="O36" s="117"/>
      <x:c r="P36" s="117"/>
      <x:c r="Q36" s="117"/>
      <x:c r="R36" s="117"/>
      <x:c r="S36" s="117"/>
      <x:c r="T36" s="117"/>
      <x:c r="U36" s="117"/>
      <x:c r="V36" s="117"/>
      <x:c r="W36" s="117"/>
      <x:c r="X36" s="117"/>
      <x:c r="Y36" s="117"/>
      <x:c r="Z36" s="117"/>
    </x:row>
    <x:row r="37">
      <x:c r="A37" s="117"/>
      <x:c r="B37" s="117"/>
      <x:c r="C37" s="117"/>
      <x:c r="D37" s="117"/>
      <x:c r="E37" s="117"/>
      <x:c r="F37" s="117"/>
      <x:c r="G37" s="117"/>
      <x:c r="H37" s="117"/>
      <x:c r="I37" s="117"/>
      <x:c r="J37" s="117"/>
      <x:c r="K37" s="117"/>
      <x:c r="L37" s="117"/>
      <x:c r="M37" s="117"/>
      <x:c r="N37" s="117"/>
      <x:c r="O37" s="117"/>
      <x:c r="P37" s="117"/>
      <x:c r="Q37" s="117"/>
      <x:c r="R37" s="117"/>
      <x:c r="S37" s="117"/>
      <x:c r="T37" s="117"/>
      <x:c r="U37" s="117"/>
      <x:c r="V37" s="117"/>
      <x:c r="W37" s="117"/>
      <x:c r="X37" s="117"/>
      <x:c r="Y37" s="117"/>
      <x:c r="Z37" s="117"/>
    </x:row>
    <x:row r="38">
      <x:c r="A38" s="117"/>
      <x:c r="B38" s="117"/>
      <x:c r="C38" s="117"/>
      <x:c r="D38" s="117"/>
      <x:c r="E38" s="117"/>
      <x:c r="F38" s="117"/>
      <x:c r="G38" s="117"/>
      <x:c r="H38" s="117"/>
      <x:c r="I38" s="117"/>
      <x:c r="J38" s="117"/>
      <x:c r="K38" s="117"/>
      <x:c r="L38" s="117"/>
      <x:c r="M38" s="117"/>
      <x:c r="N38" s="117"/>
      <x:c r="O38" s="117"/>
      <x:c r="P38" s="117"/>
      <x:c r="Q38" s="117"/>
      <x:c r="R38" s="117"/>
      <x:c r="S38" s="117"/>
      <x:c r="T38" s="117"/>
      <x:c r="U38" s="117"/>
      <x:c r="V38" s="117"/>
      <x:c r="W38" s="117"/>
      <x:c r="X38" s="117"/>
      <x:c r="Y38" s="117"/>
      <x:c r="Z38" s="117"/>
    </x:row>
    <x:row r="39">
      <x:c r="A39" s="117"/>
      <x:c r="B39" s="117"/>
      <x:c r="C39" s="117"/>
      <x:c r="D39" s="117"/>
      <x:c r="E39" s="117"/>
      <x:c r="F39" s="117"/>
      <x:c r="G39" s="117"/>
      <x:c r="H39" s="117"/>
      <x:c r="I39" s="117"/>
      <x:c r="J39" s="117"/>
      <x:c r="K39" s="117"/>
      <x:c r="L39" s="117"/>
      <x:c r="M39" s="117"/>
      <x:c r="N39" s="117"/>
      <x:c r="O39" s="117"/>
      <x:c r="P39" s="117"/>
      <x:c r="Q39" s="117"/>
      <x:c r="R39" s="117"/>
      <x:c r="S39" s="117"/>
      <x:c r="T39" s="117"/>
      <x:c r="U39" s="117"/>
      <x:c r="V39" s="117"/>
      <x:c r="W39" s="117"/>
      <x:c r="X39" s="117"/>
      <x:c r="Y39" s="117"/>
      <x:c r="Z39" s="117"/>
    </x:row>
    <x:row r="40">
      <x:c r="A40" s="117"/>
      <x:c r="B40" s="117"/>
      <x:c r="C40" s="117"/>
      <x:c r="D40" s="117"/>
      <x:c r="E40" s="117"/>
      <x:c r="F40" s="117"/>
      <x:c r="G40" s="117"/>
      <x:c r="H40" s="117"/>
      <x:c r="I40" s="117"/>
      <x:c r="J40" s="117"/>
      <x:c r="K40" s="117"/>
      <x:c r="L40" s="117"/>
      <x:c r="M40" s="117"/>
      <x:c r="N40" s="117"/>
      <x:c r="O40" s="117"/>
      <x:c r="P40" s="117"/>
      <x:c r="Q40" s="117"/>
      <x:c r="R40" s="117"/>
      <x:c r="S40" s="117"/>
      <x:c r="T40" s="117"/>
      <x:c r="U40" s="117"/>
      <x:c r="V40" s="117"/>
      <x:c r="W40" s="117"/>
      <x:c r="X40" s="117"/>
      <x:c r="Y40" s="117"/>
      <x:c r="Z40" s="117"/>
    </x:row>
    <x:row r="41">
      <x:c r="A41" s="117"/>
      <x:c r="B41" s="117"/>
      <x:c r="C41" s="117"/>
      <x:c r="D41" s="117"/>
      <x:c r="E41" s="117"/>
      <x:c r="F41" s="117"/>
      <x:c r="G41" s="117"/>
      <x:c r="H41" s="117"/>
      <x:c r="I41" s="117"/>
      <x:c r="J41" s="117"/>
      <x:c r="K41" s="117"/>
      <x:c r="L41" s="117"/>
      <x:c r="M41" s="117"/>
      <x:c r="N41" s="117"/>
      <x:c r="O41" s="117"/>
      <x:c r="P41" s="117"/>
      <x:c r="Q41" s="117"/>
      <x:c r="R41" s="117"/>
      <x:c r="S41" s="117"/>
      <x:c r="T41" s="117"/>
      <x:c r="U41" s="117"/>
      <x:c r="V41" s="117"/>
      <x:c r="W41" s="117"/>
      <x:c r="X41" s="117"/>
      <x:c r="Y41" s="117"/>
      <x:c r="Z41" s="117"/>
    </x:row>
    <x:row r="42">
      <x:c r="A42" s="117"/>
      <x:c r="B42" s="117"/>
      <x:c r="C42" s="117"/>
      <x:c r="D42" s="117"/>
      <x:c r="E42" s="117"/>
      <x:c r="F42" s="117"/>
      <x:c r="G42" s="117"/>
      <x:c r="H42" s="117"/>
      <x:c r="I42" s="117"/>
      <x:c r="J42" s="117"/>
      <x:c r="K42" s="117"/>
      <x:c r="L42" s="117"/>
      <x:c r="M42" s="117"/>
      <x:c r="N42" s="117"/>
      <x:c r="O42" s="117"/>
      <x:c r="P42" s="117"/>
      <x:c r="Q42" s="117"/>
      <x:c r="R42" s="117"/>
      <x:c r="S42" s="117"/>
      <x:c r="T42" s="117"/>
      <x:c r="U42" s="117"/>
      <x:c r="V42" s="117"/>
      <x:c r="W42" s="117"/>
      <x:c r="X42" s="117"/>
      <x:c r="Y42" s="117"/>
      <x:c r="Z42" s="117"/>
    </x:row>
    <x:row r="43">
      <x:c r="A43" s="117"/>
      <x:c r="B43" s="117"/>
      <x:c r="C43" s="117"/>
      <x:c r="D43" s="117"/>
      <x:c r="E43" s="117"/>
      <x:c r="F43" s="117"/>
      <x:c r="G43" s="117"/>
      <x:c r="H43" s="117"/>
      <x:c r="I43" s="117"/>
      <x:c r="J43" s="117"/>
      <x:c r="K43" s="117"/>
      <x:c r="L43" s="117"/>
      <x:c r="M43" s="117"/>
      <x:c r="N43" s="117"/>
      <x:c r="O43" s="117"/>
      <x:c r="P43" s="117"/>
      <x:c r="Q43" s="117"/>
      <x:c r="R43" s="117"/>
      <x:c r="S43" s="117"/>
      <x:c r="T43" s="117"/>
      <x:c r="U43" s="117"/>
      <x:c r="V43" s="117"/>
      <x:c r="W43" s="117"/>
      <x:c r="X43" s="117"/>
      <x:c r="Y43" s="117"/>
      <x:c r="Z43" s="117"/>
    </x:row>
    <x:row r="44">
      <x:c r="A44" s="117"/>
      <x:c r="B44" s="117"/>
      <x:c r="C44" s="117"/>
      <x:c r="D44" s="117"/>
      <x:c r="E44" s="117"/>
      <x:c r="F44" s="117"/>
      <x:c r="G44" s="117"/>
      <x:c r="H44" s="117"/>
      <x:c r="I44" s="117"/>
      <x:c r="J44" s="117"/>
      <x:c r="K44" s="117"/>
      <x:c r="L44" s="117"/>
      <x:c r="M44" s="117"/>
      <x:c r="N44" s="117"/>
      <x:c r="O44" s="117"/>
      <x:c r="P44" s="117"/>
      <x:c r="Q44" s="117"/>
      <x:c r="R44" s="117"/>
      <x:c r="S44" s="117"/>
      <x:c r="T44" s="117"/>
      <x:c r="U44" s="117"/>
      <x:c r="V44" s="117"/>
      <x:c r="W44" s="117"/>
      <x:c r="X44" s="117"/>
      <x:c r="Y44" s="117"/>
      <x:c r="Z44" s="117"/>
    </x:row>
    <x:row r="45">
      <x:c r="A45" s="117"/>
      <x:c r="B45" s="117"/>
      <x:c r="C45" s="117"/>
      <x:c r="D45" s="117"/>
      <x:c r="E45" s="117"/>
      <x:c r="F45" s="117"/>
      <x:c r="G45" s="117"/>
      <x:c r="H45" s="117"/>
      <x:c r="I45" s="117"/>
      <x:c r="J45" s="117"/>
      <x:c r="K45" s="117"/>
      <x:c r="L45" s="117"/>
      <x:c r="M45" s="117"/>
      <x:c r="N45" s="117"/>
      <x:c r="O45" s="117"/>
      <x:c r="P45" s="117"/>
      <x:c r="Q45" s="117"/>
      <x:c r="R45" s="117"/>
      <x:c r="S45" s="117"/>
      <x:c r="T45" s="117"/>
      <x:c r="U45" s="117"/>
      <x:c r="V45" s="117"/>
      <x:c r="W45" s="117"/>
      <x:c r="X45" s="117"/>
      <x:c r="Y45" s="117"/>
      <x:c r="Z45" s="117"/>
    </x:row>
    <x:row r="46">
      <x:c r="A46" s="117"/>
      <x:c r="B46" s="117"/>
      <x:c r="C46" s="117"/>
      <x:c r="D46" s="117"/>
      <x:c r="E46" s="117"/>
      <x:c r="F46" s="117"/>
      <x:c r="G46" s="117"/>
      <x:c r="H46" s="117"/>
      <x:c r="I46" s="117"/>
      <x:c r="J46" s="117"/>
      <x:c r="K46" s="117"/>
      <x:c r="L46" s="117"/>
      <x:c r="M46" s="117"/>
      <x:c r="N46" s="117"/>
      <x:c r="O46" s="117"/>
      <x:c r="P46" s="117"/>
      <x:c r="Q46" s="117"/>
      <x:c r="R46" s="117"/>
      <x:c r="S46" s="117"/>
      <x:c r="T46" s="117"/>
      <x:c r="U46" s="117"/>
      <x:c r="V46" s="117"/>
      <x:c r="W46" s="117"/>
      <x:c r="X46" s="117"/>
      <x:c r="Y46" s="117"/>
      <x:c r="Z46" s="117"/>
    </x:row>
    <x:row r="47">
      <x:c r="A47" s="117"/>
      <x:c r="B47" s="117"/>
      <x:c r="C47" s="117"/>
      <x:c r="D47" s="117"/>
      <x:c r="E47" s="117"/>
      <x:c r="F47" s="117"/>
      <x:c r="G47" s="117"/>
      <x:c r="H47" s="117"/>
      <x:c r="I47" s="117"/>
      <x:c r="J47" s="117"/>
      <x:c r="K47" s="117"/>
      <x:c r="L47" s="117"/>
      <x:c r="M47" s="117"/>
      <x:c r="N47" s="117"/>
      <x:c r="O47" s="117"/>
      <x:c r="P47" s="117"/>
      <x:c r="Q47" s="117"/>
      <x:c r="R47" s="117"/>
      <x:c r="S47" s="117"/>
      <x:c r="T47" s="117"/>
      <x:c r="U47" s="117"/>
      <x:c r="V47" s="117"/>
      <x:c r="W47" s="117"/>
      <x:c r="X47" s="117"/>
      <x:c r="Y47" s="117"/>
      <x:c r="Z47" s="117"/>
    </x:row>
    <x:row r="48">
      <x:c r="A48" s="117"/>
      <x:c r="B48" s="117"/>
      <x:c r="C48" s="117"/>
      <x:c r="D48" s="117"/>
      <x:c r="E48" s="117"/>
      <x:c r="F48" s="117"/>
      <x:c r="G48" s="117"/>
      <x:c r="H48" s="117"/>
      <x:c r="I48" s="117"/>
      <x:c r="J48" s="117"/>
      <x:c r="K48" s="117"/>
      <x:c r="L48" s="117"/>
      <x:c r="M48" s="117"/>
      <x:c r="N48" s="117"/>
      <x:c r="O48" s="117"/>
      <x:c r="P48" s="117"/>
      <x:c r="Q48" s="117"/>
      <x:c r="R48" s="117"/>
      <x:c r="S48" s="117"/>
      <x:c r="T48" s="117"/>
      <x:c r="U48" s="117"/>
      <x:c r="V48" s="117"/>
      <x:c r="W48" s="117"/>
      <x:c r="X48" s="117"/>
      <x:c r="Y48" s="117"/>
      <x:c r="Z48" s="117"/>
    </x:row>
    <x:row r="49">
      <x:c r="A49" s="117"/>
      <x:c r="B49" s="117"/>
      <x:c r="C49" s="117"/>
      <x:c r="D49" s="117"/>
      <x:c r="E49" s="117"/>
      <x:c r="F49" s="117"/>
      <x:c r="G49" s="117"/>
      <x:c r="H49" s="117"/>
      <x:c r="I49" s="117"/>
      <x:c r="J49" s="117"/>
      <x:c r="K49" s="117"/>
      <x:c r="L49" s="117"/>
      <x:c r="M49" s="117"/>
      <x:c r="N49" s="117"/>
      <x:c r="O49" s="117"/>
      <x:c r="P49" s="117"/>
      <x:c r="Q49" s="117"/>
      <x:c r="R49" s="117"/>
      <x:c r="S49" s="117"/>
      <x:c r="T49" s="117"/>
      <x:c r="U49" s="117"/>
      <x:c r="V49" s="117"/>
      <x:c r="W49" s="117"/>
      <x:c r="X49" s="117"/>
      <x:c r="Y49" s="117"/>
      <x:c r="Z49" s="117"/>
    </x:row>
    <x:row r="50">
      <x:c r="A50" s="117"/>
      <x:c r="B50" s="117"/>
      <x:c r="C50" s="117"/>
      <x:c r="D50" s="117"/>
      <x:c r="E50" s="117"/>
      <x:c r="F50" s="117"/>
      <x:c r="G50" s="117"/>
      <x:c r="H50" s="117"/>
      <x:c r="I50" s="117"/>
      <x:c r="J50" s="117"/>
      <x:c r="K50" s="117"/>
      <x:c r="L50" s="117"/>
      <x:c r="M50" s="117"/>
      <x:c r="N50" s="117"/>
      <x:c r="O50" s="117"/>
      <x:c r="P50" s="117"/>
      <x:c r="Q50" s="117"/>
      <x:c r="R50" s="117"/>
      <x:c r="S50" s="117"/>
      <x:c r="T50" s="117"/>
      <x:c r="U50" s="117"/>
      <x:c r="V50" s="117"/>
      <x:c r="W50" s="117"/>
      <x:c r="X50" s="117"/>
      <x:c r="Y50" s="117"/>
      <x:c r="Z50" s="117"/>
    </x:row>
    <x:row r="51">
      <x:c r="A51" s="117"/>
      <x:c r="B51" s="117"/>
      <x:c r="C51" s="117"/>
      <x:c r="D51" s="117"/>
      <x:c r="E51" s="117"/>
      <x:c r="F51" s="117"/>
      <x:c r="G51" s="117"/>
      <x:c r="H51" s="117"/>
      <x:c r="I51" s="117"/>
      <x:c r="J51" s="117"/>
      <x:c r="K51" s="117"/>
      <x:c r="L51" s="117"/>
      <x:c r="M51" s="117"/>
      <x:c r="N51" s="117"/>
      <x:c r="O51" s="117"/>
      <x:c r="P51" s="117"/>
      <x:c r="Q51" s="117"/>
      <x:c r="R51" s="117"/>
      <x:c r="S51" s="117"/>
      <x:c r="T51" s="117"/>
      <x:c r="U51" s="117"/>
      <x:c r="V51" s="117"/>
      <x:c r="W51" s="117"/>
      <x:c r="X51" s="117"/>
      <x:c r="Y51" s="117"/>
      <x:c r="Z51" s="117"/>
    </x:row>
    <x:row r="52">
      <x:c r="A52" s="117"/>
      <x:c r="B52" s="117"/>
      <x:c r="C52" s="117"/>
      <x:c r="D52" s="117"/>
      <x:c r="E52" s="117"/>
      <x:c r="F52" s="117"/>
      <x:c r="G52" s="117"/>
      <x:c r="H52" s="117"/>
      <x:c r="I52" s="117"/>
      <x:c r="J52" s="117"/>
      <x:c r="K52" s="117"/>
      <x:c r="L52" s="117"/>
      <x:c r="M52" s="117"/>
      <x:c r="N52" s="117"/>
      <x:c r="O52" s="117"/>
      <x:c r="P52" s="117"/>
      <x:c r="Q52" s="117"/>
      <x:c r="R52" s="117"/>
      <x:c r="S52" s="117"/>
      <x:c r="T52" s="117"/>
      <x:c r="U52" s="117"/>
      <x:c r="V52" s="117"/>
      <x:c r="W52" s="117"/>
      <x:c r="X52" s="117"/>
      <x:c r="Y52" s="117"/>
      <x:c r="Z52" s="117"/>
    </x:row>
    <x:row r="53">
      <x:c r="A53" s="117"/>
      <x:c r="B53" s="117"/>
      <x:c r="C53" s="117"/>
      <x:c r="D53" s="117"/>
      <x:c r="E53" s="117"/>
      <x:c r="F53" s="117"/>
      <x:c r="G53" s="117"/>
      <x:c r="H53" s="117"/>
      <x:c r="I53" s="117"/>
      <x:c r="J53" s="117"/>
      <x:c r="K53" s="117"/>
      <x:c r="L53" s="117"/>
      <x:c r="M53" s="117"/>
      <x:c r="N53" s="117"/>
      <x:c r="O53" s="117"/>
      <x:c r="P53" s="117"/>
      <x:c r="Q53" s="117"/>
      <x:c r="R53" s="117"/>
      <x:c r="S53" s="117"/>
      <x:c r="T53" s="117"/>
      <x:c r="U53" s="117"/>
      <x:c r="V53" s="117"/>
      <x:c r="W53" s="117"/>
      <x:c r="X53" s="117"/>
      <x:c r="Y53" s="117"/>
      <x:c r="Z53" s="117"/>
    </x:row>
    <x:row r="54">
      <x:c r="A54" s="117"/>
      <x:c r="B54" s="117"/>
      <x:c r="C54" s="117"/>
      <x:c r="D54" s="117"/>
      <x:c r="E54" s="117"/>
      <x:c r="F54" s="117"/>
      <x:c r="G54" s="117"/>
      <x:c r="H54" s="117"/>
      <x:c r="I54" s="117"/>
      <x:c r="J54" s="117"/>
      <x:c r="K54" s="117"/>
      <x:c r="L54" s="117"/>
      <x:c r="M54" s="117"/>
      <x:c r="N54" s="117"/>
      <x:c r="O54" s="117"/>
      <x:c r="P54" s="117"/>
      <x:c r="Q54" s="117"/>
      <x:c r="R54" s="117"/>
      <x:c r="S54" s="117"/>
      <x:c r="T54" s="117"/>
      <x:c r="U54" s="117"/>
      <x:c r="V54" s="117"/>
      <x:c r="W54" s="117"/>
      <x:c r="X54" s="117"/>
      <x:c r="Y54" s="117"/>
      <x:c r="Z54" s="117"/>
    </x:row>
    <x:row r="55">
      <x:c r="A55" s="117"/>
      <x:c r="B55" s="117"/>
      <x:c r="C55" s="117"/>
      <x:c r="D55" s="117"/>
      <x:c r="E55" s="117"/>
      <x:c r="F55" s="117"/>
      <x:c r="G55" s="117"/>
      <x:c r="H55" s="117"/>
      <x:c r="I55" s="117"/>
      <x:c r="J55" s="117"/>
      <x:c r="K55" s="117"/>
      <x:c r="L55" s="117"/>
      <x:c r="M55" s="117"/>
      <x:c r="N55" s="117"/>
      <x:c r="O55" s="117"/>
      <x:c r="P55" s="117"/>
      <x:c r="Q55" s="117"/>
      <x:c r="R55" s="117"/>
      <x:c r="S55" s="117"/>
      <x:c r="T55" s="117"/>
      <x:c r="U55" s="117"/>
      <x:c r="V55" s="117"/>
      <x:c r="W55" s="117"/>
      <x:c r="X55" s="117"/>
      <x:c r="Y55" s="117"/>
      <x:c r="Z55" s="117"/>
    </x:row>
    <x:row r="56">
      <x:c r="A56" s="117"/>
      <x:c r="B56" s="117"/>
      <x:c r="C56" s="117"/>
      <x:c r="D56" s="117"/>
      <x:c r="E56" s="117"/>
      <x:c r="F56" s="117"/>
      <x:c r="G56" s="117"/>
      <x:c r="H56" s="117"/>
      <x:c r="I56" s="117"/>
      <x:c r="J56" s="117"/>
      <x:c r="K56" s="117"/>
      <x:c r="L56" s="117"/>
      <x:c r="M56" s="117"/>
      <x:c r="N56" s="117"/>
      <x:c r="O56" s="117"/>
      <x:c r="P56" s="117"/>
      <x:c r="Q56" s="117"/>
      <x:c r="R56" s="117"/>
      <x:c r="S56" s="117"/>
      <x:c r="T56" s="117"/>
      <x:c r="U56" s="117"/>
      <x:c r="V56" s="117"/>
      <x:c r="W56" s="117"/>
      <x:c r="X56" s="117"/>
      <x:c r="Y56" s="117"/>
      <x:c r="Z56" s="117"/>
    </x:row>
    <x:row r="57">
      <x:c r="A57" s="117"/>
      <x:c r="B57" s="117"/>
      <x:c r="C57" s="117"/>
      <x:c r="D57" s="117"/>
      <x:c r="E57" s="117"/>
      <x:c r="F57" s="117"/>
      <x:c r="G57" s="117"/>
      <x:c r="H57" s="117"/>
      <x:c r="I57" s="117"/>
      <x:c r="J57" s="117"/>
      <x:c r="K57" s="117"/>
      <x:c r="L57" s="117"/>
      <x:c r="M57" s="117"/>
      <x:c r="N57" s="117"/>
      <x:c r="O57" s="117"/>
      <x:c r="P57" s="117"/>
      <x:c r="Q57" s="117"/>
      <x:c r="R57" s="117"/>
      <x:c r="S57" s="117"/>
      <x:c r="T57" s="117"/>
      <x:c r="U57" s="117"/>
      <x:c r="V57" s="117"/>
      <x:c r="W57" s="117"/>
      <x:c r="X57" s="117"/>
      <x:c r="Y57" s="117"/>
      <x:c r="Z57" s="117"/>
    </x:row>
    <x:row r="58">
      <x:c r="A58" s="117"/>
      <x:c r="B58" s="117"/>
      <x:c r="C58" s="117"/>
      <x:c r="D58" s="117"/>
      <x:c r="E58" s="117"/>
      <x:c r="F58" s="117"/>
      <x:c r="G58" s="117"/>
      <x:c r="H58" s="117"/>
      <x:c r="I58" s="117"/>
      <x:c r="J58" s="117"/>
      <x:c r="K58" s="117"/>
      <x:c r="L58" s="117"/>
      <x:c r="M58" s="117"/>
      <x:c r="N58" s="117"/>
      <x:c r="O58" s="117"/>
      <x:c r="P58" s="117"/>
      <x:c r="Q58" s="117"/>
      <x:c r="R58" s="117"/>
      <x:c r="S58" s="117"/>
      <x:c r="T58" s="117"/>
      <x:c r="U58" s="117"/>
      <x:c r="V58" s="117"/>
      <x:c r="W58" s="117"/>
      <x:c r="X58" s="117"/>
      <x:c r="Y58" s="117"/>
      <x:c r="Z58" s="117"/>
    </x:row>
    <x:row r="59">
      <x:c r="A59" s="117"/>
      <x:c r="B59" s="117"/>
      <x:c r="C59" s="117"/>
      <x:c r="D59" s="117"/>
      <x:c r="E59" s="117"/>
      <x:c r="F59" s="117"/>
      <x:c r="G59" s="117"/>
      <x:c r="H59" s="117"/>
      <x:c r="I59" s="117"/>
      <x:c r="J59" s="117"/>
      <x:c r="K59" s="117"/>
      <x:c r="L59" s="117"/>
      <x:c r="M59" s="117"/>
      <x:c r="N59" s="117"/>
      <x:c r="O59" s="117"/>
      <x:c r="P59" s="117"/>
      <x:c r="Q59" s="117"/>
      <x:c r="R59" s="117"/>
      <x:c r="S59" s="117"/>
      <x:c r="T59" s="117"/>
      <x:c r="U59" s="117"/>
      <x:c r="V59" s="117"/>
      <x:c r="W59" s="117"/>
      <x:c r="X59" s="117"/>
      <x:c r="Y59" s="117"/>
      <x:c r="Z59" s="117"/>
    </x:row>
    <x:row r="60">
      <x:c r="A60" s="117"/>
      <x:c r="B60" s="117"/>
      <x:c r="C60" s="117"/>
      <x:c r="D60" s="117"/>
      <x:c r="E60" s="117"/>
      <x:c r="F60" s="117"/>
      <x:c r="G60" s="117"/>
      <x:c r="H60" s="117"/>
      <x:c r="I60" s="117"/>
      <x:c r="J60" s="117"/>
      <x:c r="K60" s="117"/>
      <x:c r="L60" s="117"/>
      <x:c r="M60" s="117"/>
      <x:c r="N60" s="117"/>
      <x:c r="O60" s="117"/>
      <x:c r="P60" s="117"/>
      <x:c r="Q60" s="117"/>
      <x:c r="R60" s="117"/>
      <x:c r="S60" s="117"/>
      <x:c r="T60" s="117"/>
      <x:c r="U60" s="117"/>
      <x:c r="V60" s="117"/>
      <x:c r="W60" s="117"/>
      <x:c r="X60" s="117"/>
      <x:c r="Y60" s="117"/>
      <x:c r="Z60" s="117"/>
    </x:row>
    <x:row r="61">
      <x:c r="A61" s="117"/>
      <x:c r="B61" s="117"/>
      <x:c r="C61" s="117"/>
      <x:c r="D61" s="117"/>
      <x:c r="E61" s="117"/>
      <x:c r="F61" s="117"/>
      <x:c r="G61" s="117"/>
      <x:c r="H61" s="117"/>
      <x:c r="I61" s="117"/>
      <x:c r="J61" s="117"/>
      <x:c r="K61" s="117"/>
      <x:c r="L61" s="117"/>
      <x:c r="M61" s="117"/>
      <x:c r="N61" s="117"/>
      <x:c r="O61" s="117"/>
      <x:c r="P61" s="117"/>
      <x:c r="Q61" s="117"/>
      <x:c r="R61" s="117"/>
      <x:c r="S61" s="117"/>
      <x:c r="T61" s="117"/>
      <x:c r="U61" s="117"/>
      <x:c r="V61" s="117"/>
      <x:c r="W61" s="117"/>
      <x:c r="X61" s="117"/>
      <x:c r="Y61" s="117"/>
      <x:c r="Z61" s="117"/>
    </x:row>
    <x:row r="62">
      <x:c r="A62" s="117"/>
      <x:c r="B62" s="117"/>
      <x:c r="C62" s="117"/>
      <x:c r="D62" s="117"/>
      <x:c r="E62" s="117"/>
      <x:c r="F62" s="117"/>
      <x:c r="G62" s="117"/>
      <x:c r="H62" s="117"/>
      <x:c r="I62" s="117"/>
      <x:c r="J62" s="117"/>
      <x:c r="K62" s="117"/>
      <x:c r="L62" s="117"/>
      <x:c r="M62" s="117"/>
      <x:c r="N62" s="117"/>
      <x:c r="O62" s="117"/>
      <x:c r="P62" s="117"/>
      <x:c r="Q62" s="117"/>
      <x:c r="R62" s="117"/>
      <x:c r="S62" s="117"/>
      <x:c r="T62" s="117"/>
      <x:c r="U62" s="117"/>
      <x:c r="V62" s="117"/>
      <x:c r="W62" s="117"/>
      <x:c r="X62" s="117"/>
      <x:c r="Y62" s="117"/>
      <x:c r="Z62" s="117"/>
    </x:row>
    <x:row r="63">
      <x:c r="A63" s="117"/>
      <x:c r="B63" s="117"/>
      <x:c r="C63" s="117"/>
      <x:c r="D63" s="117"/>
      <x:c r="E63" s="117"/>
      <x:c r="F63" s="117"/>
      <x:c r="G63" s="117"/>
      <x:c r="H63" s="117"/>
      <x:c r="I63" s="117"/>
      <x:c r="J63" s="117"/>
      <x:c r="K63" s="117"/>
      <x:c r="L63" s="117"/>
      <x:c r="M63" s="117"/>
      <x:c r="N63" s="117"/>
      <x:c r="O63" s="117"/>
      <x:c r="P63" s="117"/>
      <x:c r="Q63" s="117"/>
      <x:c r="R63" s="117"/>
      <x:c r="S63" s="117"/>
      <x:c r="T63" s="117"/>
      <x:c r="U63" s="117"/>
      <x:c r="V63" s="117"/>
      <x:c r="W63" s="117"/>
      <x:c r="X63" s="117"/>
      <x:c r="Y63" s="117"/>
      <x:c r="Z63" s="117"/>
    </x:row>
    <x:row r="64">
      <x:c r="A64" s="117"/>
      <x:c r="B64" s="117"/>
      <x:c r="C64" s="117"/>
      <x:c r="D64" s="117"/>
      <x:c r="E64" s="117"/>
      <x:c r="F64" s="117"/>
      <x:c r="G64" s="117"/>
      <x:c r="H64" s="117"/>
      <x:c r="I64" s="117"/>
      <x:c r="J64" s="117"/>
      <x:c r="K64" s="117"/>
      <x:c r="L64" s="117"/>
      <x:c r="M64" s="117"/>
      <x:c r="N64" s="117"/>
      <x:c r="O64" s="117"/>
      <x:c r="P64" s="117"/>
      <x:c r="Q64" s="117"/>
      <x:c r="R64" s="117"/>
      <x:c r="S64" s="117"/>
      <x:c r="T64" s="117"/>
      <x:c r="U64" s="117"/>
      <x:c r="V64" s="117"/>
      <x:c r="W64" s="117"/>
      <x:c r="X64" s="117"/>
      <x:c r="Y64" s="117"/>
      <x:c r="Z64" s="117"/>
    </x:row>
    <x:row r="65">
      <x:c r="A65" s="117"/>
      <x:c r="B65" s="117"/>
      <x:c r="C65" s="117"/>
      <x:c r="D65" s="117"/>
      <x:c r="E65" s="117"/>
      <x:c r="F65" s="117"/>
      <x:c r="G65" s="117"/>
      <x:c r="H65" s="117"/>
      <x:c r="I65" s="117"/>
      <x:c r="J65" s="117"/>
      <x:c r="K65" s="117"/>
      <x:c r="L65" s="117"/>
      <x:c r="M65" s="117"/>
      <x:c r="N65" s="117"/>
      <x:c r="O65" s="117"/>
      <x:c r="P65" s="117"/>
      <x:c r="Q65" s="117"/>
      <x:c r="R65" s="117"/>
      <x:c r="S65" s="117"/>
      <x:c r="T65" s="117"/>
      <x:c r="U65" s="117"/>
      <x:c r="V65" s="117"/>
      <x:c r="W65" s="117"/>
      <x:c r="X65" s="117"/>
      <x:c r="Y65" s="117"/>
      <x:c r="Z65" s="117"/>
    </x:row>
    <x:row r="66">
      <x:c r="A66" s="117"/>
      <x:c r="B66" s="117"/>
      <x:c r="C66" s="117"/>
      <x:c r="D66" s="117"/>
      <x:c r="E66" s="117"/>
      <x:c r="F66" s="117"/>
      <x:c r="G66" s="117"/>
      <x:c r="H66" s="117"/>
      <x:c r="I66" s="117"/>
      <x:c r="J66" s="117"/>
      <x:c r="K66" s="117"/>
      <x:c r="L66" s="117"/>
      <x:c r="M66" s="117"/>
      <x:c r="N66" s="117"/>
      <x:c r="O66" s="117"/>
      <x:c r="P66" s="117"/>
      <x:c r="Q66" s="117"/>
      <x:c r="R66" s="117"/>
      <x:c r="S66" s="117"/>
      <x:c r="T66" s="117"/>
      <x:c r="U66" s="117"/>
      <x:c r="V66" s="117"/>
      <x:c r="W66" s="117"/>
      <x:c r="X66" s="117"/>
      <x:c r="Y66" s="117"/>
      <x:c r="Z66" s="117"/>
    </x:row>
    <x:row r="67">
      <x:c r="A67" s="117"/>
      <x:c r="B67" s="117"/>
      <x:c r="C67" s="117"/>
      <x:c r="D67" s="117"/>
      <x:c r="E67" s="117"/>
      <x:c r="F67" s="117"/>
      <x:c r="G67" s="117"/>
      <x:c r="H67" s="117"/>
      <x:c r="I67" s="117"/>
      <x:c r="J67" s="117"/>
      <x:c r="K67" s="117"/>
      <x:c r="L67" s="117"/>
      <x:c r="M67" s="117"/>
      <x:c r="N67" s="117"/>
      <x:c r="O67" s="117"/>
      <x:c r="P67" s="117"/>
      <x:c r="Q67" s="117"/>
      <x:c r="R67" s="117"/>
      <x:c r="S67" s="117"/>
      <x:c r="T67" s="117"/>
      <x:c r="U67" s="117"/>
      <x:c r="V67" s="117"/>
      <x:c r="W67" s="117"/>
      <x:c r="X67" s="117"/>
      <x:c r="Y67" s="117"/>
      <x:c r="Z67" s="117"/>
    </x:row>
    <x:row r="68">
      <x:c r="A68" s="117"/>
      <x:c r="B68" s="117"/>
      <x:c r="C68" s="117"/>
      <x:c r="D68" s="117"/>
      <x:c r="E68" s="117"/>
      <x:c r="F68" s="117"/>
      <x:c r="G68" s="117"/>
      <x:c r="H68" s="117"/>
      <x:c r="I68" s="117"/>
      <x:c r="J68" s="117"/>
      <x:c r="K68" s="117"/>
      <x:c r="L68" s="117"/>
      <x:c r="M68" s="117"/>
      <x:c r="N68" s="117"/>
      <x:c r="O68" s="117"/>
      <x:c r="P68" s="117"/>
      <x:c r="Q68" s="117"/>
      <x:c r="R68" s="117"/>
      <x:c r="S68" s="117"/>
      <x:c r="T68" s="117"/>
      <x:c r="U68" s="117"/>
      <x:c r="V68" s="117"/>
      <x:c r="W68" s="117"/>
      <x:c r="X68" s="117"/>
      <x:c r="Y68" s="117"/>
      <x:c r="Z68" s="117"/>
    </x:row>
    <x:row r="69">
      <x:c r="A69" s="117"/>
      <x:c r="B69" s="117"/>
      <x:c r="C69" s="117"/>
      <x:c r="D69" s="117"/>
      <x:c r="E69" s="117"/>
      <x:c r="F69" s="117"/>
      <x:c r="G69" s="117"/>
      <x:c r="H69" s="117"/>
      <x:c r="I69" s="117"/>
      <x:c r="J69" s="117"/>
      <x:c r="K69" s="117"/>
      <x:c r="L69" s="117"/>
      <x:c r="M69" s="117"/>
      <x:c r="N69" s="117"/>
      <x:c r="O69" s="117"/>
      <x:c r="P69" s="117"/>
      <x:c r="Q69" s="117"/>
      <x:c r="R69" s="117"/>
      <x:c r="S69" s="117"/>
      <x:c r="T69" s="117"/>
      <x:c r="U69" s="117"/>
      <x:c r="V69" s="117"/>
      <x:c r="W69" s="117"/>
      <x:c r="X69" s="117"/>
      <x:c r="Y69" s="117"/>
      <x:c r="Z69" s="117"/>
    </x:row>
    <x:row r="70">
      <x:c r="A70" s="117"/>
      <x:c r="B70" s="117"/>
      <x:c r="C70" s="117"/>
      <x:c r="D70" s="117"/>
      <x:c r="E70" s="117"/>
      <x:c r="F70" s="117"/>
      <x:c r="G70" s="117"/>
      <x:c r="H70" s="117"/>
      <x:c r="I70" s="117"/>
      <x:c r="J70" s="117"/>
      <x:c r="K70" s="117"/>
      <x:c r="L70" s="117"/>
      <x:c r="M70" s="117"/>
      <x:c r="N70" s="117"/>
      <x:c r="O70" s="117"/>
      <x:c r="P70" s="117"/>
      <x:c r="Q70" s="117"/>
      <x:c r="R70" s="117"/>
      <x:c r="S70" s="117"/>
      <x:c r="T70" s="117"/>
      <x:c r="U70" s="117"/>
      <x:c r="V70" s="117"/>
      <x:c r="W70" s="117"/>
      <x:c r="X70" s="117"/>
      <x:c r="Y70" s="117"/>
      <x:c r="Z70" s="117"/>
    </x:row>
    <x:row r="71">
      <x:c r="A71" s="117"/>
      <x:c r="B71" s="117"/>
      <x:c r="C71" s="117"/>
      <x:c r="D71" s="117"/>
      <x:c r="E71" s="117"/>
      <x:c r="F71" s="117"/>
      <x:c r="G71" s="117"/>
      <x:c r="H71" s="117"/>
      <x:c r="I71" s="117"/>
      <x:c r="J71" s="117"/>
      <x:c r="K71" s="117"/>
      <x:c r="L71" s="117"/>
      <x:c r="M71" s="117"/>
      <x:c r="N71" s="117"/>
      <x:c r="O71" s="117"/>
      <x:c r="P71" s="117"/>
      <x:c r="Q71" s="117"/>
      <x:c r="R71" s="117"/>
      <x:c r="S71" s="117"/>
      <x:c r="T71" s="117"/>
      <x:c r="U71" s="117"/>
      <x:c r="V71" s="117"/>
      <x:c r="W71" s="117"/>
      <x:c r="X71" s="117"/>
      <x:c r="Y71" s="117"/>
      <x:c r="Z71" s="117"/>
    </x:row>
    <x:row r="72">
      <x:c r="A72" s="117"/>
      <x:c r="B72" s="117"/>
      <x:c r="C72" s="117"/>
      <x:c r="D72" s="117"/>
      <x:c r="E72" s="117"/>
      <x:c r="F72" s="117"/>
      <x:c r="G72" s="117"/>
      <x:c r="H72" s="117"/>
      <x:c r="I72" s="117"/>
      <x:c r="J72" s="117"/>
      <x:c r="K72" s="117"/>
      <x:c r="L72" s="117"/>
      <x:c r="M72" s="117"/>
      <x:c r="N72" s="117"/>
      <x:c r="O72" s="117"/>
      <x:c r="P72" s="117"/>
      <x:c r="Q72" s="117"/>
      <x:c r="R72" s="117"/>
      <x:c r="S72" s="117"/>
      <x:c r="T72" s="117"/>
      <x:c r="U72" s="117"/>
      <x:c r="V72" s="117"/>
      <x:c r="W72" s="117"/>
      <x:c r="X72" s="117"/>
      <x:c r="Y72" s="117"/>
      <x:c r="Z72" s="117"/>
    </x:row>
    <x:row r="73">
      <x:c r="A73" s="117"/>
      <x:c r="B73" s="117"/>
      <x:c r="C73" s="117"/>
      <x:c r="D73" s="117"/>
      <x:c r="E73" s="117"/>
      <x:c r="F73" s="117"/>
      <x:c r="G73" s="117"/>
      <x:c r="H73" s="117"/>
      <x:c r="I73" s="117"/>
      <x:c r="J73" s="117"/>
      <x:c r="K73" s="117"/>
      <x:c r="L73" s="117"/>
      <x:c r="M73" s="117"/>
      <x:c r="N73" s="117"/>
      <x:c r="O73" s="117"/>
      <x:c r="P73" s="117"/>
      <x:c r="Q73" s="117"/>
      <x:c r="R73" s="117"/>
      <x:c r="S73" s="117"/>
      <x:c r="T73" s="117"/>
      <x:c r="U73" s="117"/>
      <x:c r="V73" s="117"/>
      <x:c r="W73" s="117"/>
      <x:c r="X73" s="117"/>
      <x:c r="Y73" s="117"/>
      <x:c r="Z73" s="117"/>
    </x:row>
    <x:row r="74">
      <x:c r="A74" s="117"/>
      <x:c r="B74" s="117"/>
      <x:c r="C74" s="117"/>
      <x:c r="D74" s="117"/>
      <x:c r="E74" s="117"/>
      <x:c r="F74" s="117"/>
      <x:c r="G74" s="117"/>
      <x:c r="H74" s="117"/>
      <x:c r="I74" s="117"/>
      <x:c r="J74" s="117"/>
      <x:c r="K74" s="117"/>
      <x:c r="L74" s="117"/>
      <x:c r="M74" s="117"/>
      <x:c r="N74" s="117"/>
      <x:c r="O74" s="117"/>
      <x:c r="P74" s="117"/>
      <x:c r="Q74" s="117"/>
      <x:c r="R74" s="117"/>
      <x:c r="S74" s="117"/>
      <x:c r="T74" s="117"/>
      <x:c r="U74" s="117"/>
      <x:c r="V74" s="117"/>
      <x:c r="W74" s="117"/>
      <x:c r="X74" s="117"/>
      <x:c r="Y74" s="117"/>
      <x:c r="Z74" s="117"/>
    </x:row>
    <x:row r="75">
      <x:c r="A75" s="117"/>
      <x:c r="B75" s="117"/>
      <x:c r="C75" s="117"/>
      <x:c r="D75" s="117"/>
      <x:c r="E75" s="117"/>
      <x:c r="F75" s="117"/>
      <x:c r="G75" s="117"/>
      <x:c r="H75" s="117"/>
      <x:c r="I75" s="117"/>
      <x:c r="J75" s="117"/>
      <x:c r="K75" s="117"/>
      <x:c r="L75" s="117"/>
      <x:c r="M75" s="117"/>
      <x:c r="N75" s="117"/>
      <x:c r="O75" s="117"/>
      <x:c r="P75" s="117"/>
      <x:c r="Q75" s="117"/>
      <x:c r="R75" s="117"/>
      <x:c r="S75" s="117"/>
      <x:c r="T75" s="117"/>
      <x:c r="U75" s="117"/>
      <x:c r="V75" s="117"/>
      <x:c r="W75" s="117"/>
      <x:c r="X75" s="117"/>
      <x:c r="Y75" s="117"/>
      <x:c r="Z75" s="117"/>
    </x:row>
    <x:row r="76">
      <x:c r="A76" s="117"/>
      <x:c r="B76" s="117"/>
      <x:c r="C76" s="117"/>
      <x:c r="D76" s="117"/>
      <x:c r="E76" s="117"/>
      <x:c r="F76" s="117"/>
      <x:c r="G76" s="117"/>
      <x:c r="H76" s="117"/>
      <x:c r="I76" s="117"/>
      <x:c r="J76" s="117"/>
      <x:c r="K76" s="117"/>
      <x:c r="L76" s="117"/>
      <x:c r="M76" s="117"/>
      <x:c r="N76" s="117"/>
      <x:c r="O76" s="117"/>
      <x:c r="P76" s="117"/>
      <x:c r="Q76" s="117"/>
      <x:c r="R76" s="117"/>
      <x:c r="S76" s="117"/>
      <x:c r="T76" s="117"/>
      <x:c r="U76" s="117"/>
      <x:c r="V76" s="117"/>
      <x:c r="W76" s="117"/>
      <x:c r="X76" s="117"/>
      <x:c r="Y76" s="117"/>
      <x:c r="Z76" s="117"/>
    </x:row>
    <x:row r="77">
      <x:c r="A77" s="117"/>
      <x:c r="B77" s="117"/>
      <x:c r="C77" s="117"/>
      <x:c r="D77" s="117"/>
      <x:c r="E77" s="117"/>
      <x:c r="F77" s="117"/>
      <x:c r="G77" s="117"/>
      <x:c r="H77" s="117"/>
      <x:c r="I77" s="117"/>
      <x:c r="J77" s="117"/>
      <x:c r="K77" s="117"/>
      <x:c r="L77" s="117"/>
      <x:c r="M77" s="117"/>
      <x:c r="N77" s="117"/>
      <x:c r="O77" s="117"/>
      <x:c r="P77" s="117"/>
      <x:c r="Q77" s="117"/>
      <x:c r="R77" s="117"/>
      <x:c r="S77" s="117"/>
      <x:c r="T77" s="117"/>
      <x:c r="U77" s="117"/>
      <x:c r="V77" s="117"/>
      <x:c r="W77" s="117"/>
      <x:c r="X77" s="117"/>
      <x:c r="Y77" s="117"/>
      <x:c r="Z77" s="117"/>
    </x:row>
    <x:row r="78">
      <x:c r="A78" s="117"/>
      <x:c r="B78" s="117"/>
      <x:c r="C78" s="117"/>
      <x:c r="D78" s="117"/>
      <x:c r="E78" s="117"/>
      <x:c r="F78" s="117"/>
      <x:c r="G78" s="117"/>
      <x:c r="H78" s="117"/>
      <x:c r="I78" s="117"/>
      <x:c r="J78" s="117"/>
      <x:c r="K78" s="117"/>
      <x:c r="L78" s="117"/>
      <x:c r="M78" s="117"/>
      <x:c r="N78" s="117"/>
      <x:c r="O78" s="117"/>
      <x:c r="P78" s="117"/>
      <x:c r="Q78" s="117"/>
      <x:c r="R78" s="117"/>
      <x:c r="S78" s="117"/>
      <x:c r="T78" s="117"/>
      <x:c r="U78" s="117"/>
      <x:c r="V78" s="117"/>
      <x:c r="W78" s="117"/>
      <x:c r="X78" s="117"/>
      <x:c r="Y78" s="117"/>
      <x:c r="Z78" s="117"/>
    </x:row>
    <x:row r="79">
      <x:c r="A79" s="117"/>
      <x:c r="B79" s="117"/>
      <x:c r="C79" s="117"/>
      <x:c r="D79" s="117"/>
      <x:c r="E79" s="117"/>
      <x:c r="F79" s="117"/>
      <x:c r="G79" s="117"/>
      <x:c r="H79" s="117"/>
      <x:c r="I79" s="117"/>
      <x:c r="J79" s="117"/>
      <x:c r="K79" s="117"/>
      <x:c r="L79" s="117"/>
      <x:c r="M79" s="117"/>
      <x:c r="N79" s="117"/>
      <x:c r="O79" s="117"/>
      <x:c r="P79" s="117"/>
      <x:c r="Q79" s="117"/>
      <x:c r="R79" s="117"/>
      <x:c r="S79" s="117"/>
      <x:c r="T79" s="117"/>
      <x:c r="U79" s="117"/>
      <x:c r="V79" s="117"/>
      <x:c r="W79" s="117"/>
      <x:c r="X79" s="117"/>
      <x:c r="Y79" s="117"/>
      <x:c r="Z79" s="117"/>
    </x:row>
    <x:row r="80">
      <x:c r="A80" s="117"/>
      <x:c r="B80" s="117"/>
      <x:c r="C80" s="117"/>
      <x:c r="D80" s="117"/>
      <x:c r="E80" s="117"/>
      <x:c r="F80" s="117"/>
      <x:c r="G80" s="117"/>
      <x:c r="H80" s="117"/>
      <x:c r="I80" s="117"/>
      <x:c r="J80" s="117"/>
      <x:c r="K80" s="117"/>
      <x:c r="L80" s="117"/>
      <x:c r="M80" s="117"/>
      <x:c r="N80" s="117"/>
      <x:c r="O80" s="117"/>
      <x:c r="P80" s="117"/>
      <x:c r="Q80" s="117"/>
      <x:c r="R80" s="117"/>
      <x:c r="S80" s="117"/>
      <x:c r="T80" s="117"/>
      <x:c r="U80" s="117"/>
      <x:c r="V80" s="117"/>
      <x:c r="W80" s="117"/>
      <x:c r="X80" s="117"/>
      <x:c r="Y80" s="117"/>
      <x:c r="Z80" s="117"/>
    </x:row>
    <x:row r="81">
      <x:c r="A81" s="117"/>
      <x:c r="B81" s="117"/>
      <x:c r="C81" s="117"/>
      <x:c r="D81" s="117"/>
      <x:c r="E81" s="117"/>
      <x:c r="F81" s="117"/>
      <x:c r="G81" s="117"/>
      <x:c r="H81" s="117"/>
      <x:c r="I81" s="117"/>
      <x:c r="J81" s="117"/>
      <x:c r="K81" s="117"/>
      <x:c r="L81" s="117"/>
      <x:c r="M81" s="117"/>
      <x:c r="N81" s="117"/>
      <x:c r="O81" s="117"/>
      <x:c r="P81" s="117"/>
      <x:c r="Q81" s="117"/>
      <x:c r="R81" s="117"/>
      <x:c r="S81" s="117"/>
      <x:c r="T81" s="117"/>
      <x:c r="U81" s="117"/>
      <x:c r="V81" s="117"/>
      <x:c r="W81" s="117"/>
      <x:c r="X81" s="117"/>
      <x:c r="Y81" s="117"/>
      <x:c r="Z81" s="117"/>
    </x:row>
    <x:row r="82">
      <x:c r="A82" s="117"/>
      <x:c r="B82" s="117"/>
      <x:c r="C82" s="117"/>
      <x:c r="D82" s="117"/>
      <x:c r="E82" s="117"/>
      <x:c r="F82" s="117"/>
      <x:c r="G82" s="117"/>
      <x:c r="H82" s="117"/>
      <x:c r="I82" s="117"/>
      <x:c r="J82" s="117"/>
      <x:c r="K82" s="117"/>
      <x:c r="L82" s="117"/>
      <x:c r="M82" s="117"/>
      <x:c r="N82" s="117"/>
      <x:c r="O82" s="117"/>
      <x:c r="P82" s="117"/>
      <x:c r="Q82" s="117"/>
      <x:c r="R82" s="117"/>
      <x:c r="S82" s="117"/>
      <x:c r="T82" s="117"/>
      <x:c r="U82" s="117"/>
      <x:c r="V82" s="117"/>
      <x:c r="W82" s="117"/>
      <x:c r="X82" s="117"/>
      <x:c r="Y82" s="117"/>
      <x:c r="Z82" s="117"/>
    </x:row>
    <x:row r="83">
      <x:c r="A83" s="117"/>
      <x:c r="B83" s="117"/>
      <x:c r="C83" s="117"/>
      <x:c r="D83" s="117"/>
      <x:c r="E83" s="117"/>
      <x:c r="F83" s="117"/>
      <x:c r="G83" s="117"/>
      <x:c r="H83" s="117"/>
      <x:c r="I83" s="117"/>
      <x:c r="J83" s="117"/>
      <x:c r="K83" s="117"/>
      <x:c r="L83" s="117"/>
      <x:c r="M83" s="117"/>
      <x:c r="N83" s="117"/>
      <x:c r="O83" s="117"/>
      <x:c r="P83" s="117"/>
      <x:c r="Q83" s="117"/>
      <x:c r="R83" s="117"/>
      <x:c r="S83" s="117"/>
      <x:c r="T83" s="117"/>
      <x:c r="U83" s="117"/>
      <x:c r="V83" s="117"/>
      <x:c r="W83" s="117"/>
      <x:c r="X83" s="117"/>
      <x:c r="Y83" s="117"/>
      <x:c r="Z83" s="117"/>
    </x:row>
    <x:row r="84">
      <x:c r="A84" s="117"/>
      <x:c r="B84" s="117"/>
      <x:c r="C84" s="117"/>
      <x:c r="D84" s="117"/>
      <x:c r="E84" s="117"/>
      <x:c r="F84" s="117"/>
      <x:c r="G84" s="117"/>
      <x:c r="H84" s="117"/>
      <x:c r="I84" s="117"/>
      <x:c r="J84" s="117"/>
      <x:c r="K84" s="117"/>
      <x:c r="L84" s="117"/>
      <x:c r="M84" s="117"/>
      <x:c r="N84" s="117"/>
      <x:c r="O84" s="117"/>
      <x:c r="P84" s="117"/>
      <x:c r="Q84" s="117"/>
      <x:c r="R84" s="117"/>
      <x:c r="S84" s="117"/>
      <x:c r="T84" s="117"/>
      <x:c r="U84" s="117"/>
      <x:c r="V84" s="117"/>
      <x:c r="W84" s="117"/>
      <x:c r="X84" s="117"/>
      <x:c r="Y84" s="117"/>
      <x:c r="Z84" s="117"/>
    </x:row>
    <x:row r="85">
      <x:c r="A85" s="117"/>
      <x:c r="B85" s="117"/>
      <x:c r="C85" s="117"/>
      <x:c r="D85" s="117"/>
      <x:c r="E85" s="117"/>
      <x:c r="F85" s="117"/>
      <x:c r="G85" s="117"/>
      <x:c r="H85" s="117"/>
      <x:c r="I85" s="117"/>
      <x:c r="J85" s="117"/>
      <x:c r="K85" s="117"/>
      <x:c r="L85" s="117"/>
      <x:c r="M85" s="117"/>
      <x:c r="N85" s="117"/>
      <x:c r="O85" s="117"/>
      <x:c r="P85" s="117"/>
      <x:c r="Q85" s="117"/>
      <x:c r="R85" s="117"/>
      <x:c r="S85" s="117"/>
      <x:c r="T85" s="117"/>
      <x:c r="U85" s="117"/>
      <x:c r="V85" s="117"/>
      <x:c r="W85" s="117"/>
      <x:c r="X85" s="117"/>
      <x:c r="Y85" s="117"/>
      <x:c r="Z85" s="117"/>
    </x:row>
    <x:row r="86">
      <x:c r="A86" s="117"/>
      <x:c r="B86" s="117"/>
      <x:c r="C86" s="117"/>
      <x:c r="D86" s="117"/>
      <x:c r="E86" s="117"/>
      <x:c r="F86" s="117"/>
      <x:c r="G86" s="117"/>
      <x:c r="H86" s="117"/>
      <x:c r="I86" s="117"/>
      <x:c r="J86" s="117"/>
      <x:c r="K86" s="117"/>
      <x:c r="L86" s="117"/>
      <x:c r="M86" s="117"/>
      <x:c r="N86" s="117"/>
      <x:c r="O86" s="117"/>
      <x:c r="P86" s="117"/>
      <x:c r="Q86" s="117"/>
      <x:c r="R86" s="117"/>
      <x:c r="S86" s="117"/>
      <x:c r="T86" s="117"/>
      <x:c r="U86" s="117"/>
      <x:c r="V86" s="117"/>
      <x:c r="W86" s="117"/>
      <x:c r="X86" s="117"/>
      <x:c r="Y86" s="117"/>
      <x:c r="Z86" s="117"/>
    </x:row>
    <x:row r="87">
      <x:c r="A87" s="117"/>
      <x:c r="B87" s="117"/>
      <x:c r="C87" s="117"/>
      <x:c r="D87" s="117"/>
      <x:c r="E87" s="117"/>
      <x:c r="F87" s="117"/>
      <x:c r="G87" s="117"/>
      <x:c r="H87" s="117"/>
      <x:c r="I87" s="117"/>
      <x:c r="J87" s="117"/>
      <x:c r="K87" s="117"/>
      <x:c r="L87" s="117"/>
      <x:c r="M87" s="117"/>
      <x:c r="N87" s="117"/>
      <x:c r="O87" s="117"/>
      <x:c r="P87" s="117"/>
      <x:c r="Q87" s="117"/>
      <x:c r="R87" s="117"/>
      <x:c r="S87" s="117"/>
      <x:c r="T87" s="117"/>
      <x:c r="U87" s="117"/>
      <x:c r="V87" s="117"/>
      <x:c r="W87" s="117"/>
      <x:c r="X87" s="117"/>
      <x:c r="Y87" s="117"/>
      <x:c r="Z87" s="117"/>
    </x:row>
    <x:row r="88">
      <x:c r="A88" s="117"/>
      <x:c r="B88" s="117"/>
      <x:c r="C88" s="117"/>
      <x:c r="D88" s="117"/>
      <x:c r="E88" s="117"/>
      <x:c r="F88" s="117"/>
      <x:c r="G88" s="117"/>
      <x:c r="H88" s="117"/>
      <x:c r="I88" s="117"/>
      <x:c r="J88" s="117"/>
      <x:c r="K88" s="117"/>
      <x:c r="L88" s="117"/>
      <x:c r="M88" s="117"/>
      <x:c r="N88" s="117"/>
      <x:c r="O88" s="117"/>
      <x:c r="P88" s="117"/>
      <x:c r="Q88" s="117"/>
      <x:c r="R88" s="117"/>
      <x:c r="S88" s="117"/>
      <x:c r="T88" s="117"/>
      <x:c r="U88" s="117"/>
      <x:c r="V88" s="117"/>
      <x:c r="W88" s="117"/>
      <x:c r="X88" s="117"/>
      <x:c r="Y88" s="117"/>
      <x:c r="Z88" s="117"/>
    </x:row>
    <x:row r="89">
      <x:c r="A89" s="117"/>
      <x:c r="B89" s="117"/>
      <x:c r="C89" s="117"/>
      <x:c r="D89" s="117"/>
      <x:c r="E89" s="117"/>
      <x:c r="F89" s="117"/>
      <x:c r="G89" s="117"/>
      <x:c r="H89" s="117"/>
      <x:c r="I89" s="117"/>
      <x:c r="J89" s="117"/>
      <x:c r="K89" s="117"/>
      <x:c r="L89" s="117"/>
      <x:c r="M89" s="117"/>
      <x:c r="N89" s="117"/>
      <x:c r="O89" s="117"/>
      <x:c r="P89" s="117"/>
      <x:c r="Q89" s="117"/>
      <x:c r="R89" s="117"/>
      <x:c r="S89" s="117"/>
      <x:c r="T89" s="117"/>
      <x:c r="U89" s="117"/>
      <x:c r="V89" s="117"/>
      <x:c r="W89" s="117"/>
      <x:c r="X89" s="117"/>
      <x:c r="Y89" s="117"/>
      <x:c r="Z89" s="117"/>
    </x:row>
    <x:row r="90">
      <x:c r="A90" s="117"/>
      <x:c r="B90" s="117"/>
      <x:c r="C90" s="117"/>
      <x:c r="D90" s="117"/>
      <x:c r="E90" s="117"/>
      <x:c r="F90" s="117"/>
      <x:c r="G90" s="117"/>
      <x:c r="H90" s="117"/>
      <x:c r="I90" s="117"/>
      <x:c r="J90" s="117"/>
      <x:c r="K90" s="117"/>
      <x:c r="L90" s="117"/>
      <x:c r="M90" s="117"/>
      <x:c r="N90" s="117"/>
      <x:c r="O90" s="117"/>
      <x:c r="P90" s="117"/>
      <x:c r="Q90" s="117"/>
      <x:c r="R90" s="117"/>
      <x:c r="S90" s="117"/>
      <x:c r="T90" s="117"/>
      <x:c r="U90" s="117"/>
      <x:c r="V90" s="117"/>
      <x:c r="W90" s="117"/>
      <x:c r="X90" s="117"/>
      <x:c r="Y90" s="117"/>
      <x:c r="Z90" s="117"/>
    </x:row>
    <x:row r="91">
      <x:c r="A91" s="117"/>
      <x:c r="B91" s="117"/>
      <x:c r="C91" s="117"/>
      <x:c r="D91" s="117"/>
      <x:c r="E91" s="117"/>
      <x:c r="F91" s="117"/>
      <x:c r="G91" s="117"/>
      <x:c r="H91" s="117"/>
      <x:c r="I91" s="117"/>
      <x:c r="J91" s="117"/>
      <x:c r="K91" s="117"/>
      <x:c r="L91" s="117"/>
      <x:c r="M91" s="117"/>
      <x:c r="N91" s="117"/>
      <x:c r="O91" s="117"/>
      <x:c r="P91" s="117"/>
      <x:c r="Q91" s="117"/>
      <x:c r="R91" s="117"/>
      <x:c r="S91" s="117"/>
      <x:c r="T91" s="117"/>
      <x:c r="U91" s="117"/>
      <x:c r="V91" s="117"/>
      <x:c r="W91" s="117"/>
      <x:c r="X91" s="117"/>
      <x:c r="Y91" s="117"/>
      <x:c r="Z91" s="117"/>
    </x:row>
    <x:row r="92">
      <x:c r="A92" s="117"/>
      <x:c r="B92" s="117"/>
      <x:c r="C92" s="117"/>
      <x:c r="D92" s="117"/>
      <x:c r="E92" s="117"/>
      <x:c r="F92" s="117"/>
      <x:c r="G92" s="117"/>
      <x:c r="H92" s="117"/>
      <x:c r="I92" s="117"/>
      <x:c r="J92" s="117"/>
      <x:c r="K92" s="117"/>
      <x:c r="L92" s="117"/>
      <x:c r="M92" s="117"/>
      <x:c r="N92" s="117"/>
      <x:c r="O92" s="117"/>
      <x:c r="P92" s="117"/>
      <x:c r="Q92" s="117"/>
      <x:c r="R92" s="117"/>
      <x:c r="S92" s="117"/>
      <x:c r="T92" s="117"/>
      <x:c r="U92" s="117"/>
      <x:c r="V92" s="117"/>
      <x:c r="W92" s="117"/>
      <x:c r="X92" s="117"/>
      <x:c r="Y92" s="117"/>
      <x:c r="Z92" s="117"/>
    </x:row>
    <x:row r="93">
      <x:c r="A93" s="117"/>
      <x:c r="B93" s="117"/>
      <x:c r="C93" s="117"/>
      <x:c r="D93" s="117"/>
      <x:c r="E93" s="117"/>
      <x:c r="F93" s="117"/>
      <x:c r="G93" s="117"/>
      <x:c r="H93" s="117"/>
      <x:c r="I93" s="117"/>
      <x:c r="J93" s="117"/>
      <x:c r="K93" s="117"/>
      <x:c r="L93" s="117"/>
      <x:c r="M93" s="117"/>
      <x:c r="N93" s="117"/>
      <x:c r="O93" s="117"/>
      <x:c r="P93" s="117"/>
      <x:c r="Q93" s="117"/>
      <x:c r="R93" s="117"/>
      <x:c r="S93" s="117"/>
      <x:c r="T93" s="117"/>
      <x:c r="U93" s="117"/>
      <x:c r="V93" s="117"/>
      <x:c r="W93" s="117"/>
      <x:c r="X93" s="117"/>
      <x:c r="Y93" s="117"/>
      <x:c r="Z93" s="117"/>
    </x:row>
    <x:row r="94">
      <x:c r="A94" s="117"/>
      <x:c r="B94" s="117"/>
      <x:c r="C94" s="117"/>
      <x:c r="D94" s="117"/>
      <x:c r="E94" s="117"/>
      <x:c r="F94" s="117"/>
      <x:c r="G94" s="117"/>
      <x:c r="H94" s="117"/>
      <x:c r="I94" s="117"/>
      <x:c r="J94" s="117"/>
      <x:c r="K94" s="117"/>
      <x:c r="L94" s="117"/>
      <x:c r="M94" s="117"/>
      <x:c r="N94" s="117"/>
      <x:c r="O94" s="117"/>
      <x:c r="P94" s="117"/>
      <x:c r="Q94" s="117"/>
      <x:c r="R94" s="117"/>
      <x:c r="S94" s="117"/>
      <x:c r="T94" s="117"/>
      <x:c r="U94" s="117"/>
      <x:c r="V94" s="117"/>
      <x:c r="W94" s="117"/>
      <x:c r="X94" s="117"/>
      <x:c r="Y94" s="117"/>
      <x:c r="Z94" s="117"/>
    </x:row>
    <x:row r="95">
      <x:c r="A95" s="117"/>
      <x:c r="B95" s="117"/>
      <x:c r="C95" s="117"/>
      <x:c r="D95" s="117"/>
      <x:c r="E95" s="117"/>
      <x:c r="F95" s="117"/>
      <x:c r="G95" s="117"/>
      <x:c r="H95" s="117"/>
      <x:c r="I95" s="117"/>
      <x:c r="J95" s="117"/>
      <x:c r="K95" s="117"/>
      <x:c r="L95" s="117"/>
      <x:c r="M95" s="117"/>
      <x:c r="N95" s="117"/>
      <x:c r="O95" s="117"/>
      <x:c r="P95" s="117"/>
      <x:c r="Q95" s="117"/>
      <x:c r="R95" s="117"/>
      <x:c r="S95" s="117"/>
      <x:c r="T95" s="117"/>
      <x:c r="U95" s="117"/>
      <x:c r="V95" s="117"/>
      <x:c r="W95" s="117"/>
      <x:c r="X95" s="117"/>
      <x:c r="Y95" s="117"/>
      <x:c r="Z95" s="117"/>
    </x:row>
    <x:row r="96">
      <x:c r="A96" s="117"/>
      <x:c r="B96" s="117"/>
      <x:c r="C96" s="117"/>
      <x:c r="D96" s="117"/>
      <x:c r="E96" s="117"/>
      <x:c r="F96" s="117"/>
      <x:c r="G96" s="117"/>
      <x:c r="H96" s="117"/>
      <x:c r="I96" s="117"/>
      <x:c r="J96" s="117"/>
      <x:c r="K96" s="117"/>
      <x:c r="L96" s="117"/>
      <x:c r="M96" s="117"/>
      <x:c r="N96" s="117"/>
      <x:c r="O96" s="117"/>
      <x:c r="P96" s="117"/>
      <x:c r="Q96" s="117"/>
      <x:c r="R96" s="117"/>
      <x:c r="S96" s="117"/>
      <x:c r="T96" s="117"/>
      <x:c r="U96" s="117"/>
      <x:c r="V96" s="117"/>
      <x:c r="W96" s="117"/>
      <x:c r="X96" s="117"/>
      <x:c r="Y96" s="117"/>
      <x:c r="Z96" s="117"/>
    </x:row>
    <x:row r="97">
      <x:c r="A97" s="117"/>
      <x:c r="B97" s="117"/>
      <x:c r="C97" s="117"/>
      <x:c r="D97" s="117"/>
      <x:c r="E97" s="117"/>
      <x:c r="F97" s="117"/>
      <x:c r="G97" s="117"/>
      <x:c r="H97" s="117"/>
      <x:c r="I97" s="117"/>
      <x:c r="J97" s="117"/>
      <x:c r="K97" s="117"/>
      <x:c r="L97" s="117"/>
      <x:c r="M97" s="117"/>
      <x:c r="N97" s="117"/>
      <x:c r="O97" s="117"/>
      <x:c r="P97" s="117"/>
      <x:c r="Q97" s="117"/>
      <x:c r="R97" s="117"/>
      <x:c r="S97" s="117"/>
      <x:c r="T97" s="117"/>
      <x:c r="U97" s="117"/>
      <x:c r="V97" s="117"/>
      <x:c r="W97" s="117"/>
      <x:c r="X97" s="117"/>
      <x:c r="Y97" s="117"/>
      <x:c r="Z97" s="117"/>
    </x:row>
    <x:row r="98">
      <x:c r="A98" s="117"/>
      <x:c r="B98" s="117"/>
      <x:c r="C98" s="117"/>
      <x:c r="D98" s="117"/>
      <x:c r="E98" s="117"/>
      <x:c r="F98" s="117"/>
      <x:c r="G98" s="117"/>
      <x:c r="H98" s="117"/>
      <x:c r="I98" s="117"/>
      <x:c r="J98" s="117"/>
      <x:c r="K98" s="117"/>
      <x:c r="L98" s="117"/>
      <x:c r="M98" s="117"/>
      <x:c r="N98" s="117"/>
      <x:c r="O98" s="117"/>
      <x:c r="P98" s="117"/>
      <x:c r="Q98" s="117"/>
      <x:c r="R98" s="117"/>
      <x:c r="S98" s="117"/>
      <x:c r="T98" s="117"/>
      <x:c r="U98" s="117"/>
      <x:c r="V98" s="117"/>
      <x:c r="W98" s="117"/>
      <x:c r="X98" s="117"/>
      <x:c r="Y98" s="117"/>
      <x:c r="Z98" s="117"/>
    </x:row>
    <x:row r="99">
      <x:c r="A99" s="117"/>
      <x:c r="B99" s="117"/>
      <x:c r="C99" s="117"/>
      <x:c r="D99" s="117"/>
      <x:c r="E99" s="117"/>
      <x:c r="F99" s="117"/>
      <x:c r="G99" s="117"/>
      <x:c r="H99" s="117"/>
      <x:c r="I99" s="117"/>
      <x:c r="J99" s="117"/>
      <x:c r="K99" s="117"/>
      <x:c r="L99" s="117"/>
      <x:c r="M99" s="117"/>
      <x:c r="N99" s="117"/>
      <x:c r="O99" s="117"/>
      <x:c r="P99" s="117"/>
      <x:c r="Q99" s="117"/>
      <x:c r="R99" s="117"/>
      <x:c r="S99" s="117"/>
      <x:c r="T99" s="117"/>
      <x:c r="U99" s="117"/>
      <x:c r="V99" s="117"/>
      <x:c r="W99" s="117"/>
      <x:c r="X99" s="117"/>
      <x:c r="Y99" s="117"/>
      <x:c r="Z99" s="117"/>
    </x:row>
    <x:row r="100">
      <x:c r="A100" s="117"/>
      <x:c r="B100" s="117"/>
      <x:c r="C100" s="117"/>
      <x:c r="D100" s="117"/>
      <x:c r="E100" s="117"/>
      <x:c r="F100" s="117"/>
      <x:c r="G100" s="117"/>
      <x:c r="H100" s="117"/>
      <x:c r="I100" s="117"/>
      <x:c r="J100" s="117"/>
      <x:c r="K100" s="117"/>
      <x:c r="L100" s="117"/>
      <x:c r="M100" s="117"/>
      <x:c r="N100" s="117"/>
      <x:c r="O100" s="117"/>
      <x:c r="P100" s="117"/>
      <x:c r="Q100" s="117"/>
      <x:c r="R100" s="117"/>
      <x:c r="S100" s="117"/>
      <x:c r="T100" s="117"/>
      <x:c r="U100" s="117"/>
      <x:c r="V100" s="117"/>
      <x:c r="W100" s="117"/>
      <x:c r="X100" s="117"/>
      <x:c r="Y100" s="117"/>
      <x:c r="Z100" s="117"/>
    </x:row>
    <x:row r="101">
      <x:c r="A101" s="117"/>
      <x:c r="B101" s="117"/>
      <x:c r="C101" s="117"/>
      <x:c r="D101" s="117"/>
      <x:c r="E101" s="117"/>
      <x:c r="F101" s="117"/>
      <x:c r="G101" s="117"/>
      <x:c r="H101" s="117"/>
      <x:c r="I101" s="117"/>
      <x:c r="J101" s="117"/>
      <x:c r="K101" s="117"/>
      <x:c r="L101" s="117"/>
      <x:c r="M101" s="117"/>
      <x:c r="N101" s="117"/>
      <x:c r="O101" s="117"/>
      <x:c r="P101" s="117"/>
      <x:c r="Q101" s="117"/>
      <x:c r="R101" s="117"/>
      <x:c r="S101" s="117"/>
      <x:c r="T101" s="117"/>
      <x:c r="U101" s="117"/>
      <x:c r="V101" s="117"/>
      <x:c r="W101" s="117"/>
      <x:c r="X101" s="117"/>
      <x:c r="Y101" s="117"/>
      <x:c r="Z101" s="117"/>
    </x:row>
    <x:row r="102">
      <x:c r="A102" s="117"/>
      <x:c r="B102" s="117"/>
      <x:c r="C102" s="117"/>
      <x:c r="D102" s="117"/>
      <x:c r="E102" s="117"/>
      <x:c r="F102" s="117"/>
      <x:c r="G102" s="117"/>
      <x:c r="H102" s="117"/>
      <x:c r="I102" s="117"/>
      <x:c r="J102" s="117"/>
      <x:c r="K102" s="117"/>
      <x:c r="L102" s="117"/>
      <x:c r="M102" s="117"/>
      <x:c r="N102" s="117"/>
      <x:c r="O102" s="117"/>
      <x:c r="P102" s="117"/>
      <x:c r="Q102" s="117"/>
      <x:c r="R102" s="117"/>
      <x:c r="S102" s="117"/>
      <x:c r="T102" s="117"/>
      <x:c r="U102" s="117"/>
      <x:c r="V102" s="117"/>
      <x:c r="W102" s="117"/>
      <x:c r="X102" s="117"/>
      <x:c r="Y102" s="117"/>
      <x:c r="Z102" s="117"/>
    </x:row>
    <x:row r="103">
      <x:c r="A103" s="117"/>
      <x:c r="B103" s="117"/>
      <x:c r="C103" s="117"/>
      <x:c r="D103" s="117"/>
      <x:c r="E103" s="117"/>
      <x:c r="F103" s="117"/>
      <x:c r="G103" s="117"/>
      <x:c r="H103" s="117"/>
      <x:c r="I103" s="117"/>
      <x:c r="J103" s="117"/>
      <x:c r="K103" s="117"/>
      <x:c r="L103" s="117"/>
      <x:c r="M103" s="117"/>
      <x:c r="N103" s="117"/>
      <x:c r="O103" s="117"/>
      <x:c r="P103" s="117"/>
      <x:c r="Q103" s="117"/>
      <x:c r="R103" s="117"/>
      <x:c r="S103" s="117"/>
      <x:c r="T103" s="117"/>
      <x:c r="U103" s="117"/>
      <x:c r="V103" s="117"/>
      <x:c r="W103" s="117"/>
      <x:c r="X103" s="117"/>
      <x:c r="Y103" s="117"/>
      <x:c r="Z103" s="117"/>
    </x:row>
    <x:row r="104">
      <x:c r="A104" s="117"/>
      <x:c r="B104" s="117"/>
      <x:c r="C104" s="117"/>
      <x:c r="D104" s="117"/>
      <x:c r="E104" s="117"/>
      <x:c r="F104" s="117"/>
      <x:c r="G104" s="117"/>
      <x:c r="H104" s="117"/>
      <x:c r="I104" s="117"/>
      <x:c r="J104" s="117"/>
      <x:c r="K104" s="117"/>
      <x:c r="L104" s="117"/>
      <x:c r="M104" s="117"/>
      <x:c r="N104" s="117"/>
      <x:c r="O104" s="117"/>
      <x:c r="P104" s="117"/>
      <x:c r="Q104" s="117"/>
      <x:c r="R104" s="117"/>
      <x:c r="S104" s="117"/>
      <x:c r="T104" s="117"/>
      <x:c r="U104" s="117"/>
      <x:c r="V104" s="117"/>
      <x:c r="W104" s="117"/>
      <x:c r="X104" s="117"/>
      <x:c r="Y104" s="117"/>
      <x:c r="Z104" s="117"/>
    </x:row>
    <x:row r="105">
      <x:c r="A105" s="117"/>
      <x:c r="B105" s="117"/>
      <x:c r="C105" s="117"/>
      <x:c r="D105" s="117"/>
      <x:c r="E105" s="117"/>
      <x:c r="F105" s="117"/>
      <x:c r="G105" s="117"/>
      <x:c r="H105" s="117"/>
      <x:c r="I105" s="117"/>
      <x:c r="J105" s="117"/>
      <x:c r="K105" s="117"/>
      <x:c r="L105" s="117"/>
      <x:c r="M105" s="117"/>
      <x:c r="N105" s="117"/>
      <x:c r="O105" s="117"/>
      <x:c r="P105" s="117"/>
      <x:c r="Q105" s="117"/>
      <x:c r="R105" s="117"/>
      <x:c r="S105" s="117"/>
      <x:c r="T105" s="117"/>
      <x:c r="U105" s="117"/>
      <x:c r="V105" s="117"/>
      <x:c r="W105" s="117"/>
      <x:c r="X105" s="117"/>
      <x:c r="Y105" s="117"/>
      <x:c r="Z105" s="117"/>
    </x:row>
    <x:row r="106">
      <x:c r="A106" s="117"/>
      <x:c r="B106" s="117"/>
      <x:c r="C106" s="117"/>
      <x:c r="D106" s="117"/>
      <x:c r="E106" s="117"/>
      <x:c r="F106" s="117"/>
      <x:c r="G106" s="117"/>
      <x:c r="H106" s="117"/>
      <x:c r="I106" s="117"/>
      <x:c r="J106" s="117"/>
      <x:c r="K106" s="117"/>
      <x:c r="L106" s="117"/>
      <x:c r="M106" s="117"/>
      <x:c r="N106" s="117"/>
      <x:c r="O106" s="117"/>
      <x:c r="P106" s="117"/>
      <x:c r="Q106" s="117"/>
      <x:c r="R106" s="117"/>
      <x:c r="S106" s="117"/>
      <x:c r="T106" s="117"/>
      <x:c r="U106" s="117"/>
      <x:c r="V106" s="117"/>
      <x:c r="W106" s="117"/>
      <x:c r="X106" s="117"/>
      <x:c r="Y106" s="117"/>
      <x:c r="Z106" s="117"/>
    </x:row>
    <x:row r="107">
      <x:c r="A107" s="117"/>
      <x:c r="B107" s="117"/>
      <x:c r="C107" s="117"/>
      <x:c r="D107" s="117"/>
      <x:c r="E107" s="117"/>
      <x:c r="F107" s="117"/>
      <x:c r="G107" s="117"/>
      <x:c r="H107" s="117"/>
      <x:c r="I107" s="117"/>
      <x:c r="J107" s="117"/>
      <x:c r="K107" s="117"/>
      <x:c r="L107" s="117"/>
      <x:c r="M107" s="117"/>
      <x:c r="N107" s="117"/>
      <x:c r="O107" s="117"/>
      <x:c r="P107" s="117"/>
      <x:c r="Q107" s="117"/>
      <x:c r="R107" s="117"/>
      <x:c r="S107" s="117"/>
      <x:c r="T107" s="117"/>
      <x:c r="U107" s="117"/>
      <x:c r="V107" s="117"/>
      <x:c r="W107" s="117"/>
      <x:c r="X107" s="117"/>
      <x:c r="Y107" s="117"/>
      <x:c r="Z107" s="117"/>
    </x:row>
    <x:row r="108">
      <x:c r="A108" s="117"/>
      <x:c r="B108" s="117"/>
      <x:c r="C108" s="117"/>
      <x:c r="D108" s="117"/>
      <x:c r="E108" s="117"/>
      <x:c r="F108" s="117"/>
      <x:c r="G108" s="117"/>
      <x:c r="H108" s="117"/>
      <x:c r="I108" s="117"/>
      <x:c r="J108" s="117"/>
      <x:c r="K108" s="117"/>
      <x:c r="L108" s="117"/>
      <x:c r="M108" s="117"/>
      <x:c r="N108" s="117"/>
      <x:c r="O108" s="117"/>
      <x:c r="P108" s="117"/>
      <x:c r="Q108" s="117"/>
      <x:c r="R108" s="117"/>
      <x:c r="S108" s="117"/>
      <x:c r="T108" s="117"/>
      <x:c r="U108" s="117"/>
      <x:c r="V108" s="117"/>
      <x:c r="W108" s="117"/>
      <x:c r="X108" s="117"/>
      <x:c r="Y108" s="117"/>
      <x:c r="Z108" s="117"/>
    </x:row>
    <x:row r="109">
      <x:c r="A109" s="117"/>
      <x:c r="B109" s="117"/>
      <x:c r="C109" s="117"/>
      <x:c r="D109" s="117"/>
      <x:c r="E109" s="117"/>
      <x:c r="F109" s="117"/>
      <x:c r="G109" s="117"/>
      <x:c r="H109" s="117"/>
      <x:c r="I109" s="117"/>
      <x:c r="J109" s="117"/>
      <x:c r="K109" s="117"/>
      <x:c r="L109" s="117"/>
      <x:c r="M109" s="117"/>
      <x:c r="N109" s="117"/>
      <x:c r="O109" s="117"/>
      <x:c r="P109" s="117"/>
      <x:c r="Q109" s="117"/>
      <x:c r="R109" s="117"/>
      <x:c r="S109" s="117"/>
      <x:c r="T109" s="117"/>
      <x:c r="U109" s="117"/>
      <x:c r="V109" s="117"/>
      <x:c r="W109" s="117"/>
      <x:c r="X109" s="117"/>
      <x:c r="Y109" s="117"/>
      <x:c r="Z109" s="117"/>
    </x:row>
    <x:row r="110">
      <x:c r="A110" s="117"/>
      <x:c r="B110" s="117"/>
      <x:c r="C110" s="117"/>
      <x:c r="D110" s="117"/>
      <x:c r="E110" s="117"/>
      <x:c r="F110" s="117"/>
      <x:c r="G110" s="117"/>
      <x:c r="H110" s="117"/>
      <x:c r="I110" s="117"/>
      <x:c r="J110" s="117"/>
      <x:c r="K110" s="117"/>
      <x:c r="L110" s="117"/>
      <x:c r="M110" s="117"/>
      <x:c r="N110" s="117"/>
      <x:c r="O110" s="117"/>
      <x:c r="P110" s="117"/>
      <x:c r="Q110" s="117"/>
      <x:c r="R110" s="117"/>
      <x:c r="S110" s="117"/>
      <x:c r="T110" s="117"/>
      <x:c r="U110" s="117"/>
      <x:c r="V110" s="117"/>
      <x:c r="W110" s="117"/>
      <x:c r="X110" s="117"/>
      <x:c r="Y110" s="117"/>
      <x:c r="Z110" s="117"/>
    </x:row>
    <x:row r="111">
      <x:c r="A111" s="117"/>
      <x:c r="B111" s="117"/>
      <x:c r="C111" s="117"/>
      <x:c r="D111" s="117"/>
      <x:c r="E111" s="117"/>
      <x:c r="F111" s="117"/>
      <x:c r="G111" s="117"/>
      <x:c r="H111" s="117"/>
      <x:c r="I111" s="117"/>
      <x:c r="J111" s="117"/>
      <x:c r="K111" s="117"/>
      <x:c r="L111" s="117"/>
      <x:c r="M111" s="117"/>
      <x:c r="N111" s="117"/>
      <x:c r="O111" s="117"/>
      <x:c r="P111" s="117"/>
      <x:c r="Q111" s="117"/>
      <x:c r="R111" s="117"/>
      <x:c r="S111" s="117"/>
      <x:c r="T111" s="117"/>
      <x:c r="U111" s="117"/>
      <x:c r="V111" s="117"/>
      <x:c r="W111" s="117"/>
      <x:c r="X111" s="117"/>
      <x:c r="Y111" s="117"/>
      <x:c r="Z111" s="117"/>
    </x:row>
    <x:row r="112">
      <x:c r="A112" s="117"/>
      <x:c r="B112" s="117"/>
      <x:c r="C112" s="117"/>
      <x:c r="D112" s="117"/>
      <x:c r="E112" s="117"/>
      <x:c r="F112" s="117"/>
      <x:c r="G112" s="117"/>
      <x:c r="H112" s="117"/>
      <x:c r="I112" s="117"/>
      <x:c r="J112" s="117"/>
      <x:c r="K112" s="117"/>
      <x:c r="L112" s="117"/>
      <x:c r="M112" s="117"/>
      <x:c r="N112" s="117"/>
      <x:c r="O112" s="117"/>
      <x:c r="P112" s="117"/>
      <x:c r="Q112" s="117"/>
      <x:c r="R112" s="117"/>
      <x:c r="S112" s="117"/>
      <x:c r="T112" s="117"/>
      <x:c r="U112" s="117"/>
      <x:c r="V112" s="117"/>
      <x:c r="W112" s="117"/>
      <x:c r="X112" s="117"/>
      <x:c r="Y112" s="117"/>
      <x:c r="Z112" s="117"/>
    </x:row>
    <x:row r="113">
      <x:c r="A113" s="117"/>
      <x:c r="B113" s="117"/>
      <x:c r="C113" s="117"/>
      <x:c r="D113" s="117"/>
      <x:c r="E113" s="117"/>
      <x:c r="F113" s="117"/>
      <x:c r="G113" s="117"/>
      <x:c r="H113" s="117"/>
      <x:c r="I113" s="117"/>
      <x:c r="J113" s="117"/>
      <x:c r="K113" s="117"/>
      <x:c r="L113" s="117"/>
      <x:c r="M113" s="117"/>
      <x:c r="N113" s="117"/>
      <x:c r="O113" s="117"/>
      <x:c r="P113" s="117"/>
      <x:c r="Q113" s="117"/>
      <x:c r="R113" s="117"/>
      <x:c r="S113" s="117"/>
      <x:c r="T113" s="117"/>
      <x:c r="U113" s="117"/>
      <x:c r="V113" s="117"/>
      <x:c r="W113" s="117"/>
      <x:c r="X113" s="117"/>
      <x:c r="Y113" s="117"/>
      <x:c r="Z113" s="117"/>
    </x:row>
    <x:row r="114">
      <x:c r="A114" s="117"/>
      <x:c r="B114" s="117"/>
      <x:c r="C114" s="117"/>
      <x:c r="D114" s="117"/>
      <x:c r="E114" s="117"/>
      <x:c r="F114" s="117"/>
      <x:c r="G114" s="117"/>
      <x:c r="H114" s="117"/>
      <x:c r="I114" s="117"/>
      <x:c r="J114" s="117"/>
      <x:c r="K114" s="117"/>
      <x:c r="L114" s="117"/>
      <x:c r="M114" s="117"/>
      <x:c r="N114" s="117"/>
      <x:c r="O114" s="117"/>
      <x:c r="P114" s="117"/>
      <x:c r="Q114" s="117"/>
      <x:c r="R114" s="117"/>
      <x:c r="S114" s="117"/>
      <x:c r="T114" s="117"/>
      <x:c r="U114" s="117"/>
      <x:c r="V114" s="117"/>
      <x:c r="W114" s="117"/>
      <x:c r="X114" s="117"/>
      <x:c r="Y114" s="117"/>
      <x:c r="Z114" s="117"/>
    </x:row>
    <x:row r="115">
      <x:c r="A115" s="117"/>
      <x:c r="B115" s="117"/>
      <x:c r="C115" s="117"/>
      <x:c r="D115" s="117"/>
      <x:c r="E115" s="117"/>
      <x:c r="F115" s="117"/>
      <x:c r="G115" s="117"/>
      <x:c r="H115" s="117"/>
      <x:c r="I115" s="117"/>
      <x:c r="J115" s="117"/>
      <x:c r="K115" s="117"/>
      <x:c r="L115" s="117"/>
      <x:c r="M115" s="117"/>
      <x:c r="N115" s="117"/>
      <x:c r="O115" s="117"/>
      <x:c r="P115" s="117"/>
      <x:c r="Q115" s="117"/>
      <x:c r="R115" s="117"/>
      <x:c r="S115" s="117"/>
      <x:c r="T115" s="117"/>
      <x:c r="U115" s="117"/>
      <x:c r="V115" s="117"/>
      <x:c r="W115" s="117"/>
      <x:c r="X115" s="117"/>
      <x:c r="Y115" s="117"/>
      <x:c r="Z115" s="117"/>
    </x:row>
    <x:row r="116">
      <x:c r="A116" s="117"/>
      <x:c r="B116" s="117"/>
      <x:c r="C116" s="117"/>
      <x:c r="D116" s="117"/>
      <x:c r="E116" s="117"/>
      <x:c r="F116" s="117"/>
      <x:c r="G116" s="117"/>
      <x:c r="H116" s="117"/>
      <x:c r="I116" s="117"/>
      <x:c r="J116" s="117"/>
      <x:c r="K116" s="117"/>
      <x:c r="L116" s="117"/>
      <x:c r="M116" s="117"/>
      <x:c r="N116" s="117"/>
      <x:c r="O116" s="117"/>
      <x:c r="P116" s="117"/>
      <x:c r="Q116" s="117"/>
      <x:c r="R116" s="117"/>
      <x:c r="S116" s="117"/>
      <x:c r="T116" s="117"/>
      <x:c r="U116" s="117"/>
      <x:c r="V116" s="117"/>
      <x:c r="W116" s="117"/>
      <x:c r="X116" s="117"/>
      <x:c r="Y116" s="117"/>
      <x:c r="Z116" s="117"/>
    </x:row>
    <x:row r="117">
      <x:c r="A117" s="117"/>
      <x:c r="B117" s="117"/>
      <x:c r="C117" s="117"/>
      <x:c r="D117" s="117"/>
      <x:c r="E117" s="117"/>
      <x:c r="F117" s="117"/>
      <x:c r="G117" s="117"/>
      <x:c r="H117" s="117"/>
      <x:c r="I117" s="117"/>
      <x:c r="J117" s="117"/>
      <x:c r="K117" s="117"/>
      <x:c r="L117" s="117"/>
      <x:c r="M117" s="117"/>
      <x:c r="N117" s="117"/>
      <x:c r="O117" s="117"/>
      <x:c r="P117" s="117"/>
      <x:c r="Q117" s="117"/>
      <x:c r="R117" s="117"/>
      <x:c r="S117" s="117"/>
      <x:c r="T117" s="117"/>
      <x:c r="U117" s="117"/>
      <x:c r="V117" s="117"/>
      <x:c r="W117" s="117"/>
      <x:c r="X117" s="117"/>
      <x:c r="Y117" s="117"/>
      <x:c r="Z117" s="117"/>
    </x:row>
    <x:row r="118">
      <x:c r="A118" s="117"/>
      <x:c r="B118" s="117"/>
      <x:c r="C118" s="117"/>
      <x:c r="D118" s="117"/>
      <x:c r="E118" s="117"/>
      <x:c r="F118" s="117"/>
      <x:c r="G118" s="117"/>
      <x:c r="H118" s="117"/>
      <x:c r="I118" s="117"/>
      <x:c r="J118" s="117"/>
      <x:c r="K118" s="117"/>
      <x:c r="L118" s="117"/>
      <x:c r="M118" s="117"/>
      <x:c r="N118" s="117"/>
      <x:c r="O118" s="117"/>
      <x:c r="P118" s="117"/>
      <x:c r="Q118" s="117"/>
      <x:c r="R118" s="117"/>
      <x:c r="S118" s="117"/>
      <x:c r="T118" s="117"/>
      <x:c r="U118" s="117"/>
      <x:c r="V118" s="117"/>
      <x:c r="W118" s="117"/>
      <x:c r="X118" s="117"/>
      <x:c r="Y118" s="117"/>
      <x:c r="Z118" s="117"/>
    </x:row>
    <x:row r="119">
      <x:c r="A119" s="117"/>
      <x:c r="B119" s="117"/>
      <x:c r="C119" s="117"/>
      <x:c r="D119" s="117"/>
      <x:c r="E119" s="117"/>
      <x:c r="F119" s="117"/>
      <x:c r="G119" s="117"/>
      <x:c r="H119" s="117"/>
      <x:c r="I119" s="117"/>
      <x:c r="J119" s="117"/>
      <x:c r="K119" s="117"/>
      <x:c r="L119" s="117"/>
      <x:c r="M119" s="117"/>
      <x:c r="N119" s="117"/>
      <x:c r="O119" s="117"/>
      <x:c r="P119" s="117"/>
      <x:c r="Q119" s="117"/>
      <x:c r="R119" s="117"/>
      <x:c r="S119" s="117"/>
      <x:c r="T119" s="117"/>
      <x:c r="U119" s="117"/>
      <x:c r="V119" s="117"/>
      <x:c r="W119" s="117"/>
      <x:c r="X119" s="117"/>
      <x:c r="Y119" s="117"/>
      <x:c r="Z119" s="117"/>
    </x:row>
    <x:row r="120">
      <x:c r="A120" s="117"/>
      <x:c r="B120" s="117"/>
      <x:c r="C120" s="117"/>
      <x:c r="D120" s="117"/>
      <x:c r="E120" s="117"/>
      <x:c r="F120" s="117"/>
      <x:c r="G120" s="117"/>
      <x:c r="H120" s="117"/>
      <x:c r="I120" s="117"/>
      <x:c r="J120" s="117"/>
      <x:c r="K120" s="117"/>
      <x:c r="L120" s="117"/>
      <x:c r="M120" s="117"/>
      <x:c r="N120" s="117"/>
      <x:c r="O120" s="117"/>
      <x:c r="P120" s="117"/>
      <x:c r="Q120" s="117"/>
      <x:c r="R120" s="117"/>
      <x:c r="S120" s="117"/>
      <x:c r="T120" s="117"/>
      <x:c r="U120" s="117"/>
      <x:c r="V120" s="117"/>
      <x:c r="W120" s="117"/>
      <x:c r="X120" s="117"/>
      <x:c r="Y120" s="117"/>
      <x:c r="Z120" s="117"/>
    </x:row>
    <x:row r="121">
      <x:c r="A121" s="117"/>
      <x:c r="B121" s="117"/>
      <x:c r="C121" s="117"/>
      <x:c r="D121" s="117"/>
      <x:c r="E121" s="117"/>
      <x:c r="F121" s="117"/>
      <x:c r="G121" s="117"/>
      <x:c r="H121" s="117"/>
      <x:c r="I121" s="117"/>
      <x:c r="J121" s="117"/>
      <x:c r="K121" s="117"/>
      <x:c r="L121" s="117"/>
      <x:c r="M121" s="117"/>
      <x:c r="N121" s="117"/>
      <x:c r="O121" s="117"/>
      <x:c r="P121" s="117"/>
      <x:c r="Q121" s="117"/>
      <x:c r="R121" s="117"/>
      <x:c r="S121" s="117"/>
      <x:c r="T121" s="117"/>
      <x:c r="U121" s="117"/>
      <x:c r="V121" s="117"/>
      <x:c r="W121" s="117"/>
      <x:c r="X121" s="117"/>
      <x:c r="Y121" s="117"/>
      <x:c r="Z121" s="117"/>
    </x:row>
    <x:row r="122">
      <x:c r="A122" s="117"/>
      <x:c r="B122" s="117"/>
      <x:c r="C122" s="117"/>
      <x:c r="D122" s="117"/>
      <x:c r="E122" s="117"/>
      <x:c r="F122" s="117"/>
      <x:c r="G122" s="117"/>
      <x:c r="H122" s="117"/>
      <x:c r="I122" s="117"/>
      <x:c r="J122" s="117"/>
      <x:c r="K122" s="117"/>
      <x:c r="L122" s="117"/>
      <x:c r="M122" s="117"/>
      <x:c r="N122" s="117"/>
      <x:c r="O122" s="117"/>
      <x:c r="P122" s="117"/>
      <x:c r="Q122" s="117"/>
      <x:c r="R122" s="117"/>
      <x:c r="S122" s="117"/>
      <x:c r="T122" s="117"/>
      <x:c r="U122" s="117"/>
      <x:c r="V122" s="117"/>
      <x:c r="W122" s="117"/>
      <x:c r="X122" s="117"/>
      <x:c r="Y122" s="117"/>
      <x:c r="Z122" s="117"/>
    </x:row>
    <x:row r="123">
      <x:c r="A123" s="117"/>
      <x:c r="B123" s="117"/>
      <x:c r="C123" s="117"/>
      <x:c r="D123" s="117"/>
      <x:c r="E123" s="117"/>
      <x:c r="F123" s="117"/>
      <x:c r="G123" s="117"/>
      <x:c r="H123" s="117"/>
      <x:c r="I123" s="117"/>
      <x:c r="J123" s="117"/>
      <x:c r="K123" s="117"/>
      <x:c r="L123" s="117"/>
      <x:c r="M123" s="117"/>
      <x:c r="N123" s="117"/>
      <x:c r="O123" s="117"/>
      <x:c r="P123" s="117"/>
      <x:c r="Q123" s="117"/>
      <x:c r="R123" s="117"/>
      <x:c r="S123" s="117"/>
      <x:c r="T123" s="117"/>
      <x:c r="U123" s="117"/>
      <x:c r="V123" s="117"/>
      <x:c r="W123" s="117"/>
      <x:c r="X123" s="117"/>
      <x:c r="Y123" s="117"/>
      <x:c r="Z123" s="117"/>
    </x:row>
    <x:row r="124">
      <x:c r="A124" s="117"/>
      <x:c r="B124" s="117"/>
      <x:c r="C124" s="117"/>
      <x:c r="D124" s="117"/>
      <x:c r="E124" s="117"/>
      <x:c r="F124" s="117"/>
      <x:c r="G124" s="117"/>
      <x:c r="H124" s="117"/>
      <x:c r="I124" s="117"/>
      <x:c r="J124" s="117"/>
      <x:c r="K124" s="117"/>
      <x:c r="L124" s="117"/>
      <x:c r="M124" s="117"/>
      <x:c r="N124" s="117"/>
      <x:c r="O124" s="117"/>
      <x:c r="P124" s="117"/>
      <x:c r="Q124" s="117"/>
      <x:c r="R124" s="117"/>
      <x:c r="S124" s="117"/>
      <x:c r="T124" s="117"/>
      <x:c r="U124" s="117"/>
      <x:c r="V124" s="117"/>
      <x:c r="W124" s="117"/>
      <x:c r="X124" s="117"/>
      <x:c r="Y124" s="117"/>
      <x:c r="Z124" s="117"/>
    </x:row>
    <x:row r="125">
      <x:c r="A125" s="117"/>
      <x:c r="B125" s="117"/>
      <x:c r="C125" s="117"/>
      <x:c r="D125" s="117"/>
      <x:c r="E125" s="117"/>
      <x:c r="F125" s="117"/>
      <x:c r="G125" s="117"/>
      <x:c r="H125" s="117"/>
      <x:c r="I125" s="117"/>
      <x:c r="J125" s="117"/>
      <x:c r="K125" s="117"/>
      <x:c r="L125" s="117"/>
      <x:c r="M125" s="117"/>
      <x:c r="N125" s="117"/>
      <x:c r="O125" s="117"/>
      <x:c r="P125" s="117"/>
      <x:c r="Q125" s="117"/>
      <x:c r="R125" s="117"/>
      <x:c r="S125" s="117"/>
      <x:c r="T125" s="117"/>
      <x:c r="U125" s="117"/>
      <x:c r="V125" s="117"/>
      <x:c r="W125" s="117"/>
      <x:c r="X125" s="117"/>
      <x:c r="Y125" s="117"/>
      <x:c r="Z125" s="117"/>
    </x:row>
    <x:row r="126">
      <x:c r="A126" s="117"/>
      <x:c r="B126" s="117"/>
      <x:c r="C126" s="117"/>
      <x:c r="D126" s="117"/>
      <x:c r="E126" s="117"/>
      <x:c r="F126" s="117"/>
      <x:c r="G126" s="117"/>
      <x:c r="H126" s="117"/>
      <x:c r="I126" s="117"/>
      <x:c r="J126" s="117"/>
      <x:c r="K126" s="117"/>
      <x:c r="L126" s="117"/>
      <x:c r="M126" s="117"/>
      <x:c r="N126" s="117"/>
      <x:c r="O126" s="117"/>
      <x:c r="P126" s="117"/>
      <x:c r="Q126" s="117"/>
      <x:c r="R126" s="117"/>
      <x:c r="S126" s="117"/>
      <x:c r="T126" s="117"/>
      <x:c r="U126" s="117"/>
      <x:c r="V126" s="117"/>
      <x:c r="W126" s="117"/>
      <x:c r="X126" s="117"/>
      <x:c r="Y126" s="117"/>
      <x:c r="Z126" s="117"/>
    </x:row>
    <x:row r="127">
      <x:c r="A127" s="117"/>
      <x:c r="B127" s="117"/>
      <x:c r="C127" s="117"/>
      <x:c r="D127" s="117"/>
      <x:c r="E127" s="117"/>
      <x:c r="F127" s="117"/>
      <x:c r="G127" s="117"/>
      <x:c r="H127" s="117"/>
      <x:c r="I127" s="117"/>
      <x:c r="J127" s="117"/>
      <x:c r="K127" s="117"/>
      <x:c r="L127" s="117"/>
      <x:c r="M127" s="117"/>
      <x:c r="N127" s="117"/>
      <x:c r="O127" s="117"/>
      <x:c r="P127" s="117"/>
      <x:c r="Q127" s="117"/>
      <x:c r="R127" s="117"/>
      <x:c r="S127" s="117"/>
      <x:c r="T127" s="117"/>
      <x:c r="U127" s="117"/>
      <x:c r="V127" s="117"/>
      <x:c r="W127" s="117"/>
      <x:c r="X127" s="117"/>
      <x:c r="Y127" s="117"/>
      <x:c r="Z127" s="117"/>
    </x:row>
    <x:row r="128">
      <x:c r="A128" s="117"/>
      <x:c r="B128" s="117"/>
      <x:c r="C128" s="117"/>
      <x:c r="D128" s="117"/>
      <x:c r="E128" s="117"/>
      <x:c r="F128" s="117"/>
      <x:c r="G128" s="117"/>
      <x:c r="H128" s="117"/>
      <x:c r="I128" s="117"/>
      <x:c r="J128" s="117"/>
      <x:c r="K128" s="117"/>
      <x:c r="L128" s="117"/>
      <x:c r="M128" s="117"/>
      <x:c r="N128" s="117"/>
      <x:c r="O128" s="117"/>
      <x:c r="P128" s="117"/>
      <x:c r="Q128" s="117"/>
      <x:c r="R128" s="117"/>
      <x:c r="S128" s="117"/>
      <x:c r="T128" s="117"/>
      <x:c r="U128" s="117"/>
      <x:c r="V128" s="117"/>
      <x:c r="W128" s="117"/>
      <x:c r="X128" s="117"/>
      <x:c r="Y128" s="117"/>
      <x:c r="Z128" s="117"/>
    </x:row>
    <x:row r="129">
      <x:c r="A129" s="117"/>
      <x:c r="B129" s="117"/>
      <x:c r="C129" s="117"/>
      <x:c r="D129" s="117"/>
      <x:c r="E129" s="117"/>
      <x:c r="F129" s="117"/>
      <x:c r="G129" s="117"/>
      <x:c r="H129" s="117"/>
      <x:c r="I129" s="117"/>
      <x:c r="J129" s="117"/>
      <x:c r="K129" s="117"/>
      <x:c r="L129" s="117"/>
      <x:c r="M129" s="117"/>
      <x:c r="N129" s="117"/>
      <x:c r="O129" s="117"/>
      <x:c r="P129" s="117"/>
      <x:c r="Q129" s="117"/>
      <x:c r="R129" s="117"/>
      <x:c r="S129" s="117"/>
      <x:c r="T129" s="117"/>
      <x:c r="U129" s="117"/>
      <x:c r="V129" s="117"/>
      <x:c r="W129" s="117"/>
      <x:c r="X129" s="117"/>
      <x:c r="Y129" s="117"/>
      <x:c r="Z129" s="117"/>
    </x:row>
    <x:row r="130">
      <x:c r="A130" s="117"/>
      <x:c r="B130" s="117"/>
      <x:c r="C130" s="117"/>
      <x:c r="D130" s="117"/>
      <x:c r="E130" s="117"/>
      <x:c r="F130" s="117"/>
      <x:c r="G130" s="117"/>
      <x:c r="H130" s="117"/>
      <x:c r="I130" s="117"/>
      <x:c r="J130" s="117"/>
      <x:c r="K130" s="117"/>
      <x:c r="L130" s="117"/>
      <x:c r="M130" s="117"/>
      <x:c r="N130" s="117"/>
      <x:c r="O130" s="117"/>
      <x:c r="P130" s="117"/>
      <x:c r="Q130" s="117"/>
      <x:c r="R130" s="117"/>
      <x:c r="S130" s="117"/>
      <x:c r="T130" s="117"/>
      <x:c r="U130" s="117"/>
      <x:c r="V130" s="117"/>
      <x:c r="W130" s="117"/>
      <x:c r="X130" s="117"/>
      <x:c r="Y130" s="117"/>
      <x:c r="Z130" s="117"/>
    </x:row>
    <x:row r="131">
      <x:c r="A131" s="117"/>
      <x:c r="B131" s="117"/>
      <x:c r="C131" s="117"/>
      <x:c r="D131" s="117"/>
      <x:c r="E131" s="117"/>
      <x:c r="F131" s="117"/>
      <x:c r="G131" s="117"/>
      <x:c r="H131" s="117"/>
      <x:c r="I131" s="117"/>
      <x:c r="J131" s="117"/>
      <x:c r="K131" s="117"/>
      <x:c r="L131" s="117"/>
      <x:c r="M131" s="117"/>
      <x:c r="N131" s="117"/>
      <x:c r="O131" s="117"/>
      <x:c r="P131" s="117"/>
      <x:c r="Q131" s="117"/>
      <x:c r="R131" s="117"/>
      <x:c r="S131" s="117"/>
      <x:c r="T131" s="117"/>
      <x:c r="U131" s="117"/>
      <x:c r="V131" s="117"/>
      <x:c r="W131" s="117"/>
      <x:c r="X131" s="117"/>
      <x:c r="Y131" s="117"/>
      <x:c r="Z131" s="117"/>
    </x:row>
    <x:row r="132">
      <x:c r="A132" s="117"/>
      <x:c r="B132" s="117"/>
      <x:c r="C132" s="117"/>
      <x:c r="D132" s="117"/>
      <x:c r="E132" s="117"/>
      <x:c r="F132" s="117"/>
      <x:c r="G132" s="117"/>
      <x:c r="H132" s="117"/>
      <x:c r="I132" s="117"/>
      <x:c r="J132" s="117"/>
      <x:c r="K132" s="117"/>
      <x:c r="L132" s="117"/>
      <x:c r="M132" s="117"/>
      <x:c r="N132" s="117"/>
      <x:c r="O132" s="117"/>
      <x:c r="P132" s="117"/>
      <x:c r="Q132" s="117"/>
      <x:c r="R132" s="117"/>
      <x:c r="S132" s="117"/>
      <x:c r="T132" s="117"/>
      <x:c r="U132" s="117"/>
      <x:c r="V132" s="117"/>
      <x:c r="W132" s="117"/>
      <x:c r="X132" s="117"/>
      <x:c r="Y132" s="117"/>
      <x:c r="Z132" s="117"/>
    </x:row>
    <x:row r="133">
      <x:c r="A133" s="117"/>
      <x:c r="B133" s="117"/>
      <x:c r="C133" s="117"/>
      <x:c r="D133" s="117"/>
      <x:c r="E133" s="117"/>
      <x:c r="F133" s="117"/>
      <x:c r="G133" s="117"/>
      <x:c r="H133" s="117"/>
      <x:c r="I133" s="117"/>
      <x:c r="J133" s="117"/>
      <x:c r="K133" s="117"/>
      <x:c r="L133" s="117"/>
      <x:c r="M133" s="117"/>
      <x:c r="N133" s="117"/>
      <x:c r="O133" s="117"/>
      <x:c r="P133" s="117"/>
      <x:c r="Q133" s="117"/>
      <x:c r="R133" s="117"/>
      <x:c r="S133" s="117"/>
      <x:c r="T133" s="117"/>
      <x:c r="U133" s="117"/>
      <x:c r="V133" s="117"/>
      <x:c r="W133" s="117"/>
      <x:c r="X133" s="117"/>
      <x:c r="Y133" s="117"/>
      <x:c r="Z133" s="117"/>
    </x:row>
    <x:row r="134">
      <x:c r="A134" s="117"/>
      <x:c r="B134" s="117"/>
      <x:c r="C134" s="117"/>
      <x:c r="D134" s="117"/>
      <x:c r="E134" s="117"/>
      <x:c r="F134" s="117"/>
      <x:c r="G134" s="117"/>
      <x:c r="H134" s="117"/>
      <x:c r="I134" s="117"/>
      <x:c r="J134" s="117"/>
      <x:c r="K134" s="117"/>
      <x:c r="L134" s="117"/>
      <x:c r="M134" s="117"/>
      <x:c r="N134" s="117"/>
      <x:c r="O134" s="117"/>
      <x:c r="P134" s="117"/>
      <x:c r="Q134" s="117"/>
      <x:c r="R134" s="117"/>
      <x:c r="S134" s="117"/>
      <x:c r="T134" s="117"/>
      <x:c r="U134" s="117"/>
      <x:c r="V134" s="117"/>
      <x:c r="W134" s="117"/>
      <x:c r="X134" s="117"/>
      <x:c r="Y134" s="117"/>
      <x:c r="Z134" s="117"/>
    </x:row>
    <x:row r="135">
      <x:c r="A135" s="117"/>
      <x:c r="B135" s="117"/>
      <x:c r="C135" s="117"/>
      <x:c r="D135" s="117"/>
      <x:c r="E135" s="117"/>
      <x:c r="F135" s="117"/>
      <x:c r="G135" s="117"/>
      <x:c r="H135" s="117"/>
      <x:c r="I135" s="117"/>
      <x:c r="J135" s="117"/>
      <x:c r="K135" s="117"/>
      <x:c r="L135" s="117"/>
      <x:c r="M135" s="117"/>
      <x:c r="N135" s="117"/>
      <x:c r="O135" s="117"/>
      <x:c r="P135" s="117"/>
      <x:c r="Q135" s="117"/>
      <x:c r="R135" s="117"/>
      <x:c r="S135" s="117"/>
      <x:c r="T135" s="117"/>
      <x:c r="U135" s="117"/>
      <x:c r="V135" s="117"/>
      <x:c r="W135" s="117"/>
      <x:c r="X135" s="117"/>
      <x:c r="Y135" s="117"/>
      <x:c r="Z135" s="117"/>
    </x:row>
    <x:row r="136">
      <x:c r="A136" s="117"/>
      <x:c r="B136" s="117"/>
      <x:c r="C136" s="117"/>
      <x:c r="D136" s="117"/>
      <x:c r="E136" s="117"/>
      <x:c r="F136" s="117"/>
      <x:c r="G136" s="117"/>
      <x:c r="H136" s="117"/>
      <x:c r="I136" s="117"/>
      <x:c r="J136" s="117"/>
      <x:c r="K136" s="117"/>
      <x:c r="L136" s="117"/>
      <x:c r="M136" s="117"/>
      <x:c r="N136" s="117"/>
      <x:c r="O136" s="117"/>
      <x:c r="P136" s="117"/>
      <x:c r="Q136" s="117"/>
      <x:c r="R136" s="117"/>
      <x:c r="S136" s="117"/>
      <x:c r="T136" s="117"/>
      <x:c r="U136" s="117"/>
      <x:c r="V136" s="117"/>
      <x:c r="W136" s="117"/>
      <x:c r="X136" s="117"/>
      <x:c r="Y136" s="117"/>
      <x:c r="Z136" s="117"/>
    </x:row>
    <x:row r="137">
      <x:c r="A137" s="117"/>
      <x:c r="B137" s="117"/>
      <x:c r="C137" s="117"/>
      <x:c r="D137" s="117"/>
      <x:c r="E137" s="117"/>
      <x:c r="F137" s="117"/>
      <x:c r="G137" s="117"/>
      <x:c r="H137" s="117"/>
      <x:c r="I137" s="117"/>
      <x:c r="J137" s="117"/>
      <x:c r="K137" s="117"/>
      <x:c r="L137" s="117"/>
      <x:c r="M137" s="117"/>
      <x:c r="N137" s="117"/>
      <x:c r="O137" s="117"/>
      <x:c r="P137" s="117"/>
      <x:c r="Q137" s="117"/>
      <x:c r="R137" s="117"/>
      <x:c r="S137" s="117"/>
      <x:c r="T137" s="117"/>
      <x:c r="U137" s="117"/>
      <x:c r="V137" s="117"/>
      <x:c r="W137" s="117"/>
      <x:c r="X137" s="117"/>
      <x:c r="Y137" s="117"/>
      <x:c r="Z137" s="117"/>
    </x:row>
    <x:row r="138">
      <x:c r="A138" s="117"/>
      <x:c r="B138" s="117"/>
      <x:c r="C138" s="117"/>
      <x:c r="D138" s="117"/>
      <x:c r="E138" s="117"/>
      <x:c r="F138" s="117"/>
      <x:c r="G138" s="117"/>
      <x:c r="H138" s="117"/>
      <x:c r="I138" s="117"/>
      <x:c r="J138" s="117"/>
      <x:c r="K138" s="117"/>
      <x:c r="L138" s="117"/>
      <x:c r="M138" s="117"/>
      <x:c r="N138" s="117"/>
      <x:c r="O138" s="117"/>
      <x:c r="P138" s="117"/>
      <x:c r="Q138" s="117"/>
      <x:c r="R138" s="117"/>
      <x:c r="S138" s="117"/>
      <x:c r="T138" s="117"/>
      <x:c r="U138" s="117"/>
      <x:c r="V138" s="117"/>
      <x:c r="W138" s="117"/>
      <x:c r="X138" s="117"/>
      <x:c r="Y138" s="117"/>
      <x:c r="Z138" s="117"/>
    </x:row>
    <x:row r="139">
      <x:c r="A139" s="117"/>
      <x:c r="B139" s="117"/>
      <x:c r="C139" s="117"/>
      <x:c r="D139" s="117"/>
      <x:c r="E139" s="117"/>
      <x:c r="F139" s="117"/>
      <x:c r="G139" s="117"/>
      <x:c r="H139" s="117"/>
      <x:c r="I139" s="117"/>
      <x:c r="J139" s="117"/>
      <x:c r="K139" s="117"/>
      <x:c r="L139" s="117"/>
      <x:c r="M139" s="117"/>
      <x:c r="N139" s="117"/>
      <x:c r="O139" s="117"/>
      <x:c r="P139" s="117"/>
      <x:c r="Q139" s="117"/>
      <x:c r="R139" s="117"/>
      <x:c r="S139" s="117"/>
      <x:c r="T139" s="117"/>
      <x:c r="U139" s="117"/>
      <x:c r="V139" s="117"/>
      <x:c r="W139" s="117"/>
      <x:c r="X139" s="117"/>
      <x:c r="Y139" s="117"/>
      <x:c r="Z139" s="117"/>
    </x:row>
    <x:row r="140">
      <x:c r="A140" s="117"/>
      <x:c r="B140" s="117"/>
      <x:c r="C140" s="117"/>
      <x:c r="D140" s="117"/>
      <x:c r="E140" s="117"/>
      <x:c r="F140" s="117"/>
      <x:c r="G140" s="117"/>
      <x:c r="H140" s="117"/>
      <x:c r="I140" s="117"/>
      <x:c r="J140" s="117"/>
      <x:c r="K140" s="117"/>
      <x:c r="L140" s="117"/>
      <x:c r="M140" s="117"/>
      <x:c r="N140" s="117"/>
      <x:c r="O140" s="117"/>
      <x:c r="P140" s="117"/>
      <x:c r="Q140" s="117"/>
      <x:c r="R140" s="117"/>
      <x:c r="S140" s="117"/>
      <x:c r="T140" s="117"/>
      <x:c r="U140" s="117"/>
      <x:c r="V140" s="117"/>
      <x:c r="W140" s="117"/>
      <x:c r="X140" s="117"/>
      <x:c r="Y140" s="117"/>
      <x:c r="Z140" s="117"/>
    </x:row>
    <x:row r="141">
      <x:c r="A141" s="117"/>
      <x:c r="B141" s="117"/>
      <x:c r="C141" s="117"/>
      <x:c r="D141" s="117"/>
      <x:c r="E141" s="117"/>
      <x:c r="F141" s="117"/>
      <x:c r="G141" s="117"/>
      <x:c r="H141" s="117"/>
      <x:c r="I141" s="117"/>
      <x:c r="J141" s="117"/>
      <x:c r="K141" s="117"/>
      <x:c r="L141" s="117"/>
      <x:c r="M141" s="117"/>
      <x:c r="N141" s="117"/>
      <x:c r="O141" s="117"/>
      <x:c r="P141" s="117"/>
      <x:c r="Q141" s="117"/>
      <x:c r="R141" s="117"/>
      <x:c r="S141" s="117"/>
      <x:c r="T141" s="117"/>
      <x:c r="U141" s="117"/>
      <x:c r="V141" s="117"/>
      <x:c r="W141" s="117"/>
      <x:c r="X141" s="117"/>
      <x:c r="Y141" s="117"/>
      <x:c r="Z141" s="117"/>
    </x:row>
    <x:row r="142">
      <x:c r="A142" s="117"/>
      <x:c r="B142" s="117"/>
      <x:c r="C142" s="117"/>
      <x:c r="D142" s="117"/>
      <x:c r="E142" s="117"/>
      <x:c r="F142" s="117"/>
      <x:c r="G142" s="117"/>
      <x:c r="H142" s="117"/>
      <x:c r="I142" s="117"/>
      <x:c r="J142" s="117"/>
      <x:c r="K142" s="117"/>
      <x:c r="L142" s="117"/>
      <x:c r="M142" s="117"/>
      <x:c r="N142" s="117"/>
      <x:c r="O142" s="117"/>
      <x:c r="P142" s="117"/>
      <x:c r="Q142" s="117"/>
      <x:c r="R142" s="117"/>
      <x:c r="S142" s="117"/>
      <x:c r="T142" s="117"/>
      <x:c r="U142" s="117"/>
      <x:c r="V142" s="117"/>
      <x:c r="W142" s="117"/>
      <x:c r="X142" s="117"/>
      <x:c r="Y142" s="117"/>
      <x:c r="Z142" s="117"/>
    </x:row>
    <x:row r="143">
      <x:c r="A143" s="117"/>
      <x:c r="B143" s="117"/>
      <x:c r="C143" s="117"/>
      <x:c r="D143" s="117"/>
      <x:c r="E143" s="117"/>
      <x:c r="F143" s="117"/>
      <x:c r="G143" s="117"/>
      <x:c r="H143" s="117"/>
      <x:c r="I143" s="117"/>
      <x:c r="J143" s="117"/>
      <x:c r="K143" s="117"/>
      <x:c r="L143" s="117"/>
      <x:c r="M143" s="117"/>
      <x:c r="N143" s="117"/>
      <x:c r="O143" s="117"/>
      <x:c r="P143" s="117"/>
      <x:c r="Q143" s="117"/>
      <x:c r="R143" s="117"/>
      <x:c r="S143" s="117"/>
      <x:c r="T143" s="117"/>
      <x:c r="U143" s="117"/>
      <x:c r="V143" s="117"/>
      <x:c r="W143" s="117"/>
      <x:c r="X143" s="117"/>
      <x:c r="Y143" s="117"/>
      <x:c r="Z143" s="117"/>
    </x:row>
    <x:row r="144">
      <x:c r="A144" s="117"/>
      <x:c r="B144" s="117"/>
      <x:c r="C144" s="117"/>
      <x:c r="D144" s="117"/>
      <x:c r="E144" s="117"/>
      <x:c r="F144" s="117"/>
      <x:c r="G144" s="117"/>
      <x:c r="H144" s="117"/>
      <x:c r="I144" s="117"/>
      <x:c r="J144" s="117"/>
      <x:c r="K144" s="117"/>
      <x:c r="L144" s="117"/>
      <x:c r="M144" s="117"/>
      <x:c r="N144" s="117"/>
      <x:c r="O144" s="117"/>
      <x:c r="P144" s="117"/>
      <x:c r="Q144" s="117"/>
      <x:c r="R144" s="117"/>
      <x:c r="S144" s="117"/>
      <x:c r="T144" s="117"/>
      <x:c r="U144" s="117"/>
      <x:c r="V144" s="117"/>
      <x:c r="W144" s="117"/>
      <x:c r="X144" s="117"/>
      <x:c r="Y144" s="117"/>
      <x:c r="Z144" s="117"/>
    </x:row>
    <x:row r="145">
      <x:c r="A145" s="117"/>
      <x:c r="B145" s="117"/>
      <x:c r="C145" s="117"/>
      <x:c r="D145" s="117"/>
      <x:c r="E145" s="117"/>
      <x:c r="F145" s="117"/>
      <x:c r="G145" s="117"/>
      <x:c r="H145" s="117"/>
      <x:c r="I145" s="117"/>
      <x:c r="J145" s="117"/>
      <x:c r="K145" s="117"/>
      <x:c r="L145" s="117"/>
      <x:c r="M145" s="117"/>
      <x:c r="N145" s="117"/>
      <x:c r="O145" s="117"/>
      <x:c r="P145" s="117"/>
      <x:c r="Q145" s="117"/>
      <x:c r="R145" s="117"/>
      <x:c r="S145" s="117"/>
      <x:c r="T145" s="117"/>
      <x:c r="U145" s="117"/>
      <x:c r="V145" s="117"/>
      <x:c r="W145" s="117"/>
      <x:c r="X145" s="117"/>
      <x:c r="Y145" s="117"/>
      <x:c r="Z145" s="117"/>
    </x:row>
    <x:row r="146">
      <x:c r="A146" s="117"/>
      <x:c r="B146" s="117"/>
      <x:c r="C146" s="117"/>
      <x:c r="D146" s="117"/>
      <x:c r="E146" s="117"/>
      <x:c r="F146" s="117"/>
      <x:c r="G146" s="117"/>
      <x:c r="H146" s="117"/>
      <x:c r="I146" s="117"/>
      <x:c r="J146" s="117"/>
      <x:c r="K146" s="117"/>
      <x:c r="L146" s="117"/>
      <x:c r="M146" s="117"/>
      <x:c r="N146" s="117"/>
      <x:c r="O146" s="117"/>
      <x:c r="P146" s="117"/>
      <x:c r="Q146" s="117"/>
      <x:c r="R146" s="117"/>
      <x:c r="S146" s="117"/>
      <x:c r="T146" s="117"/>
      <x:c r="U146" s="117"/>
      <x:c r="V146" s="117"/>
      <x:c r="W146" s="117"/>
      <x:c r="X146" s="117"/>
      <x:c r="Y146" s="117"/>
      <x:c r="Z146" s="117"/>
    </x:row>
    <x:row r="147">
      <x:c r="A147" s="117"/>
      <x:c r="B147" s="117"/>
      <x:c r="C147" s="117"/>
      <x:c r="D147" s="117"/>
      <x:c r="E147" s="117"/>
      <x:c r="F147" s="117"/>
      <x:c r="G147" s="117"/>
      <x:c r="H147" s="117"/>
      <x:c r="I147" s="117"/>
      <x:c r="J147" s="117"/>
      <x:c r="K147" s="117"/>
      <x:c r="L147" s="117"/>
      <x:c r="M147" s="117"/>
      <x:c r="N147" s="117"/>
      <x:c r="O147" s="117"/>
      <x:c r="P147" s="117"/>
      <x:c r="Q147" s="117"/>
      <x:c r="R147" s="117"/>
      <x:c r="S147" s="117"/>
      <x:c r="T147" s="117"/>
      <x:c r="U147" s="117"/>
      <x:c r="V147" s="117"/>
      <x:c r="W147" s="117"/>
      <x:c r="X147" s="117"/>
      <x:c r="Y147" s="117"/>
      <x:c r="Z147" s="117"/>
    </x:row>
    <x:row r="148">
      <x:c r="A148" s="117"/>
      <x:c r="B148" s="117"/>
      <x:c r="C148" s="117"/>
      <x:c r="D148" s="117"/>
      <x:c r="E148" s="117"/>
      <x:c r="F148" s="117"/>
      <x:c r="G148" s="117"/>
      <x:c r="H148" s="117"/>
      <x:c r="I148" s="117"/>
      <x:c r="J148" s="117"/>
      <x:c r="K148" s="117"/>
      <x:c r="L148" s="117"/>
      <x:c r="M148" s="117"/>
      <x:c r="N148" s="117"/>
      <x:c r="O148" s="117"/>
      <x:c r="P148" s="117"/>
      <x:c r="Q148" s="117"/>
      <x:c r="R148" s="117"/>
      <x:c r="S148" s="117"/>
      <x:c r="T148" s="117"/>
      <x:c r="U148" s="117"/>
      <x:c r="V148" s="117"/>
      <x:c r="W148" s="117"/>
      <x:c r="X148" s="117"/>
      <x:c r="Y148" s="117"/>
      <x:c r="Z148" s="117"/>
    </x:row>
    <x:row r="149">
      <x:c r="A149" s="117"/>
      <x:c r="B149" s="117"/>
      <x:c r="C149" s="117"/>
      <x:c r="D149" s="117"/>
      <x:c r="E149" s="117"/>
      <x:c r="F149" s="117"/>
      <x:c r="G149" s="117"/>
      <x:c r="H149" s="117"/>
      <x:c r="I149" s="117"/>
      <x:c r="J149" s="117"/>
      <x:c r="K149" s="117"/>
      <x:c r="L149" s="117"/>
      <x:c r="M149" s="117"/>
      <x:c r="N149" s="117"/>
      <x:c r="O149" s="117"/>
      <x:c r="P149" s="117"/>
      <x:c r="Q149" s="117"/>
      <x:c r="R149" s="117"/>
      <x:c r="S149" s="117"/>
      <x:c r="T149" s="117"/>
      <x:c r="U149" s="117"/>
      <x:c r="V149" s="117"/>
      <x:c r="W149" s="117"/>
      <x:c r="X149" s="117"/>
      <x:c r="Y149" s="117"/>
      <x:c r="Z149" s="117"/>
    </x:row>
    <x:row r="150">
      <x:c r="A150" s="117"/>
      <x:c r="B150" s="117"/>
      <x:c r="C150" s="117"/>
      <x:c r="D150" s="117"/>
      <x:c r="E150" s="117"/>
      <x:c r="F150" s="117"/>
      <x:c r="G150" s="117"/>
      <x:c r="H150" s="117"/>
      <x:c r="I150" s="117"/>
      <x:c r="J150" s="117"/>
      <x:c r="K150" s="117"/>
      <x:c r="L150" s="117"/>
      <x:c r="M150" s="117"/>
      <x:c r="N150" s="117"/>
      <x:c r="O150" s="117"/>
      <x:c r="P150" s="117"/>
      <x:c r="Q150" s="117"/>
      <x:c r="R150" s="117"/>
      <x:c r="S150" s="117"/>
      <x:c r="T150" s="117"/>
      <x:c r="U150" s="117"/>
      <x:c r="V150" s="117"/>
      <x:c r="W150" s="117"/>
      <x:c r="X150" s="117"/>
      <x:c r="Y150" s="117"/>
      <x:c r="Z150" s="117"/>
    </x:row>
    <x:row r="151">
      <x:c r="A151" s="117"/>
      <x:c r="B151" s="117"/>
      <x:c r="C151" s="117"/>
      <x:c r="D151" s="117"/>
      <x:c r="E151" s="117"/>
      <x:c r="F151" s="117"/>
      <x:c r="G151" s="117"/>
      <x:c r="H151" s="117"/>
      <x:c r="I151" s="117"/>
      <x:c r="J151" s="117"/>
      <x:c r="K151" s="117"/>
      <x:c r="L151" s="117"/>
      <x:c r="M151" s="117"/>
      <x:c r="N151" s="117"/>
      <x:c r="O151" s="117"/>
      <x:c r="P151" s="117"/>
      <x:c r="Q151" s="117"/>
      <x:c r="R151" s="117"/>
      <x:c r="S151" s="117"/>
      <x:c r="T151" s="117"/>
      <x:c r="U151" s="117"/>
      <x:c r="V151" s="117"/>
      <x:c r="W151" s="117"/>
      <x:c r="X151" s="117"/>
      <x:c r="Y151" s="117"/>
      <x:c r="Z151" s="117"/>
    </x:row>
    <x:row r="152">
      <x:c r="A152" s="117"/>
      <x:c r="B152" s="117"/>
      <x:c r="C152" s="117"/>
      <x:c r="D152" s="117"/>
      <x:c r="E152" s="117"/>
      <x:c r="F152" s="117"/>
      <x:c r="G152" s="117"/>
      <x:c r="H152" s="117"/>
      <x:c r="I152" s="117"/>
      <x:c r="J152" s="117"/>
      <x:c r="K152" s="117"/>
      <x:c r="L152" s="117"/>
      <x:c r="M152" s="117"/>
      <x:c r="N152" s="117"/>
      <x:c r="O152" s="117"/>
      <x:c r="P152" s="117"/>
      <x:c r="Q152" s="117"/>
      <x:c r="R152" s="117"/>
      <x:c r="S152" s="117"/>
      <x:c r="T152" s="117"/>
      <x:c r="U152" s="117"/>
      <x:c r="V152" s="117"/>
      <x:c r="W152" s="117"/>
      <x:c r="X152" s="117"/>
      <x:c r="Y152" s="117"/>
      <x:c r="Z152" s="117"/>
    </x:row>
    <x:row r="153">
      <x:c r="A153" s="117"/>
      <x:c r="B153" s="117"/>
      <x:c r="C153" s="117"/>
      <x:c r="D153" s="117"/>
      <x:c r="E153" s="117"/>
      <x:c r="F153" s="117"/>
      <x:c r="G153" s="117"/>
      <x:c r="H153" s="117"/>
      <x:c r="I153" s="117"/>
      <x:c r="J153" s="117"/>
      <x:c r="K153" s="117"/>
      <x:c r="L153" s="117"/>
      <x:c r="M153" s="117"/>
      <x:c r="N153" s="117"/>
      <x:c r="O153" s="117"/>
      <x:c r="P153" s="117"/>
      <x:c r="Q153" s="117"/>
      <x:c r="R153" s="117"/>
      <x:c r="S153" s="117"/>
      <x:c r="T153" s="117"/>
      <x:c r="U153" s="117"/>
      <x:c r="V153" s="117"/>
      <x:c r="W153" s="117"/>
      <x:c r="X153" s="117"/>
      <x:c r="Y153" s="117"/>
      <x:c r="Z153" s="117"/>
    </x:row>
    <x:row r="154">
      <x:c r="A154" s="117"/>
      <x:c r="B154" s="117"/>
      <x:c r="C154" s="117"/>
      <x:c r="D154" s="117"/>
      <x:c r="E154" s="117"/>
      <x:c r="F154" s="117"/>
      <x:c r="G154" s="117"/>
      <x:c r="H154" s="117"/>
      <x:c r="I154" s="117"/>
      <x:c r="J154" s="117"/>
      <x:c r="K154" s="117"/>
      <x:c r="L154" s="117"/>
      <x:c r="M154" s="117"/>
      <x:c r="N154" s="117"/>
      <x:c r="O154" s="117"/>
      <x:c r="P154" s="117"/>
      <x:c r="Q154" s="117"/>
      <x:c r="R154" s="117"/>
      <x:c r="S154" s="117"/>
      <x:c r="T154" s="117"/>
      <x:c r="U154" s="117"/>
      <x:c r="V154" s="117"/>
      <x:c r="W154" s="117"/>
      <x:c r="X154" s="117"/>
      <x:c r="Y154" s="117"/>
      <x:c r="Z154" s="117"/>
    </x:row>
    <x:row r="155">
      <x:c r="A155" s="117"/>
      <x:c r="B155" s="117"/>
      <x:c r="C155" s="117"/>
      <x:c r="D155" s="117"/>
      <x:c r="E155" s="117"/>
      <x:c r="F155" s="117"/>
      <x:c r="G155" s="117"/>
      <x:c r="H155" s="117"/>
      <x:c r="I155" s="117"/>
      <x:c r="J155" s="117"/>
      <x:c r="K155" s="117"/>
      <x:c r="L155" s="117"/>
      <x:c r="M155" s="117"/>
      <x:c r="N155" s="117"/>
      <x:c r="O155" s="117"/>
      <x:c r="P155" s="117"/>
      <x:c r="Q155" s="117"/>
      <x:c r="R155" s="117"/>
      <x:c r="S155" s="117"/>
      <x:c r="T155" s="117"/>
      <x:c r="U155" s="117"/>
      <x:c r="V155" s="117"/>
      <x:c r="W155" s="117"/>
      <x:c r="X155" s="117"/>
      <x:c r="Y155" s="117"/>
      <x:c r="Z155" s="117"/>
    </x:row>
    <x:row r="156">
      <x:c r="A156" s="117"/>
      <x:c r="B156" s="117"/>
      <x:c r="C156" s="117"/>
      <x:c r="D156" s="117"/>
      <x:c r="E156" s="117"/>
      <x:c r="F156" s="117"/>
      <x:c r="G156" s="117"/>
      <x:c r="H156" s="117"/>
      <x:c r="I156" s="117"/>
      <x:c r="J156" s="117"/>
      <x:c r="K156" s="117"/>
      <x:c r="L156" s="117"/>
      <x:c r="M156" s="117"/>
      <x:c r="N156" s="117"/>
      <x:c r="O156" s="117"/>
      <x:c r="P156" s="117"/>
      <x:c r="Q156" s="117"/>
      <x:c r="R156" s="117"/>
      <x:c r="S156" s="117"/>
      <x:c r="T156" s="117"/>
      <x:c r="U156" s="117"/>
      <x:c r="V156" s="117"/>
      <x:c r="W156" s="117"/>
      <x:c r="X156" s="117"/>
      <x:c r="Y156" s="117"/>
      <x:c r="Z156" s="117"/>
    </x:row>
    <x:row r="157">
      <x:c r="A157" s="117"/>
      <x:c r="B157" s="117"/>
      <x:c r="C157" s="117"/>
      <x:c r="D157" s="117"/>
      <x:c r="E157" s="117"/>
      <x:c r="F157" s="117"/>
      <x:c r="G157" s="117"/>
      <x:c r="H157" s="117"/>
      <x:c r="I157" s="117"/>
      <x:c r="J157" s="117"/>
      <x:c r="K157" s="117"/>
      <x:c r="L157" s="117"/>
      <x:c r="M157" s="117"/>
      <x:c r="N157" s="117"/>
      <x:c r="O157" s="117"/>
      <x:c r="P157" s="117"/>
      <x:c r="Q157" s="117"/>
      <x:c r="R157" s="117"/>
      <x:c r="S157" s="117"/>
      <x:c r="T157" s="117"/>
      <x:c r="U157" s="117"/>
      <x:c r="V157" s="117"/>
      <x:c r="W157" s="117"/>
      <x:c r="X157" s="117"/>
      <x:c r="Y157" s="117"/>
      <x:c r="Z157" s="117"/>
    </x:row>
    <x:row r="158">
      <x:c r="A158" s="117"/>
      <x:c r="B158" s="117"/>
      <x:c r="C158" s="117"/>
      <x:c r="D158" s="117"/>
      <x:c r="E158" s="117"/>
      <x:c r="F158" s="117"/>
      <x:c r="G158" s="117"/>
      <x:c r="H158" s="117"/>
      <x:c r="I158" s="117"/>
      <x:c r="J158" s="117"/>
      <x:c r="K158" s="117"/>
      <x:c r="L158" s="117"/>
      <x:c r="M158" s="117"/>
      <x:c r="N158" s="117"/>
      <x:c r="O158" s="117"/>
      <x:c r="P158" s="117"/>
      <x:c r="Q158" s="117"/>
      <x:c r="R158" s="117"/>
      <x:c r="S158" s="117"/>
      <x:c r="T158" s="117"/>
      <x:c r="U158" s="117"/>
      <x:c r="V158" s="117"/>
      <x:c r="W158" s="117"/>
      <x:c r="X158" s="117"/>
      <x:c r="Y158" s="117"/>
      <x:c r="Z158" s="117"/>
    </x:row>
    <x:row r="159">
      <x:c r="A159" s="117"/>
      <x:c r="B159" s="117"/>
      <x:c r="C159" s="117"/>
      <x:c r="D159" s="117"/>
      <x:c r="E159" s="117"/>
      <x:c r="F159" s="117"/>
      <x:c r="G159" s="117"/>
      <x:c r="H159" s="117"/>
      <x:c r="I159" s="117"/>
      <x:c r="J159" s="117"/>
      <x:c r="K159" s="117"/>
      <x:c r="L159" s="117"/>
      <x:c r="M159" s="117"/>
      <x:c r="N159" s="117"/>
      <x:c r="O159" s="117"/>
      <x:c r="P159" s="117"/>
      <x:c r="Q159" s="117"/>
      <x:c r="R159" s="117"/>
      <x:c r="S159" s="117"/>
      <x:c r="T159" s="117"/>
      <x:c r="U159" s="117"/>
      <x:c r="V159" s="117"/>
      <x:c r="W159" s="117"/>
      <x:c r="X159" s="117"/>
      <x:c r="Y159" s="117"/>
      <x:c r="Z159" s="117"/>
    </x:row>
    <x:row r="160">
      <x:c r="A160" s="117"/>
      <x:c r="B160" s="117"/>
      <x:c r="C160" s="117"/>
      <x:c r="D160" s="117"/>
      <x:c r="E160" s="117"/>
      <x:c r="F160" s="117"/>
      <x:c r="G160" s="117"/>
      <x:c r="H160" s="117"/>
      <x:c r="I160" s="117"/>
      <x:c r="J160" s="117"/>
      <x:c r="K160" s="117"/>
      <x:c r="L160" s="117"/>
      <x:c r="M160" s="117"/>
      <x:c r="N160" s="117"/>
      <x:c r="O160" s="117"/>
      <x:c r="P160" s="117"/>
      <x:c r="Q160" s="117"/>
      <x:c r="R160" s="117"/>
      <x:c r="S160" s="117"/>
      <x:c r="T160" s="117"/>
      <x:c r="U160" s="117"/>
      <x:c r="V160" s="117"/>
      <x:c r="W160" s="117"/>
      <x:c r="X160" s="117"/>
      <x:c r="Y160" s="117"/>
      <x:c r="Z160" s="117"/>
    </x:row>
    <x:row r="161">
      <x:c r="A161" s="117"/>
      <x:c r="B161" s="117"/>
      <x:c r="C161" s="117"/>
      <x:c r="D161" s="117"/>
      <x:c r="E161" s="117"/>
      <x:c r="F161" s="117"/>
      <x:c r="G161" s="117"/>
      <x:c r="H161" s="117"/>
      <x:c r="I161" s="117"/>
      <x:c r="J161" s="117"/>
      <x:c r="K161" s="117"/>
      <x:c r="L161" s="117"/>
      <x:c r="M161" s="117"/>
      <x:c r="N161" s="117"/>
      <x:c r="O161" s="117"/>
      <x:c r="P161" s="117"/>
      <x:c r="Q161" s="117"/>
      <x:c r="R161" s="117"/>
      <x:c r="S161" s="117"/>
      <x:c r="T161" s="117"/>
      <x:c r="U161" s="117"/>
      <x:c r="V161" s="117"/>
      <x:c r="W161" s="117"/>
      <x:c r="X161" s="117"/>
      <x:c r="Y161" s="117"/>
      <x:c r="Z161" s="117"/>
    </x:row>
    <x:row r="162">
      <x:c r="A162" s="117"/>
      <x:c r="B162" s="117"/>
      <x:c r="C162" s="117"/>
      <x:c r="D162" s="117"/>
      <x:c r="E162" s="117"/>
      <x:c r="F162" s="117"/>
      <x:c r="G162" s="117"/>
      <x:c r="H162" s="117"/>
      <x:c r="I162" s="117"/>
      <x:c r="J162" s="117"/>
      <x:c r="K162" s="117"/>
      <x:c r="L162" s="117"/>
      <x:c r="M162" s="117"/>
      <x:c r="N162" s="117"/>
      <x:c r="O162" s="117"/>
      <x:c r="P162" s="117"/>
      <x:c r="Q162" s="117"/>
      <x:c r="R162" s="117"/>
      <x:c r="S162" s="117"/>
      <x:c r="T162" s="117"/>
      <x:c r="U162" s="117"/>
      <x:c r="V162" s="117"/>
      <x:c r="W162" s="117"/>
      <x:c r="X162" s="117"/>
      <x:c r="Y162" s="117"/>
      <x:c r="Z162" s="117"/>
    </x:row>
    <x:row r="163">
      <x:c r="A163" s="117"/>
      <x:c r="B163" s="117"/>
      <x:c r="C163" s="117"/>
      <x:c r="D163" s="117"/>
      <x:c r="E163" s="117"/>
      <x:c r="F163" s="117"/>
      <x:c r="G163" s="117"/>
      <x:c r="H163" s="117"/>
      <x:c r="I163" s="117"/>
      <x:c r="J163" s="117"/>
      <x:c r="K163" s="117"/>
      <x:c r="L163" s="117"/>
      <x:c r="M163" s="117"/>
      <x:c r="N163" s="117"/>
      <x:c r="O163" s="117"/>
      <x:c r="P163" s="117"/>
      <x:c r="Q163" s="117"/>
      <x:c r="R163" s="117"/>
      <x:c r="S163" s="117"/>
      <x:c r="T163" s="117"/>
      <x:c r="U163" s="117"/>
      <x:c r="V163" s="117"/>
      <x:c r="W163" s="117"/>
      <x:c r="X163" s="117"/>
      <x:c r="Y163" s="117"/>
      <x:c r="Z163" s="117"/>
    </x:row>
    <x:row r="164">
      <x:c r="A164" s="117"/>
      <x:c r="B164" s="117"/>
      <x:c r="C164" s="117"/>
      <x:c r="D164" s="117"/>
      <x:c r="E164" s="117"/>
      <x:c r="F164" s="117"/>
      <x:c r="G164" s="117"/>
      <x:c r="H164" s="117"/>
      <x:c r="I164" s="117"/>
      <x:c r="J164" s="117"/>
      <x:c r="K164" s="117"/>
      <x:c r="L164" s="117"/>
      <x:c r="M164" s="117"/>
      <x:c r="N164" s="117"/>
      <x:c r="O164" s="117"/>
      <x:c r="P164" s="117"/>
      <x:c r="Q164" s="117"/>
      <x:c r="R164" s="117"/>
      <x:c r="S164" s="117"/>
      <x:c r="T164" s="117"/>
      <x:c r="U164" s="117"/>
      <x:c r="V164" s="117"/>
      <x:c r="W164" s="117"/>
      <x:c r="X164" s="117"/>
      <x:c r="Y164" s="117"/>
      <x:c r="Z164" s="117"/>
    </x:row>
    <x:row r="165">
      <x:c r="A165" s="117"/>
      <x:c r="B165" s="117"/>
      <x:c r="C165" s="117"/>
      <x:c r="D165" s="117"/>
      <x:c r="E165" s="117"/>
      <x:c r="F165" s="117"/>
      <x:c r="G165" s="117"/>
      <x:c r="H165" s="117"/>
      <x:c r="I165" s="117"/>
      <x:c r="J165" s="117"/>
      <x:c r="K165" s="117"/>
      <x:c r="L165" s="117"/>
      <x:c r="M165" s="117"/>
      <x:c r="N165" s="117"/>
      <x:c r="O165" s="117"/>
      <x:c r="P165" s="117"/>
      <x:c r="Q165" s="117"/>
      <x:c r="R165" s="117"/>
      <x:c r="S165" s="117"/>
      <x:c r="T165" s="117"/>
      <x:c r="U165" s="117"/>
      <x:c r="V165" s="117"/>
      <x:c r="W165" s="117"/>
      <x:c r="X165" s="117"/>
      <x:c r="Y165" s="117"/>
      <x:c r="Z165" s="117"/>
    </x:row>
    <x:row r="166">
      <x:c r="A166" s="117"/>
      <x:c r="B166" s="117"/>
      <x:c r="C166" s="117"/>
      <x:c r="D166" s="117"/>
      <x:c r="E166" s="117"/>
      <x:c r="F166" s="117"/>
      <x:c r="G166" s="117"/>
      <x:c r="H166" s="117"/>
      <x:c r="I166" s="117"/>
      <x:c r="J166" s="117"/>
      <x:c r="K166" s="117"/>
      <x:c r="L166" s="117"/>
      <x:c r="M166" s="117"/>
      <x:c r="N166" s="117"/>
      <x:c r="O166" s="117"/>
      <x:c r="P166" s="117"/>
      <x:c r="Q166" s="117"/>
      <x:c r="R166" s="117"/>
      <x:c r="S166" s="117"/>
      <x:c r="T166" s="117"/>
      <x:c r="U166" s="117"/>
      <x:c r="V166" s="117"/>
      <x:c r="W166" s="117"/>
      <x:c r="X166" s="117"/>
      <x:c r="Y166" s="117"/>
      <x:c r="Z166" s="117"/>
    </x:row>
    <x:row r="167">
      <x:c r="A167" s="117"/>
      <x:c r="B167" s="117"/>
      <x:c r="C167" s="117"/>
      <x:c r="D167" s="117"/>
      <x:c r="E167" s="117"/>
      <x:c r="F167" s="117"/>
      <x:c r="G167" s="117"/>
      <x:c r="H167" s="117"/>
      <x:c r="I167" s="117"/>
      <x:c r="J167" s="117"/>
      <x:c r="K167" s="117"/>
      <x:c r="L167" s="117"/>
      <x:c r="M167" s="117"/>
      <x:c r="N167" s="117"/>
      <x:c r="O167" s="117"/>
      <x:c r="P167" s="117"/>
      <x:c r="Q167" s="117"/>
      <x:c r="R167" s="117"/>
      <x:c r="S167" s="117"/>
      <x:c r="T167" s="117"/>
      <x:c r="U167" s="117"/>
      <x:c r="V167" s="117"/>
      <x:c r="W167" s="117"/>
      <x:c r="X167" s="117"/>
      <x:c r="Y167" s="117"/>
      <x:c r="Z167" s="117"/>
    </x:row>
    <x:row r="168">
      <x:c r="A168" s="117"/>
      <x:c r="B168" s="117"/>
      <x:c r="C168" s="117"/>
      <x:c r="D168" s="117"/>
      <x:c r="E168" s="117"/>
      <x:c r="F168" s="117"/>
      <x:c r="G168" s="117"/>
      <x:c r="H168" s="117"/>
      <x:c r="I168" s="117"/>
      <x:c r="J168" s="117"/>
      <x:c r="K168" s="117"/>
      <x:c r="L168" s="117"/>
      <x:c r="M168" s="117"/>
      <x:c r="N168" s="117"/>
      <x:c r="O168" s="117"/>
      <x:c r="P168" s="117"/>
      <x:c r="Q168" s="117"/>
      <x:c r="R168" s="117"/>
      <x:c r="S168" s="117"/>
      <x:c r="T168" s="117"/>
      <x:c r="U168" s="117"/>
      <x:c r="V168" s="117"/>
      <x:c r="W168" s="117"/>
      <x:c r="X168" s="117"/>
      <x:c r="Y168" s="117"/>
      <x:c r="Z168" s="117"/>
    </x:row>
    <x:row r="169">
      <x:c r="A169" s="117"/>
      <x:c r="B169" s="117"/>
      <x:c r="C169" s="117"/>
      <x:c r="D169" s="117"/>
      <x:c r="E169" s="117"/>
      <x:c r="F169" s="117"/>
      <x:c r="G169" s="117"/>
      <x:c r="H169" s="117"/>
      <x:c r="I169" s="117"/>
      <x:c r="J169" s="117"/>
      <x:c r="K169" s="117"/>
      <x:c r="L169" s="117"/>
      <x:c r="M169" s="117"/>
      <x:c r="N169" s="117"/>
      <x:c r="O169" s="117"/>
      <x:c r="P169" s="117"/>
      <x:c r="Q169" s="117"/>
      <x:c r="R169" s="117"/>
      <x:c r="S169" s="117"/>
      <x:c r="T169" s="117"/>
      <x:c r="U169" s="117"/>
      <x:c r="V169" s="117"/>
      <x:c r="W169" s="117"/>
      <x:c r="X169" s="117"/>
      <x:c r="Y169" s="117"/>
      <x:c r="Z169" s="117"/>
    </x:row>
    <x:row r="170">
      <x:c r="A170" s="117"/>
      <x:c r="B170" s="117"/>
      <x:c r="C170" s="117"/>
      <x:c r="D170" s="117"/>
      <x:c r="E170" s="117"/>
      <x:c r="F170" s="117"/>
      <x:c r="G170" s="117"/>
      <x:c r="H170" s="117"/>
      <x:c r="I170" s="117"/>
      <x:c r="J170" s="117"/>
      <x:c r="K170" s="117"/>
      <x:c r="L170" s="117"/>
      <x:c r="M170" s="117"/>
      <x:c r="N170" s="117"/>
      <x:c r="O170" s="117"/>
      <x:c r="P170" s="117"/>
      <x:c r="Q170" s="117"/>
      <x:c r="R170" s="117"/>
      <x:c r="S170" s="117"/>
      <x:c r="T170" s="117"/>
      <x:c r="U170" s="117"/>
      <x:c r="V170" s="117"/>
      <x:c r="W170" s="117"/>
      <x:c r="X170" s="117"/>
      <x:c r="Y170" s="117"/>
      <x:c r="Z170" s="117"/>
    </x:row>
    <x:row r="171">
      <x:c r="A171" s="117"/>
      <x:c r="B171" s="117"/>
      <x:c r="C171" s="117"/>
      <x:c r="D171" s="117"/>
      <x:c r="E171" s="117"/>
      <x:c r="F171" s="117"/>
      <x:c r="G171" s="117"/>
      <x:c r="H171" s="117"/>
      <x:c r="I171" s="117"/>
      <x:c r="J171" s="117"/>
      <x:c r="K171" s="117"/>
      <x:c r="L171" s="117"/>
      <x:c r="M171" s="117"/>
      <x:c r="N171" s="117"/>
      <x:c r="O171" s="117"/>
      <x:c r="P171" s="117"/>
      <x:c r="Q171" s="117"/>
      <x:c r="R171" s="117"/>
      <x:c r="S171" s="117"/>
      <x:c r="T171" s="117"/>
      <x:c r="U171" s="117"/>
      <x:c r="V171" s="117"/>
      <x:c r="W171" s="117"/>
      <x:c r="X171" s="117"/>
      <x:c r="Y171" s="117"/>
      <x:c r="Z171" s="117"/>
    </x:row>
    <x:row r="172">
      <x:c r="A172" s="117"/>
      <x:c r="B172" s="117"/>
      <x:c r="C172" s="117"/>
      <x:c r="D172" s="117"/>
      <x:c r="E172" s="117"/>
      <x:c r="F172" s="117"/>
      <x:c r="G172" s="117"/>
      <x:c r="H172" s="117"/>
      <x:c r="I172" s="117"/>
      <x:c r="J172" s="117"/>
      <x:c r="K172" s="117"/>
      <x:c r="L172" s="117"/>
      <x:c r="M172" s="117"/>
      <x:c r="N172" s="117"/>
      <x:c r="O172" s="117"/>
      <x:c r="P172" s="117"/>
      <x:c r="Q172" s="117"/>
      <x:c r="R172" s="117"/>
      <x:c r="S172" s="117"/>
      <x:c r="T172" s="117"/>
      <x:c r="U172" s="117"/>
      <x:c r="V172" s="117"/>
      <x:c r="W172" s="117"/>
      <x:c r="X172" s="117"/>
      <x:c r="Y172" s="117"/>
      <x:c r="Z172" s="117"/>
    </x:row>
    <x:row r="173">
      <x:c r="A173" s="117"/>
      <x:c r="B173" s="117"/>
      <x:c r="C173" s="117"/>
      <x:c r="D173" s="117"/>
      <x:c r="E173" s="117"/>
      <x:c r="F173" s="117"/>
      <x:c r="G173" s="117"/>
      <x:c r="H173" s="117"/>
      <x:c r="I173" s="117"/>
      <x:c r="J173" s="117"/>
      <x:c r="K173" s="117"/>
      <x:c r="L173" s="117"/>
      <x:c r="M173" s="117"/>
      <x:c r="N173" s="117"/>
      <x:c r="O173" s="117"/>
      <x:c r="P173" s="117"/>
      <x:c r="Q173" s="117"/>
      <x:c r="R173" s="117"/>
      <x:c r="S173" s="117"/>
      <x:c r="T173" s="117"/>
      <x:c r="U173" s="117"/>
      <x:c r="V173" s="117"/>
      <x:c r="W173" s="117"/>
      <x:c r="X173" s="117"/>
      <x:c r="Y173" s="117"/>
      <x:c r="Z173" s="117"/>
    </x:row>
    <x:row r="174">
      <x:c r="A174" s="117"/>
      <x:c r="B174" s="117"/>
      <x:c r="C174" s="117"/>
      <x:c r="D174" s="117"/>
      <x:c r="E174" s="117"/>
      <x:c r="F174" s="117"/>
      <x:c r="G174" s="117"/>
      <x:c r="H174" s="117"/>
      <x:c r="I174" s="117"/>
      <x:c r="J174" s="117"/>
      <x:c r="K174" s="117"/>
      <x:c r="L174" s="117"/>
      <x:c r="M174" s="117"/>
      <x:c r="N174" s="117"/>
      <x:c r="O174" s="117"/>
      <x:c r="P174" s="117"/>
      <x:c r="Q174" s="117"/>
      <x:c r="R174" s="117"/>
      <x:c r="S174" s="117"/>
      <x:c r="T174" s="117"/>
      <x:c r="U174" s="117"/>
      <x:c r="V174" s="117"/>
      <x:c r="W174" s="117"/>
      <x:c r="X174" s="117"/>
      <x:c r="Y174" s="117"/>
      <x:c r="Z174" s="117"/>
    </x:row>
    <x:row r="175">
      <x:c r="A175" s="117"/>
      <x:c r="B175" s="117"/>
      <x:c r="C175" s="117"/>
      <x:c r="D175" s="117"/>
      <x:c r="E175" s="117"/>
      <x:c r="F175" s="117"/>
      <x:c r="G175" s="117"/>
      <x:c r="H175" s="117"/>
      <x:c r="I175" s="117"/>
      <x:c r="J175" s="117"/>
      <x:c r="K175" s="117"/>
      <x:c r="L175" s="117"/>
      <x:c r="M175" s="117"/>
      <x:c r="N175" s="117"/>
      <x:c r="O175" s="117"/>
      <x:c r="P175" s="117"/>
      <x:c r="Q175" s="117"/>
      <x:c r="R175" s="117"/>
      <x:c r="S175" s="117"/>
      <x:c r="T175" s="117"/>
      <x:c r="U175" s="117"/>
      <x:c r="V175" s="117"/>
      <x:c r="W175" s="117"/>
      <x:c r="X175" s="117"/>
      <x:c r="Y175" s="117"/>
      <x:c r="Z175" s="117"/>
    </x:row>
    <x:row r="176">
      <x:c r="A176" s="117"/>
      <x:c r="B176" s="117"/>
      <x:c r="C176" s="117"/>
      <x:c r="D176" s="117"/>
      <x:c r="E176" s="117"/>
      <x:c r="F176" s="117"/>
      <x:c r="G176" s="117"/>
      <x:c r="H176" s="117"/>
      <x:c r="I176" s="117"/>
      <x:c r="J176" s="117"/>
      <x:c r="K176" s="117"/>
      <x:c r="L176" s="117"/>
      <x:c r="M176" s="117"/>
      <x:c r="N176" s="117"/>
      <x:c r="O176" s="117"/>
      <x:c r="P176" s="117"/>
      <x:c r="Q176" s="117"/>
      <x:c r="R176" s="117"/>
      <x:c r="S176" s="117"/>
      <x:c r="T176" s="117"/>
      <x:c r="U176" s="117"/>
      <x:c r="V176" s="117"/>
      <x:c r="W176" s="117"/>
      <x:c r="X176" s="117"/>
      <x:c r="Y176" s="117"/>
      <x:c r="Z176" s="117"/>
    </x:row>
    <x:row r="177">
      <x:c r="A177" s="117"/>
      <x:c r="B177" s="117"/>
      <x:c r="C177" s="117"/>
      <x:c r="D177" s="117"/>
      <x:c r="E177" s="117"/>
      <x:c r="F177" s="117"/>
      <x:c r="G177" s="117"/>
      <x:c r="H177" s="117"/>
      <x:c r="I177" s="117"/>
      <x:c r="J177" s="117"/>
      <x:c r="K177" s="117"/>
      <x:c r="L177" s="117"/>
      <x:c r="M177" s="117"/>
      <x:c r="N177" s="117"/>
      <x:c r="O177" s="117"/>
      <x:c r="P177" s="117"/>
      <x:c r="Q177" s="117"/>
      <x:c r="R177" s="117"/>
      <x:c r="S177" s="117"/>
      <x:c r="T177" s="117"/>
      <x:c r="U177" s="117"/>
      <x:c r="V177" s="117"/>
      <x:c r="W177" s="117"/>
      <x:c r="X177" s="117"/>
      <x:c r="Y177" s="117"/>
      <x:c r="Z177" s="117"/>
    </x:row>
    <x:row r="178">
      <x:c r="A178" s="117"/>
      <x:c r="B178" s="117"/>
      <x:c r="C178" s="117"/>
      <x:c r="D178" s="117"/>
      <x:c r="E178" s="117"/>
      <x:c r="F178" s="117"/>
      <x:c r="G178" s="117"/>
      <x:c r="H178" s="117"/>
      <x:c r="I178" s="117"/>
      <x:c r="J178" s="117"/>
      <x:c r="K178" s="117"/>
      <x:c r="L178" s="117"/>
      <x:c r="M178" s="117"/>
      <x:c r="N178" s="117"/>
      <x:c r="O178" s="117"/>
      <x:c r="P178" s="117"/>
      <x:c r="Q178" s="117"/>
      <x:c r="R178" s="117"/>
      <x:c r="S178" s="117"/>
      <x:c r="T178" s="117"/>
      <x:c r="U178" s="117"/>
      <x:c r="V178" s="117"/>
      <x:c r="W178" s="117"/>
      <x:c r="X178" s="117"/>
      <x:c r="Y178" s="117"/>
      <x:c r="Z178" s="117"/>
    </x:row>
    <x:row r="179">
      <x:c r="A179" s="117"/>
      <x:c r="B179" s="117"/>
      <x:c r="C179" s="117"/>
      <x:c r="D179" s="117"/>
      <x:c r="E179" s="117"/>
      <x:c r="F179" s="117"/>
      <x:c r="G179" s="117"/>
      <x:c r="H179" s="117"/>
      <x:c r="I179" s="117"/>
      <x:c r="J179" s="117"/>
      <x:c r="K179" s="117"/>
      <x:c r="L179" s="117"/>
      <x:c r="M179" s="117"/>
      <x:c r="N179" s="117"/>
      <x:c r="O179" s="117"/>
      <x:c r="P179" s="117"/>
      <x:c r="Q179" s="117"/>
      <x:c r="R179" s="117"/>
      <x:c r="S179" s="117"/>
      <x:c r="T179" s="117"/>
      <x:c r="U179" s="117"/>
      <x:c r="V179" s="117"/>
      <x:c r="W179" s="117"/>
      <x:c r="X179" s="117"/>
      <x:c r="Y179" s="117"/>
      <x:c r="Z179" s="117"/>
    </x:row>
    <x:row r="180">
      <x:c r="A180" s="117"/>
      <x:c r="B180" s="117"/>
      <x:c r="C180" s="117"/>
      <x:c r="D180" s="117"/>
      <x:c r="E180" s="117"/>
      <x:c r="F180" s="117"/>
      <x:c r="G180" s="117"/>
      <x:c r="H180" s="117"/>
      <x:c r="I180" s="117"/>
      <x:c r="J180" s="117"/>
      <x:c r="K180" s="117"/>
      <x:c r="L180" s="117"/>
      <x:c r="M180" s="117"/>
      <x:c r="N180" s="117"/>
      <x:c r="O180" s="117"/>
      <x:c r="P180" s="117"/>
      <x:c r="Q180" s="117"/>
      <x:c r="R180" s="117"/>
      <x:c r="S180" s="117"/>
      <x:c r="T180" s="117"/>
      <x:c r="U180" s="117"/>
      <x:c r="V180" s="117"/>
      <x:c r="W180" s="117"/>
      <x:c r="X180" s="117"/>
      <x:c r="Y180" s="117"/>
      <x:c r="Z180" s="117"/>
    </x:row>
    <x:row r="181">
      <x:c r="A181" s="117"/>
      <x:c r="B181" s="117"/>
      <x:c r="C181" s="117"/>
      <x:c r="D181" s="117"/>
      <x:c r="E181" s="117"/>
      <x:c r="F181" s="117"/>
      <x:c r="G181" s="117"/>
      <x:c r="H181" s="117"/>
      <x:c r="I181" s="117"/>
      <x:c r="J181" s="117"/>
      <x:c r="K181" s="117"/>
      <x:c r="L181" s="117"/>
      <x:c r="M181" s="117"/>
      <x:c r="N181" s="117"/>
      <x:c r="O181" s="117"/>
      <x:c r="P181" s="117"/>
      <x:c r="Q181" s="117"/>
      <x:c r="R181" s="117"/>
      <x:c r="S181" s="117"/>
      <x:c r="T181" s="117"/>
      <x:c r="U181" s="117"/>
      <x:c r="V181" s="117"/>
      <x:c r="W181" s="117"/>
      <x:c r="X181" s="117"/>
      <x:c r="Y181" s="117"/>
      <x:c r="Z181" s="117"/>
    </x:row>
    <x:row r="182">
      <x:c r="A182" s="117"/>
      <x:c r="B182" s="117"/>
      <x:c r="C182" s="117"/>
      <x:c r="D182" s="117"/>
      <x:c r="E182" s="117"/>
      <x:c r="F182" s="117"/>
      <x:c r="G182" s="117"/>
      <x:c r="H182" s="117"/>
      <x:c r="I182" s="117"/>
      <x:c r="J182" s="117"/>
      <x:c r="K182" s="117"/>
      <x:c r="L182" s="117"/>
      <x:c r="M182" s="117"/>
      <x:c r="N182" s="117"/>
      <x:c r="O182" s="117"/>
      <x:c r="P182" s="117"/>
      <x:c r="Q182" s="117"/>
      <x:c r="R182" s="117"/>
      <x:c r="S182" s="117"/>
      <x:c r="T182" s="117"/>
      <x:c r="U182" s="117"/>
      <x:c r="V182" s="117"/>
      <x:c r="W182" s="117"/>
      <x:c r="X182" s="117"/>
      <x:c r="Y182" s="117"/>
      <x:c r="Z182" s="117"/>
    </x:row>
    <x:row r="183">
      <x:c r="A183" s="117"/>
      <x:c r="B183" s="117"/>
      <x:c r="C183" s="117"/>
      <x:c r="D183" s="117"/>
      <x:c r="E183" s="117"/>
      <x:c r="F183" s="117"/>
      <x:c r="G183" s="117"/>
      <x:c r="H183" s="117"/>
      <x:c r="I183" s="117"/>
      <x:c r="J183" s="117"/>
      <x:c r="K183" s="117"/>
      <x:c r="L183" s="117"/>
      <x:c r="M183" s="117"/>
      <x:c r="N183" s="117"/>
      <x:c r="O183" s="117"/>
      <x:c r="P183" s="117"/>
      <x:c r="Q183" s="117"/>
      <x:c r="R183" s="117"/>
      <x:c r="S183" s="117"/>
      <x:c r="T183" s="117"/>
      <x:c r="U183" s="117"/>
      <x:c r="V183" s="117"/>
      <x:c r="W183" s="117"/>
      <x:c r="X183" s="117"/>
      <x:c r="Y183" s="117"/>
      <x:c r="Z183" s="117"/>
    </x:row>
    <x:row r="184">
      <x:c r="A184" s="117"/>
      <x:c r="B184" s="117"/>
      <x:c r="C184" s="117"/>
      <x:c r="D184" s="117"/>
      <x:c r="E184" s="117"/>
      <x:c r="F184" s="117"/>
      <x:c r="G184" s="117"/>
      <x:c r="H184" s="117"/>
      <x:c r="I184" s="117"/>
      <x:c r="J184" s="117"/>
      <x:c r="K184" s="117"/>
      <x:c r="L184" s="117"/>
      <x:c r="M184" s="117"/>
      <x:c r="N184" s="117"/>
      <x:c r="O184" s="117"/>
      <x:c r="P184" s="117"/>
      <x:c r="Q184" s="117"/>
      <x:c r="R184" s="117"/>
      <x:c r="S184" s="117"/>
      <x:c r="T184" s="117"/>
      <x:c r="U184" s="117"/>
      <x:c r="V184" s="117"/>
      <x:c r="W184" s="117"/>
      <x:c r="X184" s="117"/>
      <x:c r="Y184" s="117"/>
      <x:c r="Z184" s="117"/>
    </x:row>
    <x:row r="185">
      <x:c r="A185" s="117"/>
      <x:c r="B185" s="117"/>
      <x:c r="C185" s="117"/>
      <x:c r="D185" s="117"/>
      <x:c r="E185" s="117"/>
      <x:c r="F185" s="117"/>
      <x:c r="G185" s="117"/>
      <x:c r="H185" s="117"/>
      <x:c r="I185" s="117"/>
      <x:c r="J185" s="117"/>
      <x:c r="K185" s="117"/>
      <x:c r="L185" s="117"/>
      <x:c r="M185" s="117"/>
      <x:c r="N185" s="117"/>
      <x:c r="O185" s="117"/>
      <x:c r="P185" s="117"/>
      <x:c r="Q185" s="117"/>
      <x:c r="R185" s="117"/>
      <x:c r="S185" s="117"/>
      <x:c r="T185" s="117"/>
      <x:c r="U185" s="117"/>
      <x:c r="V185" s="117"/>
      <x:c r="W185" s="117"/>
      <x:c r="X185" s="117"/>
      <x:c r="Y185" s="117"/>
      <x:c r="Z185" s="117"/>
    </x:row>
    <x:row r="186">
      <x:c r="A186" s="117"/>
      <x:c r="B186" s="117"/>
      <x:c r="C186" s="117"/>
      <x:c r="D186" s="117"/>
      <x:c r="E186" s="117"/>
      <x:c r="F186" s="117"/>
      <x:c r="G186" s="117"/>
      <x:c r="H186" s="117"/>
      <x:c r="I186" s="117"/>
      <x:c r="J186" s="117"/>
      <x:c r="K186" s="117"/>
      <x:c r="L186" s="117"/>
      <x:c r="M186" s="117"/>
      <x:c r="N186" s="117"/>
      <x:c r="O186" s="117"/>
      <x:c r="P186" s="117"/>
      <x:c r="Q186" s="117"/>
      <x:c r="R186" s="117"/>
      <x:c r="S186" s="117"/>
      <x:c r="T186" s="117"/>
      <x:c r="U186" s="117"/>
      <x:c r="V186" s="117"/>
      <x:c r="W186" s="117"/>
      <x:c r="X186" s="117"/>
      <x:c r="Y186" s="117"/>
      <x:c r="Z186" s="117"/>
    </x:row>
    <x:row r="187">
      <x:c r="A187" s="117"/>
      <x:c r="B187" s="117"/>
      <x:c r="C187" s="117"/>
      <x:c r="D187" s="117"/>
      <x:c r="E187" s="117"/>
      <x:c r="F187" s="117"/>
      <x:c r="G187" s="117"/>
      <x:c r="H187" s="117"/>
      <x:c r="I187" s="117"/>
      <x:c r="J187" s="117"/>
      <x:c r="K187" s="117"/>
      <x:c r="L187" s="117"/>
      <x:c r="M187" s="117"/>
      <x:c r="N187" s="117"/>
      <x:c r="O187" s="117"/>
      <x:c r="P187" s="117"/>
      <x:c r="Q187" s="117"/>
      <x:c r="R187" s="117"/>
      <x:c r="S187" s="117"/>
      <x:c r="T187" s="117"/>
      <x:c r="U187" s="117"/>
      <x:c r="V187" s="117"/>
      <x:c r="W187" s="117"/>
      <x:c r="X187" s="117"/>
      <x:c r="Y187" s="117"/>
      <x:c r="Z187" s="117"/>
    </x:row>
    <x:row r="188">
      <x:c r="A188" s="117"/>
      <x:c r="B188" s="117"/>
      <x:c r="C188" s="117"/>
      <x:c r="D188" s="117"/>
      <x:c r="E188" s="117"/>
      <x:c r="F188" s="117"/>
      <x:c r="G188" s="117"/>
      <x:c r="H188" s="117"/>
      <x:c r="I188" s="117"/>
      <x:c r="J188" s="117"/>
      <x:c r="K188" s="117"/>
      <x:c r="L188" s="117"/>
      <x:c r="M188" s="117"/>
      <x:c r="N188" s="117"/>
      <x:c r="O188" s="117"/>
      <x:c r="P188" s="117"/>
      <x:c r="Q188" s="117"/>
      <x:c r="R188" s="117"/>
      <x:c r="S188" s="117"/>
      <x:c r="T188" s="117"/>
      <x:c r="U188" s="117"/>
      <x:c r="V188" s="117"/>
      <x:c r="W188" s="117"/>
      <x:c r="X188" s="117"/>
      <x:c r="Y188" s="117"/>
      <x:c r="Z188" s="117"/>
    </x:row>
    <x:row r="189">
      <x:c r="A189" s="117"/>
      <x:c r="B189" s="117"/>
      <x:c r="C189" s="117"/>
      <x:c r="D189" s="117"/>
      <x:c r="E189" s="117"/>
      <x:c r="F189" s="117"/>
      <x:c r="G189" s="117"/>
      <x:c r="H189" s="117"/>
      <x:c r="I189" s="117"/>
      <x:c r="J189" s="117"/>
      <x:c r="K189" s="117"/>
      <x:c r="L189" s="117"/>
      <x:c r="M189" s="117"/>
      <x:c r="N189" s="117"/>
      <x:c r="O189" s="117"/>
      <x:c r="P189" s="117"/>
      <x:c r="Q189" s="117"/>
      <x:c r="R189" s="117"/>
      <x:c r="S189" s="117"/>
      <x:c r="T189" s="117"/>
      <x:c r="U189" s="117"/>
      <x:c r="V189" s="117"/>
      <x:c r="W189" s="117"/>
      <x:c r="X189" s="117"/>
      <x:c r="Y189" s="117"/>
      <x:c r="Z189" s="117"/>
    </x:row>
    <x:row r="190">
      <x:c r="A190" s="117"/>
      <x:c r="B190" s="117"/>
      <x:c r="C190" s="117"/>
      <x:c r="D190" s="117"/>
      <x:c r="E190" s="117"/>
      <x:c r="F190" s="117"/>
      <x:c r="G190" s="117"/>
      <x:c r="H190" s="117"/>
      <x:c r="I190" s="117"/>
      <x:c r="J190" s="117"/>
      <x:c r="K190" s="117"/>
      <x:c r="L190" s="117"/>
      <x:c r="M190" s="117"/>
      <x:c r="N190" s="117"/>
      <x:c r="O190" s="117"/>
      <x:c r="P190" s="117"/>
      <x:c r="Q190" s="117"/>
      <x:c r="R190" s="117"/>
      <x:c r="S190" s="117"/>
      <x:c r="T190" s="117"/>
      <x:c r="U190" s="117"/>
      <x:c r="V190" s="117"/>
      <x:c r="W190" s="117"/>
      <x:c r="X190" s="117"/>
      <x:c r="Y190" s="117"/>
      <x:c r="Z190" s="117"/>
    </x:row>
    <x:row r="191">
      <x:c r="A191" s="117"/>
      <x:c r="B191" s="117"/>
      <x:c r="C191" s="117"/>
      <x:c r="D191" s="117"/>
      <x:c r="E191" s="117"/>
      <x:c r="F191" s="117"/>
      <x:c r="G191" s="117"/>
      <x:c r="H191" s="117"/>
      <x:c r="I191" s="117"/>
      <x:c r="J191" s="117"/>
      <x:c r="K191" s="117"/>
      <x:c r="L191" s="117"/>
      <x:c r="M191" s="117"/>
      <x:c r="N191" s="117"/>
      <x:c r="O191" s="117"/>
      <x:c r="P191" s="117"/>
      <x:c r="Q191" s="117"/>
      <x:c r="R191" s="117"/>
      <x:c r="S191" s="117"/>
      <x:c r="T191" s="117"/>
      <x:c r="U191" s="117"/>
      <x:c r="V191" s="117"/>
      <x:c r="W191" s="117"/>
      <x:c r="X191" s="117"/>
      <x:c r="Y191" s="117"/>
      <x:c r="Z191" s="117"/>
    </x:row>
    <x:row r="192">
      <x:c r="A192" s="117"/>
      <x:c r="B192" s="117"/>
      <x:c r="C192" s="117"/>
      <x:c r="D192" s="117"/>
      <x:c r="E192" s="117"/>
      <x:c r="F192" s="117"/>
      <x:c r="G192" s="117"/>
      <x:c r="H192" s="117"/>
      <x:c r="I192" s="117"/>
      <x:c r="J192" s="117"/>
      <x:c r="K192" s="117"/>
      <x:c r="L192" s="117"/>
      <x:c r="M192" s="117"/>
      <x:c r="N192" s="117"/>
      <x:c r="O192" s="117"/>
      <x:c r="P192" s="117"/>
      <x:c r="Q192" s="117"/>
      <x:c r="R192" s="117"/>
      <x:c r="S192" s="117"/>
      <x:c r="T192" s="117"/>
      <x:c r="U192" s="117"/>
      <x:c r="V192" s="117"/>
      <x:c r="W192" s="117"/>
      <x:c r="X192" s="117"/>
      <x:c r="Y192" s="117"/>
      <x:c r="Z192" s="117"/>
    </x:row>
    <x:row r="193">
      <x:c r="A193" s="117"/>
      <x:c r="B193" s="117"/>
      <x:c r="C193" s="117"/>
      <x:c r="D193" s="117"/>
      <x:c r="E193" s="117"/>
      <x:c r="F193" s="117"/>
      <x:c r="G193" s="117"/>
      <x:c r="H193" s="117"/>
      <x:c r="I193" s="117"/>
      <x:c r="J193" s="117"/>
      <x:c r="K193" s="117"/>
      <x:c r="L193" s="117"/>
      <x:c r="M193" s="117"/>
      <x:c r="N193" s="117"/>
      <x:c r="O193" s="117"/>
      <x:c r="P193" s="117"/>
      <x:c r="Q193" s="117"/>
      <x:c r="R193" s="117"/>
      <x:c r="S193" s="117"/>
      <x:c r="T193" s="117"/>
      <x:c r="U193" s="117"/>
      <x:c r="V193" s="117"/>
      <x:c r="W193" s="117"/>
      <x:c r="X193" s="117"/>
      <x:c r="Y193" s="117"/>
      <x:c r="Z193" s="117"/>
    </x:row>
    <x:row r="194">
      <x:c r="A194" s="117"/>
      <x:c r="B194" s="117"/>
      <x:c r="C194" s="117"/>
      <x:c r="D194" s="117"/>
      <x:c r="E194" s="117"/>
      <x:c r="F194" s="117"/>
      <x:c r="G194" s="117"/>
      <x:c r="H194" s="117"/>
      <x:c r="I194" s="117"/>
      <x:c r="J194" s="117"/>
      <x:c r="K194" s="117"/>
      <x:c r="L194" s="117"/>
      <x:c r="M194" s="117"/>
      <x:c r="N194" s="117"/>
      <x:c r="O194" s="117"/>
      <x:c r="P194" s="117"/>
      <x:c r="Q194" s="117"/>
      <x:c r="R194" s="117"/>
      <x:c r="S194" s="117"/>
      <x:c r="T194" s="117"/>
      <x:c r="U194" s="117"/>
      <x:c r="V194" s="117"/>
      <x:c r="W194" s="117"/>
      <x:c r="X194" s="117"/>
      <x:c r="Y194" s="117"/>
      <x:c r="Z194" s="117"/>
    </x:row>
    <x:row r="195">
      <x:c r="A195" s="117"/>
      <x:c r="B195" s="117"/>
      <x:c r="C195" s="117"/>
      <x:c r="D195" s="117"/>
      <x:c r="E195" s="117"/>
      <x:c r="F195" s="117"/>
      <x:c r="G195" s="117"/>
      <x:c r="H195" s="117"/>
      <x:c r="I195" s="117"/>
      <x:c r="J195" s="117"/>
      <x:c r="K195" s="117"/>
      <x:c r="L195" s="117"/>
      <x:c r="M195" s="117"/>
      <x:c r="N195" s="117"/>
      <x:c r="O195" s="117"/>
      <x:c r="P195" s="117"/>
      <x:c r="Q195" s="117"/>
      <x:c r="R195" s="117"/>
      <x:c r="S195" s="117"/>
      <x:c r="T195" s="117"/>
      <x:c r="U195" s="117"/>
      <x:c r="V195" s="117"/>
      <x:c r="W195" s="117"/>
      <x:c r="X195" s="117"/>
      <x:c r="Y195" s="117"/>
      <x:c r="Z195" s="117"/>
    </x:row>
    <x:row r="196">
      <x:c r="A196" s="117"/>
      <x:c r="B196" s="117"/>
      <x:c r="C196" s="117"/>
      <x:c r="D196" s="117"/>
      <x:c r="E196" s="117"/>
      <x:c r="F196" s="117"/>
      <x:c r="G196" s="117"/>
      <x:c r="H196" s="117"/>
      <x:c r="I196" s="117"/>
      <x:c r="J196" s="117"/>
      <x:c r="K196" s="117"/>
      <x:c r="L196" s="117"/>
      <x:c r="M196" s="117"/>
      <x:c r="N196" s="117"/>
      <x:c r="O196" s="117"/>
      <x:c r="P196" s="117"/>
      <x:c r="Q196" s="117"/>
      <x:c r="R196" s="117"/>
      <x:c r="S196" s="117"/>
      <x:c r="T196" s="117"/>
      <x:c r="U196" s="117"/>
      <x:c r="V196" s="117"/>
      <x:c r="W196" s="117"/>
      <x:c r="X196" s="117"/>
      <x:c r="Y196" s="117"/>
      <x:c r="Z196" s="117"/>
    </x:row>
    <x:row r="197">
      <x:c r="A197" s="117"/>
      <x:c r="B197" s="117"/>
      <x:c r="C197" s="117"/>
      <x:c r="D197" s="117"/>
      <x:c r="E197" s="117"/>
      <x:c r="F197" s="117"/>
      <x:c r="G197" s="117"/>
      <x:c r="H197" s="117"/>
      <x:c r="I197" s="117"/>
      <x:c r="J197" s="117"/>
      <x:c r="K197" s="117"/>
      <x:c r="L197" s="117"/>
      <x:c r="M197" s="117"/>
      <x:c r="N197" s="117"/>
      <x:c r="O197" s="117"/>
      <x:c r="P197" s="117"/>
      <x:c r="Q197" s="117"/>
      <x:c r="R197" s="117"/>
      <x:c r="S197" s="117"/>
      <x:c r="T197" s="117"/>
      <x:c r="U197" s="117"/>
      <x:c r="V197" s="117"/>
      <x:c r="W197" s="117"/>
      <x:c r="X197" s="117"/>
      <x:c r="Y197" s="117"/>
      <x:c r="Z197" s="117"/>
    </x:row>
    <x:row r="198">
      <x:c r="A198" s="117"/>
      <x:c r="B198" s="117"/>
      <x:c r="C198" s="117"/>
      <x:c r="D198" s="117"/>
      <x:c r="E198" s="117"/>
      <x:c r="F198" s="117"/>
      <x:c r="G198" s="117"/>
      <x:c r="H198" s="117"/>
      <x:c r="I198" s="117"/>
      <x:c r="J198" s="117"/>
      <x:c r="K198" s="117"/>
      <x:c r="L198" s="117"/>
      <x:c r="M198" s="117"/>
      <x:c r="N198" s="117"/>
      <x:c r="O198" s="117"/>
      <x:c r="P198" s="117"/>
      <x:c r="Q198" s="117"/>
      <x:c r="R198" s="117"/>
      <x:c r="S198" s="117"/>
      <x:c r="T198" s="117"/>
      <x:c r="U198" s="117"/>
      <x:c r="V198" s="117"/>
      <x:c r="W198" s="117"/>
      <x:c r="X198" s="117"/>
      <x:c r="Y198" s="117"/>
      <x:c r="Z198" s="117"/>
    </x:row>
    <x:row r="199">
      <x:c r="A199" s="117"/>
      <x:c r="B199" s="117"/>
      <x:c r="C199" s="117"/>
      <x:c r="D199" s="117"/>
      <x:c r="E199" s="117"/>
      <x:c r="F199" s="117"/>
      <x:c r="G199" s="117"/>
      <x:c r="H199" s="117"/>
      <x:c r="I199" s="117"/>
      <x:c r="J199" s="117"/>
      <x:c r="K199" s="117"/>
      <x:c r="L199" s="117"/>
      <x:c r="M199" s="117"/>
      <x:c r="N199" s="117"/>
      <x:c r="O199" s="117"/>
      <x:c r="P199" s="117"/>
      <x:c r="Q199" s="117"/>
      <x:c r="R199" s="117"/>
      <x:c r="S199" s="117"/>
      <x:c r="T199" s="117"/>
      <x:c r="U199" s="117"/>
      <x:c r="V199" s="117"/>
      <x:c r="W199" s="117"/>
      <x:c r="X199" s="117"/>
      <x:c r="Y199" s="117"/>
      <x:c r="Z199" s="117"/>
    </x:row>
    <x:row r="200">
      <x:c r="A200" s="117"/>
      <x:c r="B200" s="117"/>
      <x:c r="C200" s="117"/>
      <x:c r="D200" s="117"/>
      <x:c r="E200" s="117"/>
      <x:c r="F200" s="117"/>
      <x:c r="G200" s="117"/>
      <x:c r="H200" s="117"/>
      <x:c r="I200" s="117"/>
      <x:c r="J200" s="117"/>
      <x:c r="K200" s="117"/>
      <x:c r="L200" s="117"/>
      <x:c r="M200" s="117"/>
      <x:c r="N200" s="117"/>
      <x:c r="O200" s="117"/>
      <x:c r="P200" s="117"/>
      <x:c r="Q200" s="117"/>
      <x:c r="R200" s="117"/>
      <x:c r="S200" s="117"/>
      <x:c r="T200" s="117"/>
      <x:c r="U200" s="117"/>
      <x:c r="V200" s="117"/>
      <x:c r="W200" s="117"/>
      <x:c r="X200" s="117"/>
      <x:c r="Y200" s="117"/>
      <x:c r="Z200" s="117"/>
    </x:row>
  </x:sheetData>
  <x:mergeCells>
    <x:mergeCell ref="A1:K1"/>
    <x:mergeCell ref="A2:K2"/>
  </x:mergeCells>
  <x:pageMargins left="0.7" right="0.7" top="0.75" bottom="0.75" header="0.3" footer="0.3"/>
</x:worksheet>
</file>

<file path=xl/worksheets/sheet11.xml><?xml version="1.0" encoding="utf-8"?>
<x:worksheet xmlns:x="http://schemas.openxmlformats.org/spreadsheetml/2006/main">
  <x:sheetFormatPr defaultRowHeight="15"/>
  <x:cols>
    <x:col min="1" max="1" width="18" hidden="0" customWidth="1"/>
    <x:col min="2" max="2" width="24" hidden="0" customWidth="1"/>
    <x:col min="3" max="3" width="28" hidden="0" customWidth="1"/>
    <x:col min="4" max="4" width="20" hidden="0" customWidth="1"/>
    <x:col min="5" max="5" width="20" hidden="0" customWidth="1"/>
    <x:col min="6" max="6" width="20" hidden="0" customWidth="1"/>
    <x:col min="7" max="7" width="20" hidden="0" customWidth="1"/>
    <x:col min="8" max="8" width="12" hidden="0" customWidth="1"/>
    <x:col min="9" max="9" width="12" hidden="0" customWidth="1"/>
    <x:col min="10" max="10" width="14" hidden="0" customWidth="1"/>
    <x:col min="11" max="11" width="16" hidden="0" customWidth="1"/>
    <x:col min="12" max="12" width="14" hidden="0" customWidth="1"/>
    <x:col min="13" max="13" width="32" hidden="0" customWidth="1"/>
  </x:cols>
  <x:sheetData>
    <x:row r="1" ht="28" customHeight="1">
      <x:c r="A1" s="116" t="str">
        <x:v>10_レポート項目対応</x:v>
      </x:c>
      <x:c r="B1" s="116"/>
      <x:c r="C1" s="116"/>
      <x:c r="D1" s="116"/>
      <x:c r="E1" s="116"/>
      <x:c r="F1" s="116"/>
      <x:c r="G1" s="116"/>
      <x:c r="H1" s="116"/>
      <x:c r="I1" s="116"/>
      <x:c r="J1" s="116"/>
      <x:c r="K1" s="116"/>
      <x:c r="L1" s="116"/>
      <x:c r="M1" s="116"/>
      <x:c r="N1" s="117"/>
      <x:c r="O1" s="117"/>
      <x:c r="P1" s="117"/>
      <x:c r="Q1" s="117"/>
      <x:c r="R1" s="117"/>
      <x:c r="S1" s="117"/>
      <x:c r="T1" s="117"/>
      <x:c r="U1" s="117"/>
      <x:c r="V1" s="117"/>
      <x:c r="W1" s="117"/>
      <x:c r="X1" s="117"/>
      <x:c r="Y1" s="117"/>
      <x:c r="Z1" s="117"/>
    </x:row>
    <x:row r="2" ht="34" customHeight="1">
      <x:c r="A2" s="118" t="str">
        <x:v>可変項目と質問・判定・コメントの対応関係。Version0.1では主要項目から逆算を開始。</x:v>
      </x:c>
      <x:c r="B2" s="118"/>
      <x:c r="C2" s="118"/>
      <x:c r="D2" s="118"/>
      <x:c r="E2" s="118"/>
      <x:c r="F2" s="118"/>
      <x:c r="G2" s="118"/>
      <x:c r="H2" s="118"/>
      <x:c r="I2" s="118"/>
      <x:c r="J2" s="118"/>
      <x:c r="K2" s="118"/>
      <x:c r="L2" s="118"/>
      <x:c r="M2" s="118"/>
      <x:c r="N2" s="117"/>
      <x:c r="O2" s="117"/>
      <x:c r="P2" s="117"/>
      <x:c r="Q2" s="117"/>
      <x:c r="R2" s="117"/>
      <x:c r="S2" s="117"/>
      <x:c r="T2" s="117"/>
      <x:c r="U2" s="117"/>
      <x:c r="V2" s="117"/>
      <x:c r="W2" s="117"/>
      <x:c r="X2" s="117"/>
      <x:c r="Y2" s="117"/>
      <x:c r="Z2" s="117"/>
    </x:row>
    <x:row r="3">
      <x:c r="A3" s="117"/>
      <x:c r="B3" s="117"/>
      <x:c r="C3" s="117"/>
      <x:c r="D3" s="117"/>
      <x:c r="E3" s="117"/>
      <x:c r="F3" s="117"/>
      <x:c r="G3" s="117"/>
      <x:c r="H3" s="117"/>
      <x:c r="I3" s="117"/>
      <x:c r="J3" s="117"/>
      <x:c r="K3" s="117"/>
      <x:c r="L3" s="117"/>
      <x:c r="M3" s="117"/>
      <x:c r="N3" s="117"/>
      <x:c r="O3" s="117"/>
      <x:c r="P3" s="117"/>
      <x:c r="Q3" s="117"/>
      <x:c r="R3" s="117"/>
      <x:c r="S3" s="117"/>
      <x:c r="T3" s="117"/>
      <x:c r="U3" s="117"/>
      <x:c r="V3" s="117"/>
      <x:c r="W3" s="117"/>
      <x:c r="X3" s="117"/>
      <x:c r="Y3" s="117"/>
      <x:c r="Z3" s="117"/>
    </x:row>
    <x:row r="4" ht="36" customHeight="1">
      <x:c r="A4" s="139" t="str">
        <x:v>出力項目ID</x:v>
      </x:c>
      <x:c r="B4" s="140" t="str">
        <x:v>可変項目名</x:v>
      </x:c>
      <x:c r="C4" s="140" t="str">
        <x:v>必要質問ID</x:v>
      </x:c>
      <x:c r="D4" s="140" t="str">
        <x:v>判定ロジックID</x:v>
      </x:c>
      <x:c r="E4" s="140" t="str">
        <x:v>EvidenceルールID</x:v>
      </x:c>
      <x:c r="F4" s="140" t="str">
        <x:v>整合性ルールID</x:v>
      </x:c>
      <x:c r="G4" s="140" t="str">
        <x:v>コメントコード群</x:v>
      </x:c>
      <x:c r="H4" s="140" t="str">
        <x:v>断定レベル</x:v>
      </x:c>
      <x:c r="I4" s="140" t="str">
        <x:v>表示上限</x:v>
      </x:c>
      <x:c r="J4" s="140" t="str">
        <x:v>出力優先順位</x:v>
      </x:c>
      <x:c r="K4" s="140" t="str">
        <x:v>CTAコード</x:v>
      </x:c>
      <x:c r="L4" s="140" t="str">
        <x:v>設計状態</x:v>
      </x:c>
      <x:c r="M4" s="141" t="str">
        <x:v>次作業</x:v>
      </x:c>
      <x:c r="N4" s="117"/>
      <x:c r="O4" s="117"/>
      <x:c r="P4" s="117"/>
      <x:c r="Q4" s="117"/>
      <x:c r="R4" s="117"/>
      <x:c r="S4" s="117"/>
      <x:c r="T4" s="117"/>
      <x:c r="U4" s="117"/>
      <x:c r="V4" s="117"/>
      <x:c r="W4" s="117"/>
      <x:c r="X4" s="117"/>
      <x:c r="Y4" s="117"/>
      <x:c r="Z4" s="117"/>
    </x:row>
    <x:row r="5">
      <x:c r="A5" s="144" t="str">
        <x:v>R1-GR-01</x:v>
      </x:c>
      <x:c r="B5" s="145" t="str">
        <x:v>Decision Guardrail</x:v>
      </x:c>
      <x:c r="C5" s="145" t="str">
        <x:v>Q101～Q112,Q241,Q242,Q401,Q404,Q407,Q408</x:v>
      </x:c>
      <x:c r="D5" s="145" t="str">
        <x:v>GR-SAF/LEG/EOL/BCP/DUE/CUST/BLD</x:v>
      </x:c>
      <x:c r="E5" s="145" t="str">
        <x:v>EV-PHOTO,EV-INSPECT,EV-MAKER,EV-BCP</x:v>
      </x:c>
      <x:c r="F5" s="145" t="str">
        <x:v>CS-EOL-*,CS-BCP-*,CS-BLD-*</x:v>
      </x:c>
      <x:c r="G5" s="145" t="str">
        <x:v>GR-*</x:v>
      </x:c>
      <x:c r="H5" s="145" t="str">
        <x:v>L0～L3</x:v>
      </x:c>
      <x:c r="I5" s="145" t="str">
        <x:v>3</x:v>
      </x:c>
      <x:c r="J5" s="145" t="str">
        <x:v>0</x:v>
      </x:c>
      <x:c r="K5" s="145" t="str">
        <x:v>CTA-URGENT等</x:v>
      </x:c>
      <x:c r="L5" s="145" t="str">
        <x:v>具体化済み</x:v>
      </x:c>
      <x:c r="M5" s="146" t="str">
        <x:v>コメント全分類のL0～L3整備</x:v>
      </x:c>
      <x:c r="N5" s="117"/>
      <x:c r="O5" s="117"/>
      <x:c r="P5" s="117"/>
      <x:c r="Q5" s="117"/>
      <x:c r="R5" s="117"/>
      <x:c r="S5" s="117"/>
      <x:c r="T5" s="117"/>
      <x:c r="U5" s="117"/>
      <x:c r="V5" s="117"/>
      <x:c r="W5" s="117"/>
      <x:c r="X5" s="117"/>
      <x:c r="Y5" s="117"/>
      <x:c r="Z5" s="117"/>
    </x:row>
    <x:row r="6">
      <x:c r="A6" s="147" t="str">
        <x:v>R1-KPI-EDI</x:v>
      </x:c>
      <x:c r="B6" s="148" t="str">
        <x:v>EDI</x:v>
      </x:c>
      <x:c r="C6" s="148" t="str">
        <x:v>Q101,Q102,Q105,Q107,Q201～Q208,Q221～Q226,Q241～Q245,Q261～Q264</x:v>
      </x:c>
      <x:c r="D6" s="148" t="str">
        <x:v>SC-EDI-001</x:v>
      </x:c>
      <x:c r="E6" s="148" t="str">
        <x:v>EV-PHOTO,EV-INSPECT,EV-ASSET,EV-HISTORY,EV-ENERGY</x:v>
      </x:c>
      <x:c r="F6" s="148" t="str">
        <x:v>CS-AGE-*,CS-MAINT-*,CS-ENERGY-*,CS-BLD-*</x:v>
      </x:c>
      <x:c r="G6" s="148" t="str">
        <x:v>EDI-*</x:v>
      </x:c>
      <x:c r="H6" s="148" t="str">
        <x:v>L0～L3</x:v>
      </x:c>
      <x:c r="I6" s="148" t="str">
        <x:v>1</x:v>
      </x:c>
      <x:c r="J6" s="148" t="str">
        <x:v>1</x:v>
      </x:c>
      <x:c r="K6" s="148" t="str">
        <x:v>CTA-DIAG</x:v>
      </x:c>
      <x:c r="L6" s="148" t="str">
        <x:v>具体化済み</x:v>
      </x:c>
      <x:c r="M6" s="149" t="str">
        <x:v>評価帯と算式のFreeze</x:v>
      </x:c>
      <x:c r="N6" s="117"/>
      <x:c r="O6" s="117"/>
      <x:c r="P6" s="117"/>
      <x:c r="Q6" s="117"/>
      <x:c r="R6" s="117"/>
      <x:c r="S6" s="117"/>
      <x:c r="T6" s="117"/>
      <x:c r="U6" s="117"/>
      <x:c r="V6" s="117"/>
      <x:c r="W6" s="117"/>
      <x:c r="X6" s="117"/>
      <x:c r="Y6" s="117"/>
      <x:c r="Z6" s="117"/>
    </x:row>
    <x:row r="7">
      <x:c r="A7" s="147" t="str">
        <x:v>R1-KPI-DRI</x:v>
      </x:c>
      <x:c r="B7" s="148" t="str">
        <x:v>DRI</x:v>
      </x:c>
      <x:c r="C7" s="148" t="str">
        <x:v>Q104,Q105,Q107,Q109,Q110,Q201,Q206,Q208,Q221～Q224,Q245,Q261～Q264,Q301～Q312,Q402,Q405,Q409</x:v>
      </x:c>
      <x:c r="D7" s="148" t="str">
        <x:v>SC-DRI-001</x:v>
      </x:c>
      <x:c r="E7" s="148" t="str">
        <x:v>EV-DRAWING,EV-ASSET,EV-HISTORY,EV-QUOTE,EV-MAKER,EV-BCP</x:v>
      </x:c>
      <x:c r="F7" s="148" t="str">
        <x:v>CS-DOC-*,CS-BUDGET-*,CS-EOL-*</x:v>
      </x:c>
      <x:c r="G7" s="148" t="str">
        <x:v>DRI-*</x:v>
      </x:c>
      <x:c r="H7" s="148" t="str">
        <x:v>L0～L3</x:v>
      </x:c>
      <x:c r="I7" s="148" t="str">
        <x:v>1</x:v>
      </x:c>
      <x:c r="J7" s="148" t="str">
        <x:v>1</x:v>
      </x:c>
      <x:c r="K7" s="148" t="str">
        <x:v>CTA-DOC</x:v>
      </x:c>
      <x:c r="L7" s="148" t="str">
        <x:v>具体化済み</x:v>
      </x:c>
      <x:c r="M7" s="149" t="str">
        <x:v>カテゴリ重みのFreeze</x:v>
      </x:c>
      <x:c r="N7" s="117"/>
      <x:c r="O7" s="117"/>
      <x:c r="P7" s="117"/>
      <x:c r="Q7" s="117"/>
      <x:c r="R7" s="117"/>
      <x:c r="S7" s="117"/>
      <x:c r="T7" s="117"/>
      <x:c r="U7" s="117"/>
      <x:c r="V7" s="117"/>
      <x:c r="W7" s="117"/>
      <x:c r="X7" s="117"/>
      <x:c r="Y7" s="117"/>
      <x:c r="Z7" s="117"/>
    </x:row>
    <x:row r="8">
      <x:c r="A8" s="147" t="str">
        <x:v>R1-KPI-EPI</x:v>
      </x:c>
      <x:c r="B8" s="148" t="str">
        <x:v>EPI</x:v>
      </x:c>
      <x:c r="C8" s="148" t="str">
        <x:v>Q101～Q112,Q207,Q241～Q244,Q305,Q401～Q409</x:v>
      </x:c>
      <x:c r="D8" s="148" t="str">
        <x:v>SC-EPI-001</x:v>
      </x:c>
      <x:c r="E8" s="148" t="str">
        <x:v>EV-INSPECT,EV-MAKER,EV-BCP,EV-ENERGY</x:v>
      </x:c>
      <x:c r="F8" s="148" t="str">
        <x:v>CS-EOL-*,CS-BCP-*,CS-BLD-*</x:v>
      </x:c>
      <x:c r="G8" s="148" t="str">
        <x:v>EPI-*</x:v>
      </x:c>
      <x:c r="H8" s="148" t="str">
        <x:v>L0～L3</x:v>
      </x:c>
      <x:c r="I8" s="148" t="str">
        <x:v>1</x:v>
      </x:c>
      <x:c r="J8" s="148" t="str">
        <x:v>1</x:v>
      </x:c>
      <x:c r="K8" s="148" t="str">
        <x:v>CTA-PLAN</x:v>
      </x:c>
      <x:c r="L8" s="148" t="str">
        <x:v>具体化済み</x:v>
      </x:c>
      <x:c r="M8" s="149" t="str">
        <x:v>優先度閾値と期限補正のFreeze</x:v>
      </x:c>
      <x:c r="N8" s="117"/>
      <x:c r="O8" s="117"/>
      <x:c r="P8" s="117"/>
      <x:c r="Q8" s="117"/>
      <x:c r="R8" s="117"/>
      <x:c r="S8" s="117"/>
      <x:c r="T8" s="117"/>
      <x:c r="U8" s="117"/>
      <x:c r="V8" s="117"/>
      <x:c r="W8" s="117"/>
      <x:c r="X8" s="117"/>
      <x:c r="Y8" s="117"/>
      <x:c r="Z8" s="117"/>
    </x:row>
    <x:row r="9">
      <x:c r="A9" s="147" t="str">
        <x:v>R1-TOP-01</x:v>
      </x:c>
      <x:c r="B9" s="148" t="str">
        <x:v>最重要課題TOP5</x:v>
      </x:c>
      <x:c r="C9" s="148" t="str">
        <x:v>全評価質問</x:v>
      </x:c>
      <x:c r="D9" s="148" t="str">
        <x:v>PR-TOP-001</x:v>
      </x:c>
      <x:c r="E9" s="148" t="str">
        <x:v>課題別</x:v>
      </x:c>
      <x:c r="F9" s="148" t="str">
        <x:v>全整合性ルール</x:v>
      </x:c>
      <x:c r="G9" s="148" t="str">
        <x:v>TOP-*,GR-*,EDI-*,DRI-*,EPI-*</x:v>
      </x:c>
      <x:c r="H9" s="148" t="str">
        <x:v>L0～L3</x:v>
      </x:c>
      <x:c r="I9" s="148" t="str">
        <x:v>5</x:v>
      </x:c>
      <x:c r="J9" s="148" t="str">
        <x:v>2</x:v>
      </x:c>
      <x:c r="K9" s="148" t="str">
        <x:v>CTA-ISSUE</x:v>
      </x:c>
      <x:c r="L9" s="148" t="str">
        <x:v>次工程</x:v>
      </x:c>
      <x:c r="M9" s="149" t="str">
        <x:v>重複統合と順位式</x:v>
      </x:c>
      <x:c r="N9" s="117"/>
      <x:c r="O9" s="117"/>
      <x:c r="P9" s="117"/>
      <x:c r="Q9" s="117"/>
      <x:c r="R9" s="117"/>
      <x:c r="S9" s="117"/>
      <x:c r="T9" s="117"/>
      <x:c r="U9" s="117"/>
      <x:c r="V9" s="117"/>
      <x:c r="W9" s="117"/>
      <x:c r="X9" s="117"/>
      <x:c r="Y9" s="117"/>
      <x:c r="Z9" s="117"/>
    </x:row>
    <x:row r="10">
      <x:c r="A10" s="158" t="str">
        <x:v>R2-OPN-01</x:v>
      </x:c>
      <x:c r="B10" s="159" t="str">
        <x:v>総合所見</x:v>
      </x:c>
      <x:c r="C10" s="159" t="str">
        <x:v>全KPI・Guardrail・TOP5</x:v>
      </x:c>
      <x:c r="D10" s="159" t="str">
        <x:v>TXT-OPN-001</x:v>
      </x:c>
      <x:c r="E10" s="159" t="str">
        <x:v>全Evidence</x:v>
      </x:c>
      <x:c r="F10" s="159" t="str">
        <x:v>全整合性ルール</x:v>
      </x:c>
      <x:c r="G10" s="159" t="str">
        <x:v>OPN-*＋選択済み部品</x:v>
      </x:c>
      <x:c r="H10" s="159" t="str">
        <x:v>L0～L3</x:v>
      </x:c>
      <x:c r="I10" s="159" t="str">
        <x:v>5段落</x:v>
      </x:c>
      <x:c r="J10" s="159" t="str">
        <x:v>4</x:v>
      </x:c>
      <x:c r="K10" s="159" t="str">
        <x:v>CTA-CONSULT</x:v>
      </x:c>
      <x:c r="L10" s="159" t="str">
        <x:v>次工程</x:v>
      </x:c>
      <x:c r="M10" s="160" t="str">
        <x:v>文章構成テンプレート作成</x:v>
      </x:c>
      <x:c r="N10" s="117"/>
      <x:c r="O10" s="117"/>
      <x:c r="P10" s="117"/>
      <x:c r="Q10" s="117"/>
      <x:c r="R10" s="117"/>
      <x:c r="S10" s="117"/>
      <x:c r="T10" s="117"/>
      <x:c r="U10" s="117"/>
      <x:c r="V10" s="117"/>
      <x:c r="W10" s="117"/>
      <x:c r="X10" s="117"/>
      <x:c r="Y10" s="117"/>
      <x:c r="Z10" s="117"/>
    </x:row>
    <x:row r="11">
      <x:c r="A11" s="297" t="str">
        <x:v>R1-KPI-CONF</x:v>
      </x:c>
      <x:c r="B11" s="298" t="str">
        <x:v>診断信頼度</x:v>
      </x:c>
      <x:c r="C11" s="298" t="str">
        <x:v>全質問＋全Evidence</x:v>
      </x:c>
      <x:c r="D11" s="298" t="str">
        <x:v>CONF-001</x:v>
      </x:c>
      <x:c r="E11" s="298" t="str">
        <x:v>EV-*</x:v>
      </x:c>
      <x:c r="F11" s="298" t="str">
        <x:v>CS-*</x:v>
      </x:c>
      <x:c r="G11" s="298" t="str">
        <x:v>DQ-CONF-*</x:v>
      </x:c>
      <x:c r="H11" s="298" t="str">
        <x:v>L0～L3</x:v>
      </x:c>
      <x:c r="I11" s="298" t="str">
        <x:v>1</x:v>
      </x:c>
      <x:c r="J11" s="298" t="str">
        <x:v>1</x:v>
      </x:c>
      <x:c r="K11" s="298" t="str">
        <x:v>CTA-DIAG</x:v>
      </x:c>
      <x:c r="L11" s="298" t="str">
        <x:v>具体化済み</x:v>
      </x:c>
      <x:c r="M11" s="299" t="str">
        <x:v>14シート参照</x:v>
      </x:c>
      <x:c r="N11" s="117"/>
      <x:c r="O11" s="117"/>
      <x:c r="P11" s="117"/>
      <x:c r="Q11" s="117"/>
      <x:c r="R11" s="117"/>
      <x:c r="S11" s="117"/>
      <x:c r="T11" s="117"/>
      <x:c r="U11" s="117"/>
      <x:c r="V11" s="117"/>
      <x:c r="W11" s="117"/>
      <x:c r="X11" s="117"/>
      <x:c r="Y11" s="117"/>
      <x:c r="Z11" s="117"/>
    </x:row>
    <x:row r="12">
      <x:c r="A12" s="300" t="str">
        <x:v>R1-KPI-COMP</x:v>
      </x:c>
      <x:c r="B12" s="148" t="str">
        <x:v>情報充足率</x:v>
      </x:c>
      <x:c r="C12" s="148" t="str">
        <x:v>全必須質問＋要求Evidence</x:v>
      </x:c>
      <x:c r="D12" s="148" t="str">
        <x:v>COMP-001</x:v>
      </x:c>
      <x:c r="E12" s="148" t="str">
        <x:v>EV-*</x:v>
      </x:c>
      <x:c r="F12" s="148" t="str">
        <x:v>CS-*</x:v>
      </x:c>
      <x:c r="G12" s="148" t="str">
        <x:v>DQ-COMP-*</x:v>
      </x:c>
      <x:c r="H12" s="148" t="str">
        <x:v>L1～L3</x:v>
      </x:c>
      <x:c r="I12" s="148" t="str">
        <x:v>1</x:v>
      </x:c>
      <x:c r="J12" s="148" t="str">
        <x:v>1</x:v>
      </x:c>
      <x:c r="K12" s="148" t="str">
        <x:v>CTA-UPLOAD</x:v>
      </x:c>
      <x:c r="L12" s="148" t="str">
        <x:v>具体化済み</x:v>
      </x:c>
      <x:c r="M12" s="301" t="str">
        <x:v>14シート参照</x:v>
      </x:c>
      <x:c r="N12" s="117"/>
      <x:c r="O12" s="117"/>
      <x:c r="P12" s="117"/>
      <x:c r="Q12" s="117"/>
      <x:c r="R12" s="117"/>
      <x:c r="S12" s="117"/>
      <x:c r="T12" s="117"/>
      <x:c r="U12" s="117"/>
      <x:c r="V12" s="117"/>
      <x:c r="W12" s="117"/>
      <x:c r="X12" s="117"/>
      <x:c r="Y12" s="117"/>
      <x:c r="Z12" s="117"/>
    </x:row>
    <x:row r="13">
      <x:c r="A13" s="300" t="str">
        <x:v>R2-DQ-01</x:v>
      </x:c>
      <x:c r="B13" s="148" t="str">
        <x:v>診断信頼度内訳</x:v>
      </x:c>
      <x:c r="C13" s="148" t="str">
        <x:v>全Evidence品質要素</x:v>
      </x:c>
      <x:c r="D13" s="148" t="str">
        <x:v>CONF-DETAIL-001</x:v>
      </x:c>
      <x:c r="E13" s="148" t="str">
        <x:v>EV-*</x:v>
      </x:c>
      <x:c r="F13" s="148" t="str">
        <x:v>CS-*</x:v>
      </x:c>
      <x:c r="G13" s="148" t="str">
        <x:v>DQ-CONF-*</x:v>
      </x:c>
      <x:c r="H13" s="148" t="str">
        <x:v>L0～L3</x:v>
      </x:c>
      <x:c r="I13" s="148" t="str">
        <x:v>5要素</x:v>
      </x:c>
      <x:c r="J13" s="148" t="str">
        <x:v>2</x:v>
      </x:c>
      <x:c r="K13" s="148" t="str">
        <x:v>CTA-DIAG</x:v>
      </x:c>
      <x:c r="L13" s="148" t="str">
        <x:v>具体化済み</x:v>
      </x:c>
      <x:c r="M13" s="301" t="str"/>
      <x:c r="N13" s="117"/>
      <x:c r="O13" s="117"/>
      <x:c r="P13" s="117"/>
      <x:c r="Q13" s="117"/>
      <x:c r="R13" s="117"/>
      <x:c r="S13" s="117"/>
      <x:c r="T13" s="117"/>
      <x:c r="U13" s="117"/>
      <x:c r="V13" s="117"/>
      <x:c r="W13" s="117"/>
      <x:c r="X13" s="117"/>
      <x:c r="Y13" s="117"/>
      <x:c r="Z13" s="117"/>
    </x:row>
    <x:row r="14">
      <x:c r="A14" s="300" t="str">
        <x:v>R2-DQ-02</x:v>
      </x:c>
      <x:c r="B14" s="148" t="str">
        <x:v>情報充足率内訳</x:v>
      </x:c>
      <x:c r="C14" s="148" t="str">
        <x:v>必須回答・Evidence・対象カバー</x:v>
      </x:c>
      <x:c r="D14" s="148" t="str">
        <x:v>COMP-DETAIL-001</x:v>
      </x:c>
      <x:c r="E14" s="148" t="str">
        <x:v>EV-*</x:v>
      </x:c>
      <x:c r="F14" s="148" t="str">
        <x:v>CS-*</x:v>
      </x:c>
      <x:c r="G14" s="148" t="str">
        <x:v>DQ-COMP-*</x:v>
      </x:c>
      <x:c r="H14" s="148" t="str">
        <x:v>L1～L3</x:v>
      </x:c>
      <x:c r="I14" s="148" t="str">
        <x:v>3要素</x:v>
      </x:c>
      <x:c r="J14" s="148" t="str">
        <x:v>2</x:v>
      </x:c>
      <x:c r="K14" s="148" t="str">
        <x:v>CTA-UPLOAD</x:v>
      </x:c>
      <x:c r="L14" s="148" t="str">
        <x:v>具体化済み</x:v>
      </x:c>
      <x:c r="M14" s="301" t="str"/>
      <x:c r="N14" s="117"/>
      <x:c r="O14" s="117"/>
      <x:c r="P14" s="117"/>
      <x:c r="Q14" s="117"/>
      <x:c r="R14" s="117"/>
      <x:c r="S14" s="117"/>
      <x:c r="T14" s="117"/>
      <x:c r="U14" s="117"/>
      <x:c r="V14" s="117"/>
      <x:c r="W14" s="117"/>
      <x:c r="X14" s="117"/>
      <x:c r="Y14" s="117"/>
      <x:c r="Z14" s="117"/>
    </x:row>
    <x:row r="15">
      <x:c r="A15" s="302" t="str">
        <x:v>R2-OPN-01</x:v>
      </x:c>
      <x:c r="B15" s="303" t="str">
        <x:v>総合所見</x:v>
      </x:c>
      <x:c r="C15" s="303" t="str">
        <x:v>KPI・Guardrail・TOP5・品質</x:v>
      </x:c>
      <x:c r="D15" s="303" t="str">
        <x:v>TXT-OPN-001</x:v>
      </x:c>
      <x:c r="E15" s="303" t="str">
        <x:v>全Evidence</x:v>
      </x:c>
      <x:c r="F15" s="303" t="str">
        <x:v>全整合性</x:v>
      </x:c>
      <x:c r="G15" s="303" t="str">
        <x:v>OPN-*</x:v>
      </x:c>
      <x:c r="H15" s="303" t="str">
        <x:v>L0～L3</x:v>
      </x:c>
      <x:c r="I15" s="303" t="str">
        <x:v>5段落</x:v>
      </x:c>
      <x:c r="J15" s="303" t="str">
        <x:v>4</x:v>
      </x:c>
      <x:c r="K15" s="303" t="str">
        <x:v>CTA-CONSULT</x:v>
      </x:c>
      <x:c r="L15" s="303" t="str">
        <x:v>具体化済み</x:v>
      </x:c>
      <x:c r="M15" s="304" t="str">
        <x:v>14文章生成順序参照</x:v>
      </x:c>
      <x:c r="N15" s="117"/>
      <x:c r="O15" s="117"/>
      <x:c r="P15" s="117"/>
      <x:c r="Q15" s="117"/>
      <x:c r="R15" s="117"/>
      <x:c r="S15" s="117"/>
      <x:c r="T15" s="117"/>
      <x:c r="U15" s="117"/>
      <x:c r="V15" s="117"/>
      <x:c r="W15" s="117"/>
      <x:c r="X15" s="117"/>
      <x:c r="Y15" s="117"/>
      <x:c r="Z15" s="117"/>
    </x:row>
    <x:row r="16">
      <x:c r="A16" s="117"/>
      <x:c r="B16" s="117"/>
      <x:c r="C16" s="117"/>
      <x:c r="D16" s="117"/>
      <x:c r="E16" s="117"/>
      <x:c r="F16" s="117"/>
      <x:c r="G16" s="117"/>
      <x:c r="H16" s="117"/>
      <x:c r="I16" s="117"/>
      <x:c r="J16" s="117"/>
      <x:c r="K16" s="117"/>
      <x:c r="L16" s="117"/>
      <x:c r="M16" s="117"/>
      <x:c r="N16" s="117"/>
      <x:c r="O16" s="117"/>
      <x:c r="P16" s="117"/>
      <x:c r="Q16" s="117"/>
      <x:c r="R16" s="117"/>
      <x:c r="S16" s="117"/>
      <x:c r="T16" s="117"/>
      <x:c r="U16" s="117"/>
      <x:c r="V16" s="117"/>
      <x:c r="W16" s="117"/>
      <x:c r="X16" s="117"/>
      <x:c r="Y16" s="117"/>
      <x:c r="Z16" s="117"/>
    </x:row>
    <x:row r="17">
      <x:c r="A17" s="117"/>
      <x:c r="B17" s="117"/>
      <x:c r="C17" s="117"/>
      <x:c r="D17" s="117"/>
      <x:c r="E17" s="117"/>
      <x:c r="F17" s="117"/>
      <x:c r="G17" s="117"/>
      <x:c r="H17" s="117"/>
      <x:c r="I17" s="117"/>
      <x:c r="J17" s="117"/>
      <x:c r="K17" s="117"/>
      <x:c r="L17" s="117"/>
      <x:c r="M17" s="117"/>
      <x:c r="N17" s="117"/>
      <x:c r="O17" s="117"/>
      <x:c r="P17" s="117"/>
      <x:c r="Q17" s="117"/>
      <x:c r="R17" s="117"/>
      <x:c r="S17" s="117"/>
      <x:c r="T17" s="117"/>
      <x:c r="U17" s="117"/>
      <x:c r="V17" s="117"/>
      <x:c r="W17" s="117"/>
      <x:c r="X17" s="117"/>
      <x:c r="Y17" s="117"/>
      <x:c r="Z17" s="117"/>
    </x:row>
    <x:row r="18">
      <x:c r="A18" s="117"/>
      <x:c r="B18" s="117"/>
      <x:c r="C18" s="117"/>
      <x:c r="D18" s="117"/>
      <x:c r="E18" s="117"/>
      <x:c r="F18" s="117"/>
      <x:c r="G18" s="117"/>
      <x:c r="H18" s="117"/>
      <x:c r="I18" s="117"/>
      <x:c r="J18" s="117"/>
      <x:c r="K18" s="117"/>
      <x:c r="L18" s="117"/>
      <x:c r="M18" s="117"/>
      <x:c r="N18" s="117"/>
      <x:c r="O18" s="117"/>
      <x:c r="P18" s="117"/>
      <x:c r="Q18" s="117"/>
      <x:c r="R18" s="117"/>
      <x:c r="S18" s="117"/>
      <x:c r="T18" s="117"/>
      <x:c r="U18" s="117"/>
      <x:c r="V18" s="117"/>
      <x:c r="W18" s="117"/>
      <x:c r="X18" s="117"/>
      <x:c r="Y18" s="117"/>
      <x:c r="Z18" s="117"/>
    </x:row>
    <x:row r="19">
      <x:c r="A19" s="117"/>
      <x:c r="B19" s="117"/>
      <x:c r="C19" s="117"/>
      <x:c r="D19" s="117"/>
      <x:c r="E19" s="117"/>
      <x:c r="F19" s="117"/>
      <x:c r="G19" s="117"/>
      <x:c r="H19" s="117"/>
      <x:c r="I19" s="117"/>
      <x:c r="J19" s="117"/>
      <x:c r="K19" s="117"/>
      <x:c r="L19" s="117"/>
      <x:c r="M19" s="117"/>
      <x:c r="N19" s="117"/>
      <x:c r="O19" s="117"/>
      <x:c r="P19" s="117"/>
      <x:c r="Q19" s="117"/>
      <x:c r="R19" s="117"/>
      <x:c r="S19" s="117"/>
      <x:c r="T19" s="117"/>
      <x:c r="U19" s="117"/>
      <x:c r="V19" s="117"/>
      <x:c r="W19" s="117"/>
      <x:c r="X19" s="117"/>
      <x:c r="Y19" s="117"/>
      <x:c r="Z19" s="117"/>
    </x:row>
    <x:row r="20">
      <x:c r="A20" s="117"/>
      <x:c r="B20" s="117"/>
      <x:c r="C20" s="117"/>
      <x:c r="D20" s="117"/>
      <x:c r="E20" s="117"/>
      <x:c r="F20" s="117"/>
      <x:c r="G20" s="117"/>
      <x:c r="H20" s="117"/>
      <x:c r="I20" s="117"/>
      <x:c r="J20" s="117"/>
      <x:c r="K20" s="117"/>
      <x:c r="L20" s="117"/>
      <x:c r="M20" s="117"/>
      <x:c r="N20" s="117"/>
      <x:c r="O20" s="117"/>
      <x:c r="P20" s="117"/>
      <x:c r="Q20" s="117"/>
      <x:c r="R20" s="117"/>
      <x:c r="S20" s="117"/>
      <x:c r="T20" s="117"/>
      <x:c r="U20" s="117"/>
      <x:c r="V20" s="117"/>
      <x:c r="W20" s="117"/>
      <x:c r="X20" s="117"/>
      <x:c r="Y20" s="117"/>
      <x:c r="Z20" s="117"/>
    </x:row>
    <x:row r="21">
      <x:c r="A21" s="117"/>
      <x:c r="B21" s="117"/>
      <x:c r="C21" s="117"/>
      <x:c r="D21" s="117"/>
      <x:c r="E21" s="117"/>
      <x:c r="F21" s="117"/>
      <x:c r="G21" s="117"/>
      <x:c r="H21" s="117"/>
      <x:c r="I21" s="117"/>
      <x:c r="J21" s="117"/>
      <x:c r="K21" s="117"/>
      <x:c r="L21" s="117"/>
      <x:c r="M21" s="117"/>
      <x:c r="N21" s="117"/>
      <x:c r="O21" s="117"/>
      <x:c r="P21" s="117"/>
      <x:c r="Q21" s="117"/>
      <x:c r="R21" s="117"/>
      <x:c r="S21" s="117"/>
      <x:c r="T21" s="117"/>
      <x:c r="U21" s="117"/>
      <x:c r="V21" s="117"/>
      <x:c r="W21" s="117"/>
      <x:c r="X21" s="117"/>
      <x:c r="Y21" s="117"/>
      <x:c r="Z21" s="117"/>
    </x:row>
    <x:row r="22">
      <x:c r="A22" s="117"/>
      <x:c r="B22" s="117"/>
      <x:c r="C22" s="117"/>
      <x:c r="D22" s="117"/>
      <x:c r="E22" s="117"/>
      <x:c r="F22" s="117"/>
      <x:c r="G22" s="117"/>
      <x:c r="H22" s="117"/>
      <x:c r="I22" s="117"/>
      <x:c r="J22" s="117"/>
      <x:c r="K22" s="117"/>
      <x:c r="L22" s="117"/>
      <x:c r="M22" s="117"/>
      <x:c r="N22" s="117"/>
      <x:c r="O22" s="117"/>
      <x:c r="P22" s="117"/>
      <x:c r="Q22" s="117"/>
      <x:c r="R22" s="117"/>
      <x:c r="S22" s="117"/>
      <x:c r="T22" s="117"/>
      <x:c r="U22" s="117"/>
      <x:c r="V22" s="117"/>
      <x:c r="W22" s="117"/>
      <x:c r="X22" s="117"/>
      <x:c r="Y22" s="117"/>
      <x:c r="Z22" s="117"/>
    </x:row>
    <x:row r="23">
      <x:c r="A23" s="117"/>
      <x:c r="B23" s="117"/>
      <x:c r="C23" s="117"/>
      <x:c r="D23" s="117"/>
      <x:c r="E23" s="117"/>
      <x:c r="F23" s="117"/>
      <x:c r="G23" s="117"/>
      <x:c r="H23" s="117"/>
      <x:c r="I23" s="117"/>
      <x:c r="J23" s="117"/>
      <x:c r="K23" s="117"/>
      <x:c r="L23" s="117"/>
      <x:c r="M23" s="117"/>
      <x:c r="N23" s="117"/>
      <x:c r="O23" s="117"/>
      <x:c r="P23" s="117"/>
      <x:c r="Q23" s="117"/>
      <x:c r="R23" s="117"/>
      <x:c r="S23" s="117"/>
      <x:c r="T23" s="117"/>
      <x:c r="U23" s="117"/>
      <x:c r="V23" s="117"/>
      <x:c r="W23" s="117"/>
      <x:c r="X23" s="117"/>
      <x:c r="Y23" s="117"/>
      <x:c r="Z23" s="117"/>
    </x:row>
    <x:row r="24">
      <x:c r="A24" s="117"/>
      <x:c r="B24" s="117"/>
      <x:c r="C24" s="117"/>
      <x:c r="D24" s="117"/>
      <x:c r="E24" s="117"/>
      <x:c r="F24" s="117"/>
      <x:c r="G24" s="117"/>
      <x:c r="H24" s="117"/>
      <x:c r="I24" s="117"/>
      <x:c r="J24" s="117"/>
      <x:c r="K24" s="117"/>
      <x:c r="L24" s="117"/>
      <x:c r="M24" s="117"/>
      <x:c r="N24" s="117"/>
      <x:c r="O24" s="117"/>
      <x:c r="P24" s="117"/>
      <x:c r="Q24" s="117"/>
      <x:c r="R24" s="117"/>
      <x:c r="S24" s="117"/>
      <x:c r="T24" s="117"/>
      <x:c r="U24" s="117"/>
      <x:c r="V24" s="117"/>
      <x:c r="W24" s="117"/>
      <x:c r="X24" s="117"/>
      <x:c r="Y24" s="117"/>
      <x:c r="Z24" s="117"/>
    </x:row>
    <x:row r="25">
      <x:c r="A25" s="117"/>
      <x:c r="B25" s="117"/>
      <x:c r="C25" s="117"/>
      <x:c r="D25" s="117"/>
      <x:c r="E25" s="117"/>
      <x:c r="F25" s="117"/>
      <x:c r="G25" s="117"/>
      <x:c r="H25" s="117"/>
      <x:c r="I25" s="117"/>
      <x:c r="J25" s="117"/>
      <x:c r="K25" s="117"/>
      <x:c r="L25" s="117"/>
      <x:c r="M25" s="117"/>
      <x:c r="N25" s="117"/>
      <x:c r="O25" s="117"/>
      <x:c r="P25" s="117"/>
      <x:c r="Q25" s="117"/>
      <x:c r="R25" s="117"/>
      <x:c r="S25" s="117"/>
      <x:c r="T25" s="117"/>
      <x:c r="U25" s="117"/>
      <x:c r="V25" s="117"/>
      <x:c r="W25" s="117"/>
      <x:c r="X25" s="117"/>
      <x:c r="Y25" s="117"/>
      <x:c r="Z25" s="117"/>
    </x:row>
    <x:row r="26">
      <x:c r="A26" s="117"/>
      <x:c r="B26" s="117"/>
      <x:c r="C26" s="117"/>
      <x:c r="D26" s="117"/>
      <x:c r="E26" s="117"/>
      <x:c r="F26" s="117"/>
      <x:c r="G26" s="117"/>
      <x:c r="H26" s="117"/>
      <x:c r="I26" s="117"/>
      <x:c r="J26" s="117"/>
      <x:c r="K26" s="117"/>
      <x:c r="L26" s="117"/>
      <x:c r="M26" s="117"/>
      <x:c r="N26" s="117"/>
      <x:c r="O26" s="117"/>
      <x:c r="P26" s="117"/>
      <x:c r="Q26" s="117"/>
      <x:c r="R26" s="117"/>
      <x:c r="S26" s="117"/>
      <x:c r="T26" s="117"/>
      <x:c r="U26" s="117"/>
      <x:c r="V26" s="117"/>
      <x:c r="W26" s="117"/>
      <x:c r="X26" s="117"/>
      <x:c r="Y26" s="117"/>
      <x:c r="Z26" s="117"/>
    </x:row>
    <x:row r="27">
      <x:c r="A27" s="117"/>
      <x:c r="B27" s="117"/>
      <x:c r="C27" s="117"/>
      <x:c r="D27" s="117"/>
      <x:c r="E27" s="117"/>
      <x:c r="F27" s="117"/>
      <x:c r="G27" s="117"/>
      <x:c r="H27" s="117"/>
      <x:c r="I27" s="117"/>
      <x:c r="J27" s="117"/>
      <x:c r="K27" s="117"/>
      <x:c r="L27" s="117"/>
      <x:c r="M27" s="117"/>
      <x:c r="N27" s="117"/>
      <x:c r="O27" s="117"/>
      <x:c r="P27" s="117"/>
      <x:c r="Q27" s="117"/>
      <x:c r="R27" s="117"/>
      <x:c r="S27" s="117"/>
      <x:c r="T27" s="117"/>
      <x:c r="U27" s="117"/>
      <x:c r="V27" s="117"/>
      <x:c r="W27" s="117"/>
      <x:c r="X27" s="117"/>
      <x:c r="Y27" s="117"/>
      <x:c r="Z27" s="117"/>
    </x:row>
    <x:row r="28">
      <x:c r="A28" s="117"/>
      <x:c r="B28" s="117"/>
      <x:c r="C28" s="117"/>
      <x:c r="D28" s="117"/>
      <x:c r="E28" s="117"/>
      <x:c r="F28" s="117"/>
      <x:c r="G28" s="117"/>
      <x:c r="H28" s="117"/>
      <x:c r="I28" s="117"/>
      <x:c r="J28" s="117"/>
      <x:c r="K28" s="117"/>
      <x:c r="L28" s="117"/>
      <x:c r="M28" s="117"/>
      <x:c r="N28" s="117"/>
      <x:c r="O28" s="117"/>
      <x:c r="P28" s="117"/>
      <x:c r="Q28" s="117"/>
      <x:c r="R28" s="117"/>
      <x:c r="S28" s="117"/>
      <x:c r="T28" s="117"/>
      <x:c r="U28" s="117"/>
      <x:c r="V28" s="117"/>
      <x:c r="W28" s="117"/>
      <x:c r="X28" s="117"/>
      <x:c r="Y28" s="117"/>
      <x:c r="Z28" s="117"/>
    </x:row>
    <x:row r="29">
      <x:c r="A29" s="117"/>
      <x:c r="B29" s="117"/>
      <x:c r="C29" s="117"/>
      <x:c r="D29" s="117"/>
      <x:c r="E29" s="117"/>
      <x:c r="F29" s="117"/>
      <x:c r="G29" s="117"/>
      <x:c r="H29" s="117"/>
      <x:c r="I29" s="117"/>
      <x:c r="J29" s="117"/>
      <x:c r="K29" s="117"/>
      <x:c r="L29" s="117"/>
      <x:c r="M29" s="117"/>
      <x:c r="N29" s="117"/>
      <x:c r="O29" s="117"/>
      <x:c r="P29" s="117"/>
      <x:c r="Q29" s="117"/>
      <x:c r="R29" s="117"/>
      <x:c r="S29" s="117"/>
      <x:c r="T29" s="117"/>
      <x:c r="U29" s="117"/>
      <x:c r="V29" s="117"/>
      <x:c r="W29" s="117"/>
      <x:c r="X29" s="117"/>
      <x:c r="Y29" s="117"/>
      <x:c r="Z29" s="117"/>
    </x:row>
    <x:row r="30">
      <x:c r="A30" s="117"/>
      <x:c r="B30" s="117"/>
      <x:c r="C30" s="117"/>
      <x:c r="D30" s="117"/>
      <x:c r="E30" s="117"/>
      <x:c r="F30" s="117"/>
      <x:c r="G30" s="117"/>
      <x:c r="H30" s="117"/>
      <x:c r="I30" s="117"/>
      <x:c r="J30" s="117"/>
      <x:c r="K30" s="117"/>
      <x:c r="L30" s="117"/>
      <x:c r="M30" s="117"/>
      <x:c r="N30" s="117"/>
      <x:c r="O30" s="117"/>
      <x:c r="P30" s="117"/>
      <x:c r="Q30" s="117"/>
      <x:c r="R30" s="117"/>
      <x:c r="S30" s="117"/>
      <x:c r="T30" s="117"/>
      <x:c r="U30" s="117"/>
      <x:c r="V30" s="117"/>
      <x:c r="W30" s="117"/>
      <x:c r="X30" s="117"/>
      <x:c r="Y30" s="117"/>
      <x:c r="Z30" s="117"/>
    </x:row>
    <x:row r="31">
      <x:c r="A31" s="117"/>
      <x:c r="B31" s="117"/>
      <x:c r="C31" s="117"/>
      <x:c r="D31" s="117"/>
      <x:c r="E31" s="117"/>
      <x:c r="F31" s="117"/>
      <x:c r="G31" s="117"/>
      <x:c r="H31" s="117"/>
      <x:c r="I31" s="117"/>
      <x:c r="J31" s="117"/>
      <x:c r="K31" s="117"/>
      <x:c r="L31" s="117"/>
      <x:c r="M31" s="117"/>
      <x:c r="N31" s="117"/>
      <x:c r="O31" s="117"/>
      <x:c r="P31" s="117"/>
      <x:c r="Q31" s="117"/>
      <x:c r="R31" s="117"/>
      <x:c r="S31" s="117"/>
      <x:c r="T31" s="117"/>
      <x:c r="U31" s="117"/>
      <x:c r="V31" s="117"/>
      <x:c r="W31" s="117"/>
      <x:c r="X31" s="117"/>
      <x:c r="Y31" s="117"/>
      <x:c r="Z31" s="117"/>
    </x:row>
    <x:row r="32">
      <x:c r="A32" s="117"/>
      <x:c r="B32" s="117"/>
      <x:c r="C32" s="117"/>
      <x:c r="D32" s="117"/>
      <x:c r="E32" s="117"/>
      <x:c r="F32" s="117"/>
      <x:c r="G32" s="117"/>
      <x:c r="H32" s="117"/>
      <x:c r="I32" s="117"/>
      <x:c r="J32" s="117"/>
      <x:c r="K32" s="117"/>
      <x:c r="L32" s="117"/>
      <x:c r="M32" s="117"/>
      <x:c r="N32" s="117"/>
      <x:c r="O32" s="117"/>
      <x:c r="P32" s="117"/>
      <x:c r="Q32" s="117"/>
      <x:c r="R32" s="117"/>
      <x:c r="S32" s="117"/>
      <x:c r="T32" s="117"/>
      <x:c r="U32" s="117"/>
      <x:c r="V32" s="117"/>
      <x:c r="W32" s="117"/>
      <x:c r="X32" s="117"/>
      <x:c r="Y32" s="117"/>
      <x:c r="Z32" s="117"/>
    </x:row>
    <x:row r="33">
      <x:c r="A33" s="117"/>
      <x:c r="B33" s="117"/>
      <x:c r="C33" s="117"/>
      <x:c r="D33" s="117"/>
      <x:c r="E33" s="117"/>
      <x:c r="F33" s="117"/>
      <x:c r="G33" s="117"/>
      <x:c r="H33" s="117"/>
      <x:c r="I33" s="117"/>
      <x:c r="J33" s="117"/>
      <x:c r="K33" s="117"/>
      <x:c r="L33" s="117"/>
      <x:c r="M33" s="117"/>
      <x:c r="N33" s="117"/>
      <x:c r="O33" s="117"/>
      <x:c r="P33" s="117"/>
      <x:c r="Q33" s="117"/>
      <x:c r="R33" s="117"/>
      <x:c r="S33" s="117"/>
      <x:c r="T33" s="117"/>
      <x:c r="U33" s="117"/>
      <x:c r="V33" s="117"/>
      <x:c r="W33" s="117"/>
      <x:c r="X33" s="117"/>
      <x:c r="Y33" s="117"/>
      <x:c r="Z33" s="117"/>
    </x:row>
    <x:row r="34">
      <x:c r="A34" s="117"/>
      <x:c r="B34" s="117"/>
      <x:c r="C34" s="117"/>
      <x:c r="D34" s="117"/>
      <x:c r="E34" s="117"/>
      <x:c r="F34" s="117"/>
      <x:c r="G34" s="117"/>
      <x:c r="H34" s="117"/>
      <x:c r="I34" s="117"/>
      <x:c r="J34" s="117"/>
      <x:c r="K34" s="117"/>
      <x:c r="L34" s="117"/>
      <x:c r="M34" s="117"/>
      <x:c r="N34" s="117"/>
      <x:c r="O34" s="117"/>
      <x:c r="P34" s="117"/>
      <x:c r="Q34" s="117"/>
      <x:c r="R34" s="117"/>
      <x:c r="S34" s="117"/>
      <x:c r="T34" s="117"/>
      <x:c r="U34" s="117"/>
      <x:c r="V34" s="117"/>
      <x:c r="W34" s="117"/>
      <x:c r="X34" s="117"/>
      <x:c r="Y34" s="117"/>
      <x:c r="Z34" s="117"/>
    </x:row>
    <x:row r="35">
      <x:c r="A35" s="117"/>
      <x:c r="B35" s="117"/>
      <x:c r="C35" s="117"/>
      <x:c r="D35" s="117"/>
      <x:c r="E35" s="117"/>
      <x:c r="F35" s="117"/>
      <x:c r="G35" s="117"/>
      <x:c r="H35" s="117"/>
      <x:c r="I35" s="117"/>
      <x:c r="J35" s="117"/>
      <x:c r="K35" s="117"/>
      <x:c r="L35" s="117"/>
      <x:c r="M35" s="117"/>
      <x:c r="N35" s="117"/>
      <x:c r="O35" s="117"/>
      <x:c r="P35" s="117"/>
      <x:c r="Q35" s="117"/>
      <x:c r="R35" s="117"/>
      <x:c r="S35" s="117"/>
      <x:c r="T35" s="117"/>
      <x:c r="U35" s="117"/>
      <x:c r="V35" s="117"/>
      <x:c r="W35" s="117"/>
      <x:c r="X35" s="117"/>
      <x:c r="Y35" s="117"/>
      <x:c r="Z35" s="117"/>
    </x:row>
    <x:row r="36">
      <x:c r="A36" s="117"/>
      <x:c r="B36" s="117"/>
      <x:c r="C36" s="117"/>
      <x:c r="D36" s="117"/>
      <x:c r="E36" s="117"/>
      <x:c r="F36" s="117"/>
      <x:c r="G36" s="117"/>
      <x:c r="H36" s="117"/>
      <x:c r="I36" s="117"/>
      <x:c r="J36" s="117"/>
      <x:c r="K36" s="117"/>
      <x:c r="L36" s="117"/>
      <x:c r="M36" s="117"/>
      <x:c r="N36" s="117"/>
      <x:c r="O36" s="117"/>
      <x:c r="P36" s="117"/>
      <x:c r="Q36" s="117"/>
      <x:c r="R36" s="117"/>
      <x:c r="S36" s="117"/>
      <x:c r="T36" s="117"/>
      <x:c r="U36" s="117"/>
      <x:c r="V36" s="117"/>
      <x:c r="W36" s="117"/>
      <x:c r="X36" s="117"/>
      <x:c r="Y36" s="117"/>
      <x:c r="Z36" s="117"/>
    </x:row>
    <x:row r="37">
      <x:c r="A37" s="117"/>
      <x:c r="B37" s="117"/>
      <x:c r="C37" s="117"/>
      <x:c r="D37" s="117"/>
      <x:c r="E37" s="117"/>
      <x:c r="F37" s="117"/>
      <x:c r="G37" s="117"/>
      <x:c r="H37" s="117"/>
      <x:c r="I37" s="117"/>
      <x:c r="J37" s="117"/>
      <x:c r="K37" s="117"/>
      <x:c r="L37" s="117"/>
      <x:c r="M37" s="117"/>
      <x:c r="N37" s="117"/>
      <x:c r="O37" s="117"/>
      <x:c r="P37" s="117"/>
      <x:c r="Q37" s="117"/>
      <x:c r="R37" s="117"/>
      <x:c r="S37" s="117"/>
      <x:c r="T37" s="117"/>
      <x:c r="U37" s="117"/>
      <x:c r="V37" s="117"/>
      <x:c r="W37" s="117"/>
      <x:c r="X37" s="117"/>
      <x:c r="Y37" s="117"/>
      <x:c r="Z37" s="117"/>
    </x:row>
    <x:row r="38">
      <x:c r="A38" s="117"/>
      <x:c r="B38" s="117"/>
      <x:c r="C38" s="117"/>
      <x:c r="D38" s="117"/>
      <x:c r="E38" s="117"/>
      <x:c r="F38" s="117"/>
      <x:c r="G38" s="117"/>
      <x:c r="H38" s="117"/>
      <x:c r="I38" s="117"/>
      <x:c r="J38" s="117"/>
      <x:c r="K38" s="117"/>
      <x:c r="L38" s="117"/>
      <x:c r="M38" s="117"/>
      <x:c r="N38" s="117"/>
      <x:c r="O38" s="117"/>
      <x:c r="P38" s="117"/>
      <x:c r="Q38" s="117"/>
      <x:c r="R38" s="117"/>
      <x:c r="S38" s="117"/>
      <x:c r="T38" s="117"/>
      <x:c r="U38" s="117"/>
      <x:c r="V38" s="117"/>
      <x:c r="W38" s="117"/>
      <x:c r="X38" s="117"/>
      <x:c r="Y38" s="117"/>
      <x:c r="Z38" s="117"/>
    </x:row>
    <x:row r="39">
      <x:c r="A39" s="117"/>
      <x:c r="B39" s="117"/>
      <x:c r="C39" s="117"/>
      <x:c r="D39" s="117"/>
      <x:c r="E39" s="117"/>
      <x:c r="F39" s="117"/>
      <x:c r="G39" s="117"/>
      <x:c r="H39" s="117"/>
      <x:c r="I39" s="117"/>
      <x:c r="J39" s="117"/>
      <x:c r="K39" s="117"/>
      <x:c r="L39" s="117"/>
      <x:c r="M39" s="117"/>
      <x:c r="N39" s="117"/>
      <x:c r="O39" s="117"/>
      <x:c r="P39" s="117"/>
      <x:c r="Q39" s="117"/>
      <x:c r="R39" s="117"/>
      <x:c r="S39" s="117"/>
      <x:c r="T39" s="117"/>
      <x:c r="U39" s="117"/>
      <x:c r="V39" s="117"/>
      <x:c r="W39" s="117"/>
      <x:c r="X39" s="117"/>
      <x:c r="Y39" s="117"/>
      <x:c r="Z39" s="117"/>
    </x:row>
    <x:row r="40">
      <x:c r="A40" s="117"/>
      <x:c r="B40" s="117"/>
      <x:c r="C40" s="117"/>
      <x:c r="D40" s="117"/>
      <x:c r="E40" s="117"/>
      <x:c r="F40" s="117"/>
      <x:c r="G40" s="117"/>
      <x:c r="H40" s="117"/>
      <x:c r="I40" s="117"/>
      <x:c r="J40" s="117"/>
      <x:c r="K40" s="117"/>
      <x:c r="L40" s="117"/>
      <x:c r="M40" s="117"/>
      <x:c r="N40" s="117"/>
      <x:c r="O40" s="117"/>
      <x:c r="P40" s="117"/>
      <x:c r="Q40" s="117"/>
      <x:c r="R40" s="117"/>
      <x:c r="S40" s="117"/>
      <x:c r="T40" s="117"/>
      <x:c r="U40" s="117"/>
      <x:c r="V40" s="117"/>
      <x:c r="W40" s="117"/>
      <x:c r="X40" s="117"/>
      <x:c r="Y40" s="117"/>
      <x:c r="Z40" s="117"/>
    </x:row>
    <x:row r="41">
      <x:c r="A41" s="117"/>
      <x:c r="B41" s="117"/>
      <x:c r="C41" s="117"/>
      <x:c r="D41" s="117"/>
      <x:c r="E41" s="117"/>
      <x:c r="F41" s="117"/>
      <x:c r="G41" s="117"/>
      <x:c r="H41" s="117"/>
      <x:c r="I41" s="117"/>
      <x:c r="J41" s="117"/>
      <x:c r="K41" s="117"/>
      <x:c r="L41" s="117"/>
      <x:c r="M41" s="117"/>
      <x:c r="N41" s="117"/>
      <x:c r="O41" s="117"/>
      <x:c r="P41" s="117"/>
      <x:c r="Q41" s="117"/>
      <x:c r="R41" s="117"/>
      <x:c r="S41" s="117"/>
      <x:c r="T41" s="117"/>
      <x:c r="U41" s="117"/>
      <x:c r="V41" s="117"/>
      <x:c r="W41" s="117"/>
      <x:c r="X41" s="117"/>
      <x:c r="Y41" s="117"/>
      <x:c r="Z41" s="117"/>
    </x:row>
    <x:row r="42">
      <x:c r="A42" s="117"/>
      <x:c r="B42" s="117"/>
      <x:c r="C42" s="117"/>
      <x:c r="D42" s="117"/>
      <x:c r="E42" s="117"/>
      <x:c r="F42" s="117"/>
      <x:c r="G42" s="117"/>
      <x:c r="H42" s="117"/>
      <x:c r="I42" s="117"/>
      <x:c r="J42" s="117"/>
      <x:c r="K42" s="117"/>
      <x:c r="L42" s="117"/>
      <x:c r="M42" s="117"/>
      <x:c r="N42" s="117"/>
      <x:c r="O42" s="117"/>
      <x:c r="P42" s="117"/>
      <x:c r="Q42" s="117"/>
      <x:c r="R42" s="117"/>
      <x:c r="S42" s="117"/>
      <x:c r="T42" s="117"/>
      <x:c r="U42" s="117"/>
      <x:c r="V42" s="117"/>
      <x:c r="W42" s="117"/>
      <x:c r="X42" s="117"/>
      <x:c r="Y42" s="117"/>
      <x:c r="Z42" s="117"/>
    </x:row>
    <x:row r="43">
      <x:c r="A43" s="117"/>
      <x:c r="B43" s="117"/>
      <x:c r="C43" s="117"/>
      <x:c r="D43" s="117"/>
      <x:c r="E43" s="117"/>
      <x:c r="F43" s="117"/>
      <x:c r="G43" s="117"/>
      <x:c r="H43" s="117"/>
      <x:c r="I43" s="117"/>
      <x:c r="J43" s="117"/>
      <x:c r="K43" s="117"/>
      <x:c r="L43" s="117"/>
      <x:c r="M43" s="117"/>
      <x:c r="N43" s="117"/>
      <x:c r="O43" s="117"/>
      <x:c r="P43" s="117"/>
      <x:c r="Q43" s="117"/>
      <x:c r="R43" s="117"/>
      <x:c r="S43" s="117"/>
      <x:c r="T43" s="117"/>
      <x:c r="U43" s="117"/>
      <x:c r="V43" s="117"/>
      <x:c r="W43" s="117"/>
      <x:c r="X43" s="117"/>
      <x:c r="Y43" s="117"/>
      <x:c r="Z43" s="117"/>
    </x:row>
    <x:row r="44">
      <x:c r="A44" s="117"/>
      <x:c r="B44" s="117"/>
      <x:c r="C44" s="117"/>
      <x:c r="D44" s="117"/>
      <x:c r="E44" s="117"/>
      <x:c r="F44" s="117"/>
      <x:c r="G44" s="117"/>
      <x:c r="H44" s="117"/>
      <x:c r="I44" s="117"/>
      <x:c r="J44" s="117"/>
      <x:c r="K44" s="117"/>
      <x:c r="L44" s="117"/>
      <x:c r="M44" s="117"/>
      <x:c r="N44" s="117"/>
      <x:c r="O44" s="117"/>
      <x:c r="P44" s="117"/>
      <x:c r="Q44" s="117"/>
      <x:c r="R44" s="117"/>
      <x:c r="S44" s="117"/>
      <x:c r="T44" s="117"/>
      <x:c r="U44" s="117"/>
      <x:c r="V44" s="117"/>
      <x:c r="W44" s="117"/>
      <x:c r="X44" s="117"/>
      <x:c r="Y44" s="117"/>
      <x:c r="Z44" s="117"/>
    </x:row>
    <x:row r="45">
      <x:c r="A45" s="117"/>
      <x:c r="B45" s="117"/>
      <x:c r="C45" s="117"/>
      <x:c r="D45" s="117"/>
      <x:c r="E45" s="117"/>
      <x:c r="F45" s="117"/>
      <x:c r="G45" s="117"/>
      <x:c r="H45" s="117"/>
      <x:c r="I45" s="117"/>
      <x:c r="J45" s="117"/>
      <x:c r="K45" s="117"/>
      <x:c r="L45" s="117"/>
      <x:c r="M45" s="117"/>
      <x:c r="N45" s="117"/>
      <x:c r="O45" s="117"/>
      <x:c r="P45" s="117"/>
      <x:c r="Q45" s="117"/>
      <x:c r="R45" s="117"/>
      <x:c r="S45" s="117"/>
      <x:c r="T45" s="117"/>
      <x:c r="U45" s="117"/>
      <x:c r="V45" s="117"/>
      <x:c r="W45" s="117"/>
      <x:c r="X45" s="117"/>
      <x:c r="Y45" s="117"/>
      <x:c r="Z45" s="117"/>
    </x:row>
    <x:row r="46">
      <x:c r="A46" s="117"/>
      <x:c r="B46" s="117"/>
      <x:c r="C46" s="117"/>
      <x:c r="D46" s="117"/>
      <x:c r="E46" s="117"/>
      <x:c r="F46" s="117"/>
      <x:c r="G46" s="117"/>
      <x:c r="H46" s="117"/>
      <x:c r="I46" s="117"/>
      <x:c r="J46" s="117"/>
      <x:c r="K46" s="117"/>
      <x:c r="L46" s="117"/>
      <x:c r="M46" s="117"/>
      <x:c r="N46" s="117"/>
      <x:c r="O46" s="117"/>
      <x:c r="P46" s="117"/>
      <x:c r="Q46" s="117"/>
      <x:c r="R46" s="117"/>
      <x:c r="S46" s="117"/>
      <x:c r="T46" s="117"/>
      <x:c r="U46" s="117"/>
      <x:c r="V46" s="117"/>
      <x:c r="W46" s="117"/>
      <x:c r="X46" s="117"/>
      <x:c r="Y46" s="117"/>
      <x:c r="Z46" s="117"/>
    </x:row>
    <x:row r="47">
      <x:c r="A47" s="117"/>
      <x:c r="B47" s="117"/>
      <x:c r="C47" s="117"/>
      <x:c r="D47" s="117"/>
      <x:c r="E47" s="117"/>
      <x:c r="F47" s="117"/>
      <x:c r="G47" s="117"/>
      <x:c r="H47" s="117"/>
      <x:c r="I47" s="117"/>
      <x:c r="J47" s="117"/>
      <x:c r="K47" s="117"/>
      <x:c r="L47" s="117"/>
      <x:c r="M47" s="117"/>
      <x:c r="N47" s="117"/>
      <x:c r="O47" s="117"/>
      <x:c r="P47" s="117"/>
      <x:c r="Q47" s="117"/>
      <x:c r="R47" s="117"/>
      <x:c r="S47" s="117"/>
      <x:c r="T47" s="117"/>
      <x:c r="U47" s="117"/>
      <x:c r="V47" s="117"/>
      <x:c r="W47" s="117"/>
      <x:c r="X47" s="117"/>
      <x:c r="Y47" s="117"/>
      <x:c r="Z47" s="117"/>
    </x:row>
    <x:row r="48">
      <x:c r="A48" s="117"/>
      <x:c r="B48" s="117"/>
      <x:c r="C48" s="117"/>
      <x:c r="D48" s="117"/>
      <x:c r="E48" s="117"/>
      <x:c r="F48" s="117"/>
      <x:c r="G48" s="117"/>
      <x:c r="H48" s="117"/>
      <x:c r="I48" s="117"/>
      <x:c r="J48" s="117"/>
      <x:c r="K48" s="117"/>
      <x:c r="L48" s="117"/>
      <x:c r="M48" s="117"/>
      <x:c r="N48" s="117"/>
      <x:c r="O48" s="117"/>
      <x:c r="P48" s="117"/>
      <x:c r="Q48" s="117"/>
      <x:c r="R48" s="117"/>
      <x:c r="S48" s="117"/>
      <x:c r="T48" s="117"/>
      <x:c r="U48" s="117"/>
      <x:c r="V48" s="117"/>
      <x:c r="W48" s="117"/>
      <x:c r="X48" s="117"/>
      <x:c r="Y48" s="117"/>
      <x:c r="Z48" s="117"/>
    </x:row>
    <x:row r="49">
      <x:c r="A49" s="117"/>
      <x:c r="B49" s="117"/>
      <x:c r="C49" s="117"/>
      <x:c r="D49" s="117"/>
      <x:c r="E49" s="117"/>
      <x:c r="F49" s="117"/>
      <x:c r="G49" s="117"/>
      <x:c r="H49" s="117"/>
      <x:c r="I49" s="117"/>
      <x:c r="J49" s="117"/>
      <x:c r="K49" s="117"/>
      <x:c r="L49" s="117"/>
      <x:c r="M49" s="117"/>
      <x:c r="N49" s="117"/>
      <x:c r="O49" s="117"/>
      <x:c r="P49" s="117"/>
      <x:c r="Q49" s="117"/>
      <x:c r="R49" s="117"/>
      <x:c r="S49" s="117"/>
      <x:c r="T49" s="117"/>
      <x:c r="U49" s="117"/>
      <x:c r="V49" s="117"/>
      <x:c r="W49" s="117"/>
      <x:c r="X49" s="117"/>
      <x:c r="Y49" s="117"/>
      <x:c r="Z49" s="117"/>
    </x:row>
    <x:row r="50">
      <x:c r="A50" s="117"/>
      <x:c r="B50" s="117"/>
      <x:c r="C50" s="117"/>
      <x:c r="D50" s="117"/>
      <x:c r="E50" s="117"/>
      <x:c r="F50" s="117"/>
      <x:c r="G50" s="117"/>
      <x:c r="H50" s="117"/>
      <x:c r="I50" s="117"/>
      <x:c r="J50" s="117"/>
      <x:c r="K50" s="117"/>
      <x:c r="L50" s="117"/>
      <x:c r="M50" s="117"/>
      <x:c r="N50" s="117"/>
      <x:c r="O50" s="117"/>
      <x:c r="P50" s="117"/>
      <x:c r="Q50" s="117"/>
      <x:c r="R50" s="117"/>
      <x:c r="S50" s="117"/>
      <x:c r="T50" s="117"/>
      <x:c r="U50" s="117"/>
      <x:c r="V50" s="117"/>
      <x:c r="W50" s="117"/>
      <x:c r="X50" s="117"/>
      <x:c r="Y50" s="117"/>
      <x:c r="Z50" s="117"/>
    </x:row>
    <x:row r="51">
      <x:c r="A51" s="117"/>
      <x:c r="B51" s="117"/>
      <x:c r="C51" s="117"/>
      <x:c r="D51" s="117"/>
      <x:c r="E51" s="117"/>
      <x:c r="F51" s="117"/>
      <x:c r="G51" s="117"/>
      <x:c r="H51" s="117"/>
      <x:c r="I51" s="117"/>
      <x:c r="J51" s="117"/>
      <x:c r="K51" s="117"/>
      <x:c r="L51" s="117"/>
      <x:c r="M51" s="117"/>
      <x:c r="N51" s="117"/>
      <x:c r="O51" s="117"/>
      <x:c r="P51" s="117"/>
      <x:c r="Q51" s="117"/>
      <x:c r="R51" s="117"/>
      <x:c r="S51" s="117"/>
      <x:c r="T51" s="117"/>
      <x:c r="U51" s="117"/>
      <x:c r="V51" s="117"/>
      <x:c r="W51" s="117"/>
      <x:c r="X51" s="117"/>
      <x:c r="Y51" s="117"/>
      <x:c r="Z51" s="117"/>
    </x:row>
    <x:row r="52">
      <x:c r="A52" s="117"/>
      <x:c r="B52" s="117"/>
      <x:c r="C52" s="117"/>
      <x:c r="D52" s="117"/>
      <x:c r="E52" s="117"/>
      <x:c r="F52" s="117"/>
      <x:c r="G52" s="117"/>
      <x:c r="H52" s="117"/>
      <x:c r="I52" s="117"/>
      <x:c r="J52" s="117"/>
      <x:c r="K52" s="117"/>
      <x:c r="L52" s="117"/>
      <x:c r="M52" s="117"/>
      <x:c r="N52" s="117"/>
      <x:c r="O52" s="117"/>
      <x:c r="P52" s="117"/>
      <x:c r="Q52" s="117"/>
      <x:c r="R52" s="117"/>
      <x:c r="S52" s="117"/>
      <x:c r="T52" s="117"/>
      <x:c r="U52" s="117"/>
      <x:c r="V52" s="117"/>
      <x:c r="W52" s="117"/>
      <x:c r="X52" s="117"/>
      <x:c r="Y52" s="117"/>
      <x:c r="Z52" s="117"/>
    </x:row>
    <x:row r="53">
      <x:c r="A53" s="117"/>
      <x:c r="B53" s="117"/>
      <x:c r="C53" s="117"/>
      <x:c r="D53" s="117"/>
      <x:c r="E53" s="117"/>
      <x:c r="F53" s="117"/>
      <x:c r="G53" s="117"/>
      <x:c r="H53" s="117"/>
      <x:c r="I53" s="117"/>
      <x:c r="J53" s="117"/>
      <x:c r="K53" s="117"/>
      <x:c r="L53" s="117"/>
      <x:c r="M53" s="117"/>
      <x:c r="N53" s="117"/>
      <x:c r="O53" s="117"/>
      <x:c r="P53" s="117"/>
      <x:c r="Q53" s="117"/>
      <x:c r="R53" s="117"/>
      <x:c r="S53" s="117"/>
      <x:c r="T53" s="117"/>
      <x:c r="U53" s="117"/>
      <x:c r="V53" s="117"/>
      <x:c r="W53" s="117"/>
      <x:c r="X53" s="117"/>
      <x:c r="Y53" s="117"/>
      <x:c r="Z53" s="117"/>
    </x:row>
    <x:row r="54">
      <x:c r="A54" s="117"/>
      <x:c r="B54" s="117"/>
      <x:c r="C54" s="117"/>
      <x:c r="D54" s="117"/>
      <x:c r="E54" s="117"/>
      <x:c r="F54" s="117"/>
      <x:c r="G54" s="117"/>
      <x:c r="H54" s="117"/>
      <x:c r="I54" s="117"/>
      <x:c r="J54" s="117"/>
      <x:c r="K54" s="117"/>
      <x:c r="L54" s="117"/>
      <x:c r="M54" s="117"/>
      <x:c r="N54" s="117"/>
      <x:c r="O54" s="117"/>
      <x:c r="P54" s="117"/>
      <x:c r="Q54" s="117"/>
      <x:c r="R54" s="117"/>
      <x:c r="S54" s="117"/>
      <x:c r="T54" s="117"/>
      <x:c r="U54" s="117"/>
      <x:c r="V54" s="117"/>
      <x:c r="W54" s="117"/>
      <x:c r="X54" s="117"/>
      <x:c r="Y54" s="117"/>
      <x:c r="Z54" s="117"/>
    </x:row>
    <x:row r="55">
      <x:c r="A55" s="117"/>
      <x:c r="B55" s="117"/>
      <x:c r="C55" s="117"/>
      <x:c r="D55" s="117"/>
      <x:c r="E55" s="117"/>
      <x:c r="F55" s="117"/>
      <x:c r="G55" s="117"/>
      <x:c r="H55" s="117"/>
      <x:c r="I55" s="117"/>
      <x:c r="J55" s="117"/>
      <x:c r="K55" s="117"/>
      <x:c r="L55" s="117"/>
      <x:c r="M55" s="117"/>
      <x:c r="N55" s="117"/>
      <x:c r="O55" s="117"/>
      <x:c r="P55" s="117"/>
      <x:c r="Q55" s="117"/>
      <x:c r="R55" s="117"/>
      <x:c r="S55" s="117"/>
      <x:c r="T55" s="117"/>
      <x:c r="U55" s="117"/>
      <x:c r="V55" s="117"/>
      <x:c r="W55" s="117"/>
      <x:c r="X55" s="117"/>
      <x:c r="Y55" s="117"/>
      <x:c r="Z55" s="117"/>
    </x:row>
    <x:row r="56">
      <x:c r="A56" s="117"/>
      <x:c r="B56" s="117"/>
      <x:c r="C56" s="117"/>
      <x:c r="D56" s="117"/>
      <x:c r="E56" s="117"/>
      <x:c r="F56" s="117"/>
      <x:c r="G56" s="117"/>
      <x:c r="H56" s="117"/>
      <x:c r="I56" s="117"/>
      <x:c r="J56" s="117"/>
      <x:c r="K56" s="117"/>
      <x:c r="L56" s="117"/>
      <x:c r="M56" s="117"/>
      <x:c r="N56" s="117"/>
      <x:c r="O56" s="117"/>
      <x:c r="P56" s="117"/>
      <x:c r="Q56" s="117"/>
      <x:c r="R56" s="117"/>
      <x:c r="S56" s="117"/>
      <x:c r="T56" s="117"/>
      <x:c r="U56" s="117"/>
      <x:c r="V56" s="117"/>
      <x:c r="W56" s="117"/>
      <x:c r="X56" s="117"/>
      <x:c r="Y56" s="117"/>
      <x:c r="Z56" s="117"/>
    </x:row>
    <x:row r="57">
      <x:c r="A57" s="117"/>
      <x:c r="B57" s="117"/>
      <x:c r="C57" s="117"/>
      <x:c r="D57" s="117"/>
      <x:c r="E57" s="117"/>
      <x:c r="F57" s="117"/>
      <x:c r="G57" s="117"/>
      <x:c r="H57" s="117"/>
      <x:c r="I57" s="117"/>
      <x:c r="J57" s="117"/>
      <x:c r="K57" s="117"/>
      <x:c r="L57" s="117"/>
      <x:c r="M57" s="117"/>
      <x:c r="N57" s="117"/>
      <x:c r="O57" s="117"/>
      <x:c r="P57" s="117"/>
      <x:c r="Q57" s="117"/>
      <x:c r="R57" s="117"/>
      <x:c r="S57" s="117"/>
      <x:c r="T57" s="117"/>
      <x:c r="U57" s="117"/>
      <x:c r="V57" s="117"/>
      <x:c r="W57" s="117"/>
      <x:c r="X57" s="117"/>
      <x:c r="Y57" s="117"/>
      <x:c r="Z57" s="117"/>
    </x:row>
    <x:row r="58">
      <x:c r="A58" s="117"/>
      <x:c r="B58" s="117"/>
      <x:c r="C58" s="117"/>
      <x:c r="D58" s="117"/>
      <x:c r="E58" s="117"/>
      <x:c r="F58" s="117"/>
      <x:c r="G58" s="117"/>
      <x:c r="H58" s="117"/>
      <x:c r="I58" s="117"/>
      <x:c r="J58" s="117"/>
      <x:c r="K58" s="117"/>
      <x:c r="L58" s="117"/>
      <x:c r="M58" s="117"/>
      <x:c r="N58" s="117"/>
      <x:c r="O58" s="117"/>
      <x:c r="P58" s="117"/>
      <x:c r="Q58" s="117"/>
      <x:c r="R58" s="117"/>
      <x:c r="S58" s="117"/>
      <x:c r="T58" s="117"/>
      <x:c r="U58" s="117"/>
      <x:c r="V58" s="117"/>
      <x:c r="W58" s="117"/>
      <x:c r="X58" s="117"/>
      <x:c r="Y58" s="117"/>
      <x:c r="Z58" s="117"/>
    </x:row>
    <x:row r="59">
      <x:c r="A59" s="117"/>
      <x:c r="B59" s="117"/>
      <x:c r="C59" s="117"/>
      <x:c r="D59" s="117"/>
      <x:c r="E59" s="117"/>
      <x:c r="F59" s="117"/>
      <x:c r="G59" s="117"/>
      <x:c r="H59" s="117"/>
      <x:c r="I59" s="117"/>
      <x:c r="J59" s="117"/>
      <x:c r="K59" s="117"/>
      <x:c r="L59" s="117"/>
      <x:c r="M59" s="117"/>
      <x:c r="N59" s="117"/>
      <x:c r="O59" s="117"/>
      <x:c r="P59" s="117"/>
      <x:c r="Q59" s="117"/>
      <x:c r="R59" s="117"/>
      <x:c r="S59" s="117"/>
      <x:c r="T59" s="117"/>
      <x:c r="U59" s="117"/>
      <x:c r="V59" s="117"/>
      <x:c r="W59" s="117"/>
      <x:c r="X59" s="117"/>
      <x:c r="Y59" s="117"/>
      <x:c r="Z59" s="117"/>
    </x:row>
    <x:row r="60">
      <x:c r="A60" s="117"/>
      <x:c r="B60" s="117"/>
      <x:c r="C60" s="117"/>
      <x:c r="D60" s="117"/>
      <x:c r="E60" s="117"/>
      <x:c r="F60" s="117"/>
      <x:c r="G60" s="117"/>
      <x:c r="H60" s="117"/>
      <x:c r="I60" s="117"/>
      <x:c r="J60" s="117"/>
      <x:c r="K60" s="117"/>
      <x:c r="L60" s="117"/>
      <x:c r="M60" s="117"/>
      <x:c r="N60" s="117"/>
      <x:c r="O60" s="117"/>
      <x:c r="P60" s="117"/>
      <x:c r="Q60" s="117"/>
      <x:c r="R60" s="117"/>
      <x:c r="S60" s="117"/>
      <x:c r="T60" s="117"/>
      <x:c r="U60" s="117"/>
      <x:c r="V60" s="117"/>
      <x:c r="W60" s="117"/>
      <x:c r="X60" s="117"/>
      <x:c r="Y60" s="117"/>
      <x:c r="Z60" s="117"/>
    </x:row>
    <x:row r="61">
      <x:c r="A61" s="117"/>
      <x:c r="B61" s="117"/>
      <x:c r="C61" s="117"/>
      <x:c r="D61" s="117"/>
      <x:c r="E61" s="117"/>
      <x:c r="F61" s="117"/>
      <x:c r="G61" s="117"/>
      <x:c r="H61" s="117"/>
      <x:c r="I61" s="117"/>
      <x:c r="J61" s="117"/>
      <x:c r="K61" s="117"/>
      <x:c r="L61" s="117"/>
      <x:c r="M61" s="117"/>
      <x:c r="N61" s="117"/>
      <x:c r="O61" s="117"/>
      <x:c r="P61" s="117"/>
      <x:c r="Q61" s="117"/>
      <x:c r="R61" s="117"/>
      <x:c r="S61" s="117"/>
      <x:c r="T61" s="117"/>
      <x:c r="U61" s="117"/>
      <x:c r="V61" s="117"/>
      <x:c r="W61" s="117"/>
      <x:c r="X61" s="117"/>
      <x:c r="Y61" s="117"/>
      <x:c r="Z61" s="117"/>
    </x:row>
    <x:row r="62">
      <x:c r="A62" s="117"/>
      <x:c r="B62" s="117"/>
      <x:c r="C62" s="117"/>
      <x:c r="D62" s="117"/>
      <x:c r="E62" s="117"/>
      <x:c r="F62" s="117"/>
      <x:c r="G62" s="117"/>
      <x:c r="H62" s="117"/>
      <x:c r="I62" s="117"/>
      <x:c r="J62" s="117"/>
      <x:c r="K62" s="117"/>
      <x:c r="L62" s="117"/>
      <x:c r="M62" s="117"/>
      <x:c r="N62" s="117"/>
      <x:c r="O62" s="117"/>
      <x:c r="P62" s="117"/>
      <x:c r="Q62" s="117"/>
      <x:c r="R62" s="117"/>
      <x:c r="S62" s="117"/>
      <x:c r="T62" s="117"/>
      <x:c r="U62" s="117"/>
      <x:c r="V62" s="117"/>
      <x:c r="W62" s="117"/>
      <x:c r="X62" s="117"/>
      <x:c r="Y62" s="117"/>
      <x:c r="Z62" s="117"/>
    </x:row>
    <x:row r="63">
      <x:c r="A63" s="117"/>
      <x:c r="B63" s="117"/>
      <x:c r="C63" s="117"/>
      <x:c r="D63" s="117"/>
      <x:c r="E63" s="117"/>
      <x:c r="F63" s="117"/>
      <x:c r="G63" s="117"/>
      <x:c r="H63" s="117"/>
      <x:c r="I63" s="117"/>
      <x:c r="J63" s="117"/>
      <x:c r="K63" s="117"/>
      <x:c r="L63" s="117"/>
      <x:c r="M63" s="117"/>
      <x:c r="N63" s="117"/>
      <x:c r="O63" s="117"/>
      <x:c r="P63" s="117"/>
      <x:c r="Q63" s="117"/>
      <x:c r="R63" s="117"/>
      <x:c r="S63" s="117"/>
      <x:c r="T63" s="117"/>
      <x:c r="U63" s="117"/>
      <x:c r="V63" s="117"/>
      <x:c r="W63" s="117"/>
      <x:c r="X63" s="117"/>
      <x:c r="Y63" s="117"/>
      <x:c r="Z63" s="117"/>
    </x:row>
    <x:row r="64">
      <x:c r="A64" s="117"/>
      <x:c r="B64" s="117"/>
      <x:c r="C64" s="117"/>
      <x:c r="D64" s="117"/>
      <x:c r="E64" s="117"/>
      <x:c r="F64" s="117"/>
      <x:c r="G64" s="117"/>
      <x:c r="H64" s="117"/>
      <x:c r="I64" s="117"/>
      <x:c r="J64" s="117"/>
      <x:c r="K64" s="117"/>
      <x:c r="L64" s="117"/>
      <x:c r="M64" s="117"/>
      <x:c r="N64" s="117"/>
      <x:c r="O64" s="117"/>
      <x:c r="P64" s="117"/>
      <x:c r="Q64" s="117"/>
      <x:c r="R64" s="117"/>
      <x:c r="S64" s="117"/>
      <x:c r="T64" s="117"/>
      <x:c r="U64" s="117"/>
      <x:c r="V64" s="117"/>
      <x:c r="W64" s="117"/>
      <x:c r="X64" s="117"/>
      <x:c r="Y64" s="117"/>
      <x:c r="Z64" s="117"/>
    </x:row>
    <x:row r="65">
      <x:c r="A65" s="117"/>
      <x:c r="B65" s="117"/>
      <x:c r="C65" s="117"/>
      <x:c r="D65" s="117"/>
      <x:c r="E65" s="117"/>
      <x:c r="F65" s="117"/>
      <x:c r="G65" s="117"/>
      <x:c r="H65" s="117"/>
      <x:c r="I65" s="117"/>
      <x:c r="J65" s="117"/>
      <x:c r="K65" s="117"/>
      <x:c r="L65" s="117"/>
      <x:c r="M65" s="117"/>
      <x:c r="N65" s="117"/>
      <x:c r="O65" s="117"/>
      <x:c r="P65" s="117"/>
      <x:c r="Q65" s="117"/>
      <x:c r="R65" s="117"/>
      <x:c r="S65" s="117"/>
      <x:c r="T65" s="117"/>
      <x:c r="U65" s="117"/>
      <x:c r="V65" s="117"/>
      <x:c r="W65" s="117"/>
      <x:c r="X65" s="117"/>
      <x:c r="Y65" s="117"/>
      <x:c r="Z65" s="117"/>
    </x:row>
    <x:row r="66">
      <x:c r="A66" s="117"/>
      <x:c r="B66" s="117"/>
      <x:c r="C66" s="117"/>
      <x:c r="D66" s="117"/>
      <x:c r="E66" s="117"/>
      <x:c r="F66" s="117"/>
      <x:c r="G66" s="117"/>
      <x:c r="H66" s="117"/>
      <x:c r="I66" s="117"/>
      <x:c r="J66" s="117"/>
      <x:c r="K66" s="117"/>
      <x:c r="L66" s="117"/>
      <x:c r="M66" s="117"/>
      <x:c r="N66" s="117"/>
      <x:c r="O66" s="117"/>
      <x:c r="P66" s="117"/>
      <x:c r="Q66" s="117"/>
      <x:c r="R66" s="117"/>
      <x:c r="S66" s="117"/>
      <x:c r="T66" s="117"/>
      <x:c r="U66" s="117"/>
      <x:c r="V66" s="117"/>
      <x:c r="W66" s="117"/>
      <x:c r="X66" s="117"/>
      <x:c r="Y66" s="117"/>
      <x:c r="Z66" s="117"/>
    </x:row>
    <x:row r="67">
      <x:c r="A67" s="117"/>
      <x:c r="B67" s="117"/>
      <x:c r="C67" s="117"/>
      <x:c r="D67" s="117"/>
      <x:c r="E67" s="117"/>
      <x:c r="F67" s="117"/>
      <x:c r="G67" s="117"/>
      <x:c r="H67" s="117"/>
      <x:c r="I67" s="117"/>
      <x:c r="J67" s="117"/>
      <x:c r="K67" s="117"/>
      <x:c r="L67" s="117"/>
      <x:c r="M67" s="117"/>
      <x:c r="N67" s="117"/>
      <x:c r="O67" s="117"/>
      <x:c r="P67" s="117"/>
      <x:c r="Q67" s="117"/>
      <x:c r="R67" s="117"/>
      <x:c r="S67" s="117"/>
      <x:c r="T67" s="117"/>
      <x:c r="U67" s="117"/>
      <x:c r="V67" s="117"/>
      <x:c r="W67" s="117"/>
      <x:c r="X67" s="117"/>
      <x:c r="Y67" s="117"/>
      <x:c r="Z67" s="117"/>
    </x:row>
    <x:row r="68">
      <x:c r="A68" s="117"/>
      <x:c r="B68" s="117"/>
      <x:c r="C68" s="117"/>
      <x:c r="D68" s="117"/>
      <x:c r="E68" s="117"/>
      <x:c r="F68" s="117"/>
      <x:c r="G68" s="117"/>
      <x:c r="H68" s="117"/>
      <x:c r="I68" s="117"/>
      <x:c r="J68" s="117"/>
      <x:c r="K68" s="117"/>
      <x:c r="L68" s="117"/>
      <x:c r="M68" s="117"/>
      <x:c r="N68" s="117"/>
      <x:c r="O68" s="117"/>
      <x:c r="P68" s="117"/>
      <x:c r="Q68" s="117"/>
      <x:c r="R68" s="117"/>
      <x:c r="S68" s="117"/>
      <x:c r="T68" s="117"/>
      <x:c r="U68" s="117"/>
      <x:c r="V68" s="117"/>
      <x:c r="W68" s="117"/>
      <x:c r="X68" s="117"/>
      <x:c r="Y68" s="117"/>
      <x:c r="Z68" s="117"/>
    </x:row>
    <x:row r="69">
      <x:c r="A69" s="117"/>
      <x:c r="B69" s="117"/>
      <x:c r="C69" s="117"/>
      <x:c r="D69" s="117"/>
      <x:c r="E69" s="117"/>
      <x:c r="F69" s="117"/>
      <x:c r="G69" s="117"/>
      <x:c r="H69" s="117"/>
      <x:c r="I69" s="117"/>
      <x:c r="J69" s="117"/>
      <x:c r="K69" s="117"/>
      <x:c r="L69" s="117"/>
      <x:c r="M69" s="117"/>
      <x:c r="N69" s="117"/>
      <x:c r="O69" s="117"/>
      <x:c r="P69" s="117"/>
      <x:c r="Q69" s="117"/>
      <x:c r="R69" s="117"/>
      <x:c r="S69" s="117"/>
      <x:c r="T69" s="117"/>
      <x:c r="U69" s="117"/>
      <x:c r="V69" s="117"/>
      <x:c r="W69" s="117"/>
      <x:c r="X69" s="117"/>
      <x:c r="Y69" s="117"/>
      <x:c r="Z69" s="117"/>
    </x:row>
    <x:row r="70">
      <x:c r="A70" s="117"/>
      <x:c r="B70" s="117"/>
      <x:c r="C70" s="117"/>
      <x:c r="D70" s="117"/>
      <x:c r="E70" s="117"/>
      <x:c r="F70" s="117"/>
      <x:c r="G70" s="117"/>
      <x:c r="H70" s="117"/>
      <x:c r="I70" s="117"/>
      <x:c r="J70" s="117"/>
      <x:c r="K70" s="117"/>
      <x:c r="L70" s="117"/>
      <x:c r="M70" s="117"/>
      <x:c r="N70" s="117"/>
      <x:c r="O70" s="117"/>
      <x:c r="P70" s="117"/>
      <x:c r="Q70" s="117"/>
      <x:c r="R70" s="117"/>
      <x:c r="S70" s="117"/>
      <x:c r="T70" s="117"/>
      <x:c r="U70" s="117"/>
      <x:c r="V70" s="117"/>
      <x:c r="W70" s="117"/>
      <x:c r="X70" s="117"/>
      <x:c r="Y70" s="117"/>
      <x:c r="Z70" s="117"/>
    </x:row>
    <x:row r="71">
      <x:c r="A71" s="117"/>
      <x:c r="B71" s="117"/>
      <x:c r="C71" s="117"/>
      <x:c r="D71" s="117"/>
      <x:c r="E71" s="117"/>
      <x:c r="F71" s="117"/>
      <x:c r="G71" s="117"/>
      <x:c r="H71" s="117"/>
      <x:c r="I71" s="117"/>
      <x:c r="J71" s="117"/>
      <x:c r="K71" s="117"/>
      <x:c r="L71" s="117"/>
      <x:c r="M71" s="117"/>
      <x:c r="N71" s="117"/>
      <x:c r="O71" s="117"/>
      <x:c r="P71" s="117"/>
      <x:c r="Q71" s="117"/>
      <x:c r="R71" s="117"/>
      <x:c r="S71" s="117"/>
      <x:c r="T71" s="117"/>
      <x:c r="U71" s="117"/>
      <x:c r="V71" s="117"/>
      <x:c r="W71" s="117"/>
      <x:c r="X71" s="117"/>
      <x:c r="Y71" s="117"/>
      <x:c r="Z71" s="117"/>
    </x:row>
    <x:row r="72">
      <x:c r="A72" s="117"/>
      <x:c r="B72" s="117"/>
      <x:c r="C72" s="117"/>
      <x:c r="D72" s="117"/>
      <x:c r="E72" s="117"/>
      <x:c r="F72" s="117"/>
      <x:c r="G72" s="117"/>
      <x:c r="H72" s="117"/>
      <x:c r="I72" s="117"/>
      <x:c r="J72" s="117"/>
      <x:c r="K72" s="117"/>
      <x:c r="L72" s="117"/>
      <x:c r="M72" s="117"/>
      <x:c r="N72" s="117"/>
      <x:c r="O72" s="117"/>
      <x:c r="P72" s="117"/>
      <x:c r="Q72" s="117"/>
      <x:c r="R72" s="117"/>
      <x:c r="S72" s="117"/>
      <x:c r="T72" s="117"/>
      <x:c r="U72" s="117"/>
      <x:c r="V72" s="117"/>
      <x:c r="W72" s="117"/>
      <x:c r="X72" s="117"/>
      <x:c r="Y72" s="117"/>
      <x:c r="Z72" s="117"/>
    </x:row>
    <x:row r="73">
      <x:c r="A73" s="117"/>
      <x:c r="B73" s="117"/>
      <x:c r="C73" s="117"/>
      <x:c r="D73" s="117"/>
      <x:c r="E73" s="117"/>
      <x:c r="F73" s="117"/>
      <x:c r="G73" s="117"/>
      <x:c r="H73" s="117"/>
      <x:c r="I73" s="117"/>
      <x:c r="J73" s="117"/>
      <x:c r="K73" s="117"/>
      <x:c r="L73" s="117"/>
      <x:c r="M73" s="117"/>
      <x:c r="N73" s="117"/>
      <x:c r="O73" s="117"/>
      <x:c r="P73" s="117"/>
      <x:c r="Q73" s="117"/>
      <x:c r="R73" s="117"/>
      <x:c r="S73" s="117"/>
      <x:c r="T73" s="117"/>
      <x:c r="U73" s="117"/>
      <x:c r="V73" s="117"/>
      <x:c r="W73" s="117"/>
      <x:c r="X73" s="117"/>
      <x:c r="Y73" s="117"/>
      <x:c r="Z73" s="117"/>
    </x:row>
    <x:row r="74">
      <x:c r="A74" s="117"/>
      <x:c r="B74" s="117"/>
      <x:c r="C74" s="117"/>
      <x:c r="D74" s="117"/>
      <x:c r="E74" s="117"/>
      <x:c r="F74" s="117"/>
      <x:c r="G74" s="117"/>
      <x:c r="H74" s="117"/>
      <x:c r="I74" s="117"/>
      <x:c r="J74" s="117"/>
      <x:c r="K74" s="117"/>
      <x:c r="L74" s="117"/>
      <x:c r="M74" s="117"/>
      <x:c r="N74" s="117"/>
      <x:c r="O74" s="117"/>
      <x:c r="P74" s="117"/>
      <x:c r="Q74" s="117"/>
      <x:c r="R74" s="117"/>
      <x:c r="S74" s="117"/>
      <x:c r="T74" s="117"/>
      <x:c r="U74" s="117"/>
      <x:c r="V74" s="117"/>
      <x:c r="W74" s="117"/>
      <x:c r="X74" s="117"/>
      <x:c r="Y74" s="117"/>
      <x:c r="Z74" s="117"/>
    </x:row>
    <x:row r="75">
      <x:c r="A75" s="117"/>
      <x:c r="B75" s="117"/>
      <x:c r="C75" s="117"/>
      <x:c r="D75" s="117"/>
      <x:c r="E75" s="117"/>
      <x:c r="F75" s="117"/>
      <x:c r="G75" s="117"/>
      <x:c r="H75" s="117"/>
      <x:c r="I75" s="117"/>
      <x:c r="J75" s="117"/>
      <x:c r="K75" s="117"/>
      <x:c r="L75" s="117"/>
      <x:c r="M75" s="117"/>
      <x:c r="N75" s="117"/>
      <x:c r="O75" s="117"/>
      <x:c r="P75" s="117"/>
      <x:c r="Q75" s="117"/>
      <x:c r="R75" s="117"/>
      <x:c r="S75" s="117"/>
      <x:c r="T75" s="117"/>
      <x:c r="U75" s="117"/>
      <x:c r="V75" s="117"/>
      <x:c r="W75" s="117"/>
      <x:c r="X75" s="117"/>
      <x:c r="Y75" s="117"/>
      <x:c r="Z75" s="117"/>
    </x:row>
    <x:row r="76">
      <x:c r="A76" s="117"/>
      <x:c r="B76" s="117"/>
      <x:c r="C76" s="117"/>
      <x:c r="D76" s="117"/>
      <x:c r="E76" s="117"/>
      <x:c r="F76" s="117"/>
      <x:c r="G76" s="117"/>
      <x:c r="H76" s="117"/>
      <x:c r="I76" s="117"/>
      <x:c r="J76" s="117"/>
      <x:c r="K76" s="117"/>
      <x:c r="L76" s="117"/>
      <x:c r="M76" s="117"/>
      <x:c r="N76" s="117"/>
      <x:c r="O76" s="117"/>
      <x:c r="P76" s="117"/>
      <x:c r="Q76" s="117"/>
      <x:c r="R76" s="117"/>
      <x:c r="S76" s="117"/>
      <x:c r="T76" s="117"/>
      <x:c r="U76" s="117"/>
      <x:c r="V76" s="117"/>
      <x:c r="W76" s="117"/>
      <x:c r="X76" s="117"/>
      <x:c r="Y76" s="117"/>
      <x:c r="Z76" s="117"/>
    </x:row>
    <x:row r="77">
      <x:c r="A77" s="117"/>
      <x:c r="B77" s="117"/>
      <x:c r="C77" s="117"/>
      <x:c r="D77" s="117"/>
      <x:c r="E77" s="117"/>
      <x:c r="F77" s="117"/>
      <x:c r="G77" s="117"/>
      <x:c r="H77" s="117"/>
      <x:c r="I77" s="117"/>
      <x:c r="J77" s="117"/>
      <x:c r="K77" s="117"/>
      <x:c r="L77" s="117"/>
      <x:c r="M77" s="117"/>
      <x:c r="N77" s="117"/>
      <x:c r="O77" s="117"/>
      <x:c r="P77" s="117"/>
      <x:c r="Q77" s="117"/>
      <x:c r="R77" s="117"/>
      <x:c r="S77" s="117"/>
      <x:c r="T77" s="117"/>
      <x:c r="U77" s="117"/>
      <x:c r="V77" s="117"/>
      <x:c r="W77" s="117"/>
      <x:c r="X77" s="117"/>
      <x:c r="Y77" s="117"/>
      <x:c r="Z77" s="117"/>
    </x:row>
    <x:row r="78">
      <x:c r="A78" s="117"/>
      <x:c r="B78" s="117"/>
      <x:c r="C78" s="117"/>
      <x:c r="D78" s="117"/>
      <x:c r="E78" s="117"/>
      <x:c r="F78" s="117"/>
      <x:c r="G78" s="117"/>
      <x:c r="H78" s="117"/>
      <x:c r="I78" s="117"/>
      <x:c r="J78" s="117"/>
      <x:c r="K78" s="117"/>
      <x:c r="L78" s="117"/>
      <x:c r="M78" s="117"/>
      <x:c r="N78" s="117"/>
      <x:c r="O78" s="117"/>
      <x:c r="P78" s="117"/>
      <x:c r="Q78" s="117"/>
      <x:c r="R78" s="117"/>
      <x:c r="S78" s="117"/>
      <x:c r="T78" s="117"/>
      <x:c r="U78" s="117"/>
      <x:c r="V78" s="117"/>
      <x:c r="W78" s="117"/>
      <x:c r="X78" s="117"/>
      <x:c r="Y78" s="117"/>
      <x:c r="Z78" s="117"/>
    </x:row>
    <x:row r="79">
      <x:c r="A79" s="117"/>
      <x:c r="B79" s="117"/>
      <x:c r="C79" s="117"/>
      <x:c r="D79" s="117"/>
      <x:c r="E79" s="117"/>
      <x:c r="F79" s="117"/>
      <x:c r="G79" s="117"/>
      <x:c r="H79" s="117"/>
      <x:c r="I79" s="117"/>
      <x:c r="J79" s="117"/>
      <x:c r="K79" s="117"/>
      <x:c r="L79" s="117"/>
      <x:c r="M79" s="117"/>
      <x:c r="N79" s="117"/>
      <x:c r="O79" s="117"/>
      <x:c r="P79" s="117"/>
      <x:c r="Q79" s="117"/>
      <x:c r="R79" s="117"/>
      <x:c r="S79" s="117"/>
      <x:c r="T79" s="117"/>
      <x:c r="U79" s="117"/>
      <x:c r="V79" s="117"/>
      <x:c r="W79" s="117"/>
      <x:c r="X79" s="117"/>
      <x:c r="Y79" s="117"/>
      <x:c r="Z79" s="117"/>
    </x:row>
    <x:row r="80">
      <x:c r="A80" s="117"/>
      <x:c r="B80" s="117"/>
      <x:c r="C80" s="117"/>
      <x:c r="D80" s="117"/>
      <x:c r="E80" s="117"/>
      <x:c r="F80" s="117"/>
      <x:c r="G80" s="117"/>
      <x:c r="H80" s="117"/>
      <x:c r="I80" s="117"/>
      <x:c r="J80" s="117"/>
      <x:c r="K80" s="117"/>
      <x:c r="L80" s="117"/>
      <x:c r="M80" s="117"/>
      <x:c r="N80" s="117"/>
      <x:c r="O80" s="117"/>
      <x:c r="P80" s="117"/>
      <x:c r="Q80" s="117"/>
      <x:c r="R80" s="117"/>
      <x:c r="S80" s="117"/>
      <x:c r="T80" s="117"/>
      <x:c r="U80" s="117"/>
      <x:c r="V80" s="117"/>
      <x:c r="W80" s="117"/>
      <x:c r="X80" s="117"/>
      <x:c r="Y80" s="117"/>
      <x:c r="Z80" s="117"/>
    </x:row>
    <x:row r="81">
      <x:c r="A81" s="117"/>
      <x:c r="B81" s="117"/>
      <x:c r="C81" s="117"/>
      <x:c r="D81" s="117"/>
      <x:c r="E81" s="117"/>
      <x:c r="F81" s="117"/>
      <x:c r="G81" s="117"/>
      <x:c r="H81" s="117"/>
      <x:c r="I81" s="117"/>
      <x:c r="J81" s="117"/>
      <x:c r="K81" s="117"/>
      <x:c r="L81" s="117"/>
      <x:c r="M81" s="117"/>
      <x:c r="N81" s="117"/>
      <x:c r="O81" s="117"/>
      <x:c r="P81" s="117"/>
      <x:c r="Q81" s="117"/>
      <x:c r="R81" s="117"/>
      <x:c r="S81" s="117"/>
      <x:c r="T81" s="117"/>
      <x:c r="U81" s="117"/>
      <x:c r="V81" s="117"/>
      <x:c r="W81" s="117"/>
      <x:c r="X81" s="117"/>
      <x:c r="Y81" s="117"/>
      <x:c r="Z81" s="117"/>
    </x:row>
    <x:row r="82">
      <x:c r="A82" s="117"/>
      <x:c r="B82" s="117"/>
      <x:c r="C82" s="117"/>
      <x:c r="D82" s="117"/>
      <x:c r="E82" s="117"/>
      <x:c r="F82" s="117"/>
      <x:c r="G82" s="117"/>
      <x:c r="H82" s="117"/>
      <x:c r="I82" s="117"/>
      <x:c r="J82" s="117"/>
      <x:c r="K82" s="117"/>
      <x:c r="L82" s="117"/>
      <x:c r="M82" s="117"/>
      <x:c r="N82" s="117"/>
      <x:c r="O82" s="117"/>
      <x:c r="P82" s="117"/>
      <x:c r="Q82" s="117"/>
      <x:c r="R82" s="117"/>
      <x:c r="S82" s="117"/>
      <x:c r="T82" s="117"/>
      <x:c r="U82" s="117"/>
      <x:c r="V82" s="117"/>
      <x:c r="W82" s="117"/>
      <x:c r="X82" s="117"/>
      <x:c r="Y82" s="117"/>
      <x:c r="Z82" s="117"/>
    </x:row>
    <x:row r="83">
      <x:c r="A83" s="117"/>
      <x:c r="B83" s="117"/>
      <x:c r="C83" s="117"/>
      <x:c r="D83" s="117"/>
      <x:c r="E83" s="117"/>
      <x:c r="F83" s="117"/>
      <x:c r="G83" s="117"/>
      <x:c r="H83" s="117"/>
      <x:c r="I83" s="117"/>
      <x:c r="J83" s="117"/>
      <x:c r="K83" s="117"/>
      <x:c r="L83" s="117"/>
      <x:c r="M83" s="117"/>
      <x:c r="N83" s="117"/>
      <x:c r="O83" s="117"/>
      <x:c r="P83" s="117"/>
      <x:c r="Q83" s="117"/>
      <x:c r="R83" s="117"/>
      <x:c r="S83" s="117"/>
      <x:c r="T83" s="117"/>
      <x:c r="U83" s="117"/>
      <x:c r="V83" s="117"/>
      <x:c r="W83" s="117"/>
      <x:c r="X83" s="117"/>
      <x:c r="Y83" s="117"/>
      <x:c r="Z83" s="117"/>
    </x:row>
    <x:row r="84">
      <x:c r="A84" s="117"/>
      <x:c r="B84" s="117"/>
      <x:c r="C84" s="117"/>
      <x:c r="D84" s="117"/>
      <x:c r="E84" s="117"/>
      <x:c r="F84" s="117"/>
      <x:c r="G84" s="117"/>
      <x:c r="H84" s="117"/>
      <x:c r="I84" s="117"/>
      <x:c r="J84" s="117"/>
      <x:c r="K84" s="117"/>
      <x:c r="L84" s="117"/>
      <x:c r="M84" s="117"/>
      <x:c r="N84" s="117"/>
      <x:c r="O84" s="117"/>
      <x:c r="P84" s="117"/>
      <x:c r="Q84" s="117"/>
      <x:c r="R84" s="117"/>
      <x:c r="S84" s="117"/>
      <x:c r="T84" s="117"/>
      <x:c r="U84" s="117"/>
      <x:c r="V84" s="117"/>
      <x:c r="W84" s="117"/>
      <x:c r="X84" s="117"/>
      <x:c r="Y84" s="117"/>
      <x:c r="Z84" s="117"/>
    </x:row>
    <x:row r="85">
      <x:c r="A85" s="117"/>
      <x:c r="B85" s="117"/>
      <x:c r="C85" s="117"/>
      <x:c r="D85" s="117"/>
      <x:c r="E85" s="117"/>
      <x:c r="F85" s="117"/>
      <x:c r="G85" s="117"/>
      <x:c r="H85" s="117"/>
      <x:c r="I85" s="117"/>
      <x:c r="J85" s="117"/>
      <x:c r="K85" s="117"/>
      <x:c r="L85" s="117"/>
      <x:c r="M85" s="117"/>
      <x:c r="N85" s="117"/>
      <x:c r="O85" s="117"/>
      <x:c r="P85" s="117"/>
      <x:c r="Q85" s="117"/>
      <x:c r="R85" s="117"/>
      <x:c r="S85" s="117"/>
      <x:c r="T85" s="117"/>
      <x:c r="U85" s="117"/>
      <x:c r="V85" s="117"/>
      <x:c r="W85" s="117"/>
      <x:c r="X85" s="117"/>
      <x:c r="Y85" s="117"/>
      <x:c r="Z85" s="117"/>
    </x:row>
    <x:row r="86">
      <x:c r="A86" s="117"/>
      <x:c r="B86" s="117"/>
      <x:c r="C86" s="117"/>
      <x:c r="D86" s="117"/>
      <x:c r="E86" s="117"/>
      <x:c r="F86" s="117"/>
      <x:c r="G86" s="117"/>
      <x:c r="H86" s="117"/>
      <x:c r="I86" s="117"/>
      <x:c r="J86" s="117"/>
      <x:c r="K86" s="117"/>
      <x:c r="L86" s="117"/>
      <x:c r="M86" s="117"/>
      <x:c r="N86" s="117"/>
      <x:c r="O86" s="117"/>
      <x:c r="P86" s="117"/>
      <x:c r="Q86" s="117"/>
      <x:c r="R86" s="117"/>
      <x:c r="S86" s="117"/>
      <x:c r="T86" s="117"/>
      <x:c r="U86" s="117"/>
      <x:c r="V86" s="117"/>
      <x:c r="W86" s="117"/>
      <x:c r="X86" s="117"/>
      <x:c r="Y86" s="117"/>
      <x:c r="Z86" s="117"/>
    </x:row>
    <x:row r="87">
      <x:c r="A87" s="117"/>
      <x:c r="B87" s="117"/>
      <x:c r="C87" s="117"/>
      <x:c r="D87" s="117"/>
      <x:c r="E87" s="117"/>
      <x:c r="F87" s="117"/>
      <x:c r="G87" s="117"/>
      <x:c r="H87" s="117"/>
      <x:c r="I87" s="117"/>
      <x:c r="J87" s="117"/>
      <x:c r="K87" s="117"/>
      <x:c r="L87" s="117"/>
      <x:c r="M87" s="117"/>
      <x:c r="N87" s="117"/>
      <x:c r="O87" s="117"/>
      <x:c r="P87" s="117"/>
      <x:c r="Q87" s="117"/>
      <x:c r="R87" s="117"/>
      <x:c r="S87" s="117"/>
      <x:c r="T87" s="117"/>
      <x:c r="U87" s="117"/>
      <x:c r="V87" s="117"/>
      <x:c r="W87" s="117"/>
      <x:c r="X87" s="117"/>
      <x:c r="Y87" s="117"/>
      <x:c r="Z87" s="117"/>
    </x:row>
    <x:row r="88">
      <x:c r="A88" s="117"/>
      <x:c r="B88" s="117"/>
      <x:c r="C88" s="117"/>
      <x:c r="D88" s="117"/>
      <x:c r="E88" s="117"/>
      <x:c r="F88" s="117"/>
      <x:c r="G88" s="117"/>
      <x:c r="H88" s="117"/>
      <x:c r="I88" s="117"/>
      <x:c r="J88" s="117"/>
      <x:c r="K88" s="117"/>
      <x:c r="L88" s="117"/>
      <x:c r="M88" s="117"/>
      <x:c r="N88" s="117"/>
      <x:c r="O88" s="117"/>
      <x:c r="P88" s="117"/>
      <x:c r="Q88" s="117"/>
      <x:c r="R88" s="117"/>
      <x:c r="S88" s="117"/>
      <x:c r="T88" s="117"/>
      <x:c r="U88" s="117"/>
      <x:c r="V88" s="117"/>
      <x:c r="W88" s="117"/>
      <x:c r="X88" s="117"/>
      <x:c r="Y88" s="117"/>
      <x:c r="Z88" s="117"/>
    </x:row>
    <x:row r="89">
      <x:c r="A89" s="117"/>
      <x:c r="B89" s="117"/>
      <x:c r="C89" s="117"/>
      <x:c r="D89" s="117"/>
      <x:c r="E89" s="117"/>
      <x:c r="F89" s="117"/>
      <x:c r="G89" s="117"/>
      <x:c r="H89" s="117"/>
      <x:c r="I89" s="117"/>
      <x:c r="J89" s="117"/>
      <x:c r="K89" s="117"/>
      <x:c r="L89" s="117"/>
      <x:c r="M89" s="117"/>
      <x:c r="N89" s="117"/>
      <x:c r="O89" s="117"/>
      <x:c r="P89" s="117"/>
      <x:c r="Q89" s="117"/>
      <x:c r="R89" s="117"/>
      <x:c r="S89" s="117"/>
      <x:c r="T89" s="117"/>
      <x:c r="U89" s="117"/>
      <x:c r="V89" s="117"/>
      <x:c r="W89" s="117"/>
      <x:c r="X89" s="117"/>
      <x:c r="Y89" s="117"/>
      <x:c r="Z89" s="117"/>
    </x:row>
    <x:row r="90">
      <x:c r="A90" s="117"/>
      <x:c r="B90" s="117"/>
      <x:c r="C90" s="117"/>
      <x:c r="D90" s="117"/>
      <x:c r="E90" s="117"/>
      <x:c r="F90" s="117"/>
      <x:c r="G90" s="117"/>
      <x:c r="H90" s="117"/>
      <x:c r="I90" s="117"/>
      <x:c r="J90" s="117"/>
      <x:c r="K90" s="117"/>
      <x:c r="L90" s="117"/>
      <x:c r="M90" s="117"/>
      <x:c r="N90" s="117"/>
      <x:c r="O90" s="117"/>
      <x:c r="P90" s="117"/>
      <x:c r="Q90" s="117"/>
      <x:c r="R90" s="117"/>
      <x:c r="S90" s="117"/>
      <x:c r="T90" s="117"/>
      <x:c r="U90" s="117"/>
      <x:c r="V90" s="117"/>
      <x:c r="W90" s="117"/>
      <x:c r="X90" s="117"/>
      <x:c r="Y90" s="117"/>
      <x:c r="Z90" s="117"/>
    </x:row>
    <x:row r="91">
      <x:c r="A91" s="117"/>
      <x:c r="B91" s="117"/>
      <x:c r="C91" s="117"/>
      <x:c r="D91" s="117"/>
      <x:c r="E91" s="117"/>
      <x:c r="F91" s="117"/>
      <x:c r="G91" s="117"/>
      <x:c r="H91" s="117"/>
      <x:c r="I91" s="117"/>
      <x:c r="J91" s="117"/>
      <x:c r="K91" s="117"/>
      <x:c r="L91" s="117"/>
      <x:c r="M91" s="117"/>
      <x:c r="N91" s="117"/>
      <x:c r="O91" s="117"/>
      <x:c r="P91" s="117"/>
      <x:c r="Q91" s="117"/>
      <x:c r="R91" s="117"/>
      <x:c r="S91" s="117"/>
      <x:c r="T91" s="117"/>
      <x:c r="U91" s="117"/>
      <x:c r="V91" s="117"/>
      <x:c r="W91" s="117"/>
      <x:c r="X91" s="117"/>
      <x:c r="Y91" s="117"/>
      <x:c r="Z91" s="117"/>
    </x:row>
    <x:row r="92">
      <x:c r="A92" s="117"/>
      <x:c r="B92" s="117"/>
      <x:c r="C92" s="117"/>
      <x:c r="D92" s="117"/>
      <x:c r="E92" s="117"/>
      <x:c r="F92" s="117"/>
      <x:c r="G92" s="117"/>
      <x:c r="H92" s="117"/>
      <x:c r="I92" s="117"/>
      <x:c r="J92" s="117"/>
      <x:c r="K92" s="117"/>
      <x:c r="L92" s="117"/>
      <x:c r="M92" s="117"/>
      <x:c r="N92" s="117"/>
      <x:c r="O92" s="117"/>
      <x:c r="P92" s="117"/>
      <x:c r="Q92" s="117"/>
      <x:c r="R92" s="117"/>
      <x:c r="S92" s="117"/>
      <x:c r="T92" s="117"/>
      <x:c r="U92" s="117"/>
      <x:c r="V92" s="117"/>
      <x:c r="W92" s="117"/>
      <x:c r="X92" s="117"/>
      <x:c r="Y92" s="117"/>
      <x:c r="Z92" s="117"/>
    </x:row>
    <x:row r="93">
      <x:c r="A93" s="117"/>
      <x:c r="B93" s="117"/>
      <x:c r="C93" s="117"/>
      <x:c r="D93" s="117"/>
      <x:c r="E93" s="117"/>
      <x:c r="F93" s="117"/>
      <x:c r="G93" s="117"/>
      <x:c r="H93" s="117"/>
      <x:c r="I93" s="117"/>
      <x:c r="J93" s="117"/>
      <x:c r="K93" s="117"/>
      <x:c r="L93" s="117"/>
      <x:c r="M93" s="117"/>
      <x:c r="N93" s="117"/>
      <x:c r="O93" s="117"/>
      <x:c r="P93" s="117"/>
      <x:c r="Q93" s="117"/>
      <x:c r="R93" s="117"/>
      <x:c r="S93" s="117"/>
      <x:c r="T93" s="117"/>
      <x:c r="U93" s="117"/>
      <x:c r="V93" s="117"/>
      <x:c r="W93" s="117"/>
      <x:c r="X93" s="117"/>
      <x:c r="Y93" s="117"/>
      <x:c r="Z93" s="117"/>
    </x:row>
    <x:row r="94">
      <x:c r="A94" s="117"/>
      <x:c r="B94" s="117"/>
      <x:c r="C94" s="117"/>
      <x:c r="D94" s="117"/>
      <x:c r="E94" s="117"/>
      <x:c r="F94" s="117"/>
      <x:c r="G94" s="117"/>
      <x:c r="H94" s="117"/>
      <x:c r="I94" s="117"/>
      <x:c r="J94" s="117"/>
      <x:c r="K94" s="117"/>
      <x:c r="L94" s="117"/>
      <x:c r="M94" s="117"/>
      <x:c r="N94" s="117"/>
      <x:c r="O94" s="117"/>
      <x:c r="P94" s="117"/>
      <x:c r="Q94" s="117"/>
      <x:c r="R94" s="117"/>
      <x:c r="S94" s="117"/>
      <x:c r="T94" s="117"/>
      <x:c r="U94" s="117"/>
      <x:c r="V94" s="117"/>
      <x:c r="W94" s="117"/>
      <x:c r="X94" s="117"/>
      <x:c r="Y94" s="117"/>
      <x:c r="Z94" s="117"/>
    </x:row>
    <x:row r="95">
      <x:c r="A95" s="117"/>
      <x:c r="B95" s="117"/>
      <x:c r="C95" s="117"/>
      <x:c r="D95" s="117"/>
      <x:c r="E95" s="117"/>
      <x:c r="F95" s="117"/>
      <x:c r="G95" s="117"/>
      <x:c r="H95" s="117"/>
      <x:c r="I95" s="117"/>
      <x:c r="J95" s="117"/>
      <x:c r="K95" s="117"/>
      <x:c r="L95" s="117"/>
      <x:c r="M95" s="117"/>
      <x:c r="N95" s="117"/>
      <x:c r="O95" s="117"/>
      <x:c r="P95" s="117"/>
      <x:c r="Q95" s="117"/>
      <x:c r="R95" s="117"/>
      <x:c r="S95" s="117"/>
      <x:c r="T95" s="117"/>
      <x:c r="U95" s="117"/>
      <x:c r="V95" s="117"/>
      <x:c r="W95" s="117"/>
      <x:c r="X95" s="117"/>
      <x:c r="Y95" s="117"/>
      <x:c r="Z95" s="117"/>
    </x:row>
    <x:row r="96">
      <x:c r="A96" s="117"/>
      <x:c r="B96" s="117"/>
      <x:c r="C96" s="117"/>
      <x:c r="D96" s="117"/>
      <x:c r="E96" s="117"/>
      <x:c r="F96" s="117"/>
      <x:c r="G96" s="117"/>
      <x:c r="H96" s="117"/>
      <x:c r="I96" s="117"/>
      <x:c r="J96" s="117"/>
      <x:c r="K96" s="117"/>
      <x:c r="L96" s="117"/>
      <x:c r="M96" s="117"/>
      <x:c r="N96" s="117"/>
      <x:c r="O96" s="117"/>
      <x:c r="P96" s="117"/>
      <x:c r="Q96" s="117"/>
      <x:c r="R96" s="117"/>
      <x:c r="S96" s="117"/>
      <x:c r="T96" s="117"/>
      <x:c r="U96" s="117"/>
      <x:c r="V96" s="117"/>
      <x:c r="W96" s="117"/>
      <x:c r="X96" s="117"/>
      <x:c r="Y96" s="117"/>
      <x:c r="Z96" s="117"/>
    </x:row>
    <x:row r="97">
      <x:c r="A97" s="117"/>
      <x:c r="B97" s="117"/>
      <x:c r="C97" s="117"/>
      <x:c r="D97" s="117"/>
      <x:c r="E97" s="117"/>
      <x:c r="F97" s="117"/>
      <x:c r="G97" s="117"/>
      <x:c r="H97" s="117"/>
      <x:c r="I97" s="117"/>
      <x:c r="J97" s="117"/>
      <x:c r="K97" s="117"/>
      <x:c r="L97" s="117"/>
      <x:c r="M97" s="117"/>
      <x:c r="N97" s="117"/>
      <x:c r="O97" s="117"/>
      <x:c r="P97" s="117"/>
      <x:c r="Q97" s="117"/>
      <x:c r="R97" s="117"/>
      <x:c r="S97" s="117"/>
      <x:c r="T97" s="117"/>
      <x:c r="U97" s="117"/>
      <x:c r="V97" s="117"/>
      <x:c r="W97" s="117"/>
      <x:c r="X97" s="117"/>
      <x:c r="Y97" s="117"/>
      <x:c r="Z97" s="117"/>
    </x:row>
    <x:row r="98">
      <x:c r="A98" s="117"/>
      <x:c r="B98" s="117"/>
      <x:c r="C98" s="117"/>
      <x:c r="D98" s="117"/>
      <x:c r="E98" s="117"/>
      <x:c r="F98" s="117"/>
      <x:c r="G98" s="117"/>
      <x:c r="H98" s="117"/>
      <x:c r="I98" s="117"/>
      <x:c r="J98" s="117"/>
      <x:c r="K98" s="117"/>
      <x:c r="L98" s="117"/>
      <x:c r="M98" s="117"/>
      <x:c r="N98" s="117"/>
      <x:c r="O98" s="117"/>
      <x:c r="P98" s="117"/>
      <x:c r="Q98" s="117"/>
      <x:c r="R98" s="117"/>
      <x:c r="S98" s="117"/>
      <x:c r="T98" s="117"/>
      <x:c r="U98" s="117"/>
      <x:c r="V98" s="117"/>
      <x:c r="W98" s="117"/>
      <x:c r="X98" s="117"/>
      <x:c r="Y98" s="117"/>
      <x:c r="Z98" s="117"/>
    </x:row>
    <x:row r="99">
      <x:c r="A99" s="117"/>
      <x:c r="B99" s="117"/>
      <x:c r="C99" s="117"/>
      <x:c r="D99" s="117"/>
      <x:c r="E99" s="117"/>
      <x:c r="F99" s="117"/>
      <x:c r="G99" s="117"/>
      <x:c r="H99" s="117"/>
      <x:c r="I99" s="117"/>
      <x:c r="J99" s="117"/>
      <x:c r="K99" s="117"/>
      <x:c r="L99" s="117"/>
      <x:c r="M99" s="117"/>
      <x:c r="N99" s="117"/>
      <x:c r="O99" s="117"/>
      <x:c r="P99" s="117"/>
      <x:c r="Q99" s="117"/>
      <x:c r="R99" s="117"/>
      <x:c r="S99" s="117"/>
      <x:c r="T99" s="117"/>
      <x:c r="U99" s="117"/>
      <x:c r="V99" s="117"/>
      <x:c r="W99" s="117"/>
      <x:c r="X99" s="117"/>
      <x:c r="Y99" s="117"/>
      <x:c r="Z99" s="117"/>
    </x:row>
    <x:row r="100">
      <x:c r="A100" s="117"/>
      <x:c r="B100" s="117"/>
      <x:c r="C100" s="117"/>
      <x:c r="D100" s="117"/>
      <x:c r="E100" s="117"/>
      <x:c r="F100" s="117"/>
      <x:c r="G100" s="117"/>
      <x:c r="H100" s="117"/>
      <x:c r="I100" s="117"/>
      <x:c r="J100" s="117"/>
      <x:c r="K100" s="117"/>
      <x:c r="L100" s="117"/>
      <x:c r="M100" s="117"/>
      <x:c r="N100" s="117"/>
      <x:c r="O100" s="117"/>
      <x:c r="P100" s="117"/>
      <x:c r="Q100" s="117"/>
      <x:c r="R100" s="117"/>
      <x:c r="S100" s="117"/>
      <x:c r="T100" s="117"/>
      <x:c r="U100" s="117"/>
      <x:c r="V100" s="117"/>
      <x:c r="W100" s="117"/>
      <x:c r="X100" s="117"/>
      <x:c r="Y100" s="117"/>
      <x:c r="Z100" s="117"/>
    </x:row>
    <x:row r="101">
      <x:c r="A101" s="117"/>
      <x:c r="B101" s="117"/>
      <x:c r="C101" s="117"/>
      <x:c r="D101" s="117"/>
      <x:c r="E101" s="117"/>
      <x:c r="F101" s="117"/>
      <x:c r="G101" s="117"/>
      <x:c r="H101" s="117"/>
      <x:c r="I101" s="117"/>
      <x:c r="J101" s="117"/>
      <x:c r="K101" s="117"/>
      <x:c r="L101" s="117"/>
      <x:c r="M101" s="117"/>
      <x:c r="N101" s="117"/>
      <x:c r="O101" s="117"/>
      <x:c r="P101" s="117"/>
      <x:c r="Q101" s="117"/>
      <x:c r="R101" s="117"/>
      <x:c r="S101" s="117"/>
      <x:c r="T101" s="117"/>
      <x:c r="U101" s="117"/>
      <x:c r="V101" s="117"/>
      <x:c r="W101" s="117"/>
      <x:c r="X101" s="117"/>
      <x:c r="Y101" s="117"/>
      <x:c r="Z101" s="117"/>
    </x:row>
    <x:row r="102">
      <x:c r="A102" s="117"/>
      <x:c r="B102" s="117"/>
      <x:c r="C102" s="117"/>
      <x:c r="D102" s="117"/>
      <x:c r="E102" s="117"/>
      <x:c r="F102" s="117"/>
      <x:c r="G102" s="117"/>
      <x:c r="H102" s="117"/>
      <x:c r="I102" s="117"/>
      <x:c r="J102" s="117"/>
      <x:c r="K102" s="117"/>
      <x:c r="L102" s="117"/>
      <x:c r="M102" s="117"/>
      <x:c r="N102" s="117"/>
      <x:c r="O102" s="117"/>
      <x:c r="P102" s="117"/>
      <x:c r="Q102" s="117"/>
      <x:c r="R102" s="117"/>
      <x:c r="S102" s="117"/>
      <x:c r="T102" s="117"/>
      <x:c r="U102" s="117"/>
      <x:c r="V102" s="117"/>
      <x:c r="W102" s="117"/>
      <x:c r="X102" s="117"/>
      <x:c r="Y102" s="117"/>
      <x:c r="Z102" s="117"/>
    </x:row>
    <x:row r="103">
      <x:c r="A103" s="117"/>
      <x:c r="B103" s="117"/>
      <x:c r="C103" s="117"/>
      <x:c r="D103" s="117"/>
      <x:c r="E103" s="117"/>
      <x:c r="F103" s="117"/>
      <x:c r="G103" s="117"/>
      <x:c r="H103" s="117"/>
      <x:c r="I103" s="117"/>
      <x:c r="J103" s="117"/>
      <x:c r="K103" s="117"/>
      <x:c r="L103" s="117"/>
      <x:c r="M103" s="117"/>
      <x:c r="N103" s="117"/>
      <x:c r="O103" s="117"/>
      <x:c r="P103" s="117"/>
      <x:c r="Q103" s="117"/>
      <x:c r="R103" s="117"/>
      <x:c r="S103" s="117"/>
      <x:c r="T103" s="117"/>
      <x:c r="U103" s="117"/>
      <x:c r="V103" s="117"/>
      <x:c r="W103" s="117"/>
      <x:c r="X103" s="117"/>
      <x:c r="Y103" s="117"/>
      <x:c r="Z103" s="117"/>
    </x:row>
    <x:row r="104">
      <x:c r="A104" s="117"/>
      <x:c r="B104" s="117"/>
      <x:c r="C104" s="117"/>
      <x:c r="D104" s="117"/>
      <x:c r="E104" s="117"/>
      <x:c r="F104" s="117"/>
      <x:c r="G104" s="117"/>
      <x:c r="H104" s="117"/>
      <x:c r="I104" s="117"/>
      <x:c r="J104" s="117"/>
      <x:c r="K104" s="117"/>
      <x:c r="L104" s="117"/>
      <x:c r="M104" s="117"/>
      <x:c r="N104" s="117"/>
      <x:c r="O104" s="117"/>
      <x:c r="P104" s="117"/>
      <x:c r="Q104" s="117"/>
      <x:c r="R104" s="117"/>
      <x:c r="S104" s="117"/>
      <x:c r="T104" s="117"/>
      <x:c r="U104" s="117"/>
      <x:c r="V104" s="117"/>
      <x:c r="W104" s="117"/>
      <x:c r="X104" s="117"/>
      <x:c r="Y104" s="117"/>
      <x:c r="Z104" s="117"/>
    </x:row>
    <x:row r="105">
      <x:c r="A105" s="117"/>
      <x:c r="B105" s="117"/>
      <x:c r="C105" s="117"/>
      <x:c r="D105" s="117"/>
      <x:c r="E105" s="117"/>
      <x:c r="F105" s="117"/>
      <x:c r="G105" s="117"/>
      <x:c r="H105" s="117"/>
      <x:c r="I105" s="117"/>
      <x:c r="J105" s="117"/>
      <x:c r="K105" s="117"/>
      <x:c r="L105" s="117"/>
      <x:c r="M105" s="117"/>
      <x:c r="N105" s="117"/>
      <x:c r="O105" s="117"/>
      <x:c r="P105" s="117"/>
      <x:c r="Q105" s="117"/>
      <x:c r="R105" s="117"/>
      <x:c r="S105" s="117"/>
      <x:c r="T105" s="117"/>
      <x:c r="U105" s="117"/>
      <x:c r="V105" s="117"/>
      <x:c r="W105" s="117"/>
      <x:c r="X105" s="117"/>
      <x:c r="Y105" s="117"/>
      <x:c r="Z105" s="117"/>
    </x:row>
    <x:row r="106">
      <x:c r="A106" s="117"/>
      <x:c r="B106" s="117"/>
      <x:c r="C106" s="117"/>
      <x:c r="D106" s="117"/>
      <x:c r="E106" s="117"/>
      <x:c r="F106" s="117"/>
      <x:c r="G106" s="117"/>
      <x:c r="H106" s="117"/>
      <x:c r="I106" s="117"/>
      <x:c r="J106" s="117"/>
      <x:c r="K106" s="117"/>
      <x:c r="L106" s="117"/>
      <x:c r="M106" s="117"/>
      <x:c r="N106" s="117"/>
      <x:c r="O106" s="117"/>
      <x:c r="P106" s="117"/>
      <x:c r="Q106" s="117"/>
      <x:c r="R106" s="117"/>
      <x:c r="S106" s="117"/>
      <x:c r="T106" s="117"/>
      <x:c r="U106" s="117"/>
      <x:c r="V106" s="117"/>
      <x:c r="W106" s="117"/>
      <x:c r="X106" s="117"/>
      <x:c r="Y106" s="117"/>
      <x:c r="Z106" s="117"/>
    </x:row>
    <x:row r="107">
      <x:c r="A107" s="117"/>
      <x:c r="B107" s="117"/>
      <x:c r="C107" s="117"/>
      <x:c r="D107" s="117"/>
      <x:c r="E107" s="117"/>
      <x:c r="F107" s="117"/>
      <x:c r="G107" s="117"/>
      <x:c r="H107" s="117"/>
      <x:c r="I107" s="117"/>
      <x:c r="J107" s="117"/>
      <x:c r="K107" s="117"/>
      <x:c r="L107" s="117"/>
      <x:c r="M107" s="117"/>
      <x:c r="N107" s="117"/>
      <x:c r="O107" s="117"/>
      <x:c r="P107" s="117"/>
      <x:c r="Q107" s="117"/>
      <x:c r="R107" s="117"/>
      <x:c r="S107" s="117"/>
      <x:c r="T107" s="117"/>
      <x:c r="U107" s="117"/>
      <x:c r="V107" s="117"/>
      <x:c r="W107" s="117"/>
      <x:c r="X107" s="117"/>
      <x:c r="Y107" s="117"/>
      <x:c r="Z107" s="117"/>
    </x:row>
    <x:row r="108">
      <x:c r="A108" s="117"/>
      <x:c r="B108" s="117"/>
      <x:c r="C108" s="117"/>
      <x:c r="D108" s="117"/>
      <x:c r="E108" s="117"/>
      <x:c r="F108" s="117"/>
      <x:c r="G108" s="117"/>
      <x:c r="H108" s="117"/>
      <x:c r="I108" s="117"/>
      <x:c r="J108" s="117"/>
      <x:c r="K108" s="117"/>
      <x:c r="L108" s="117"/>
      <x:c r="M108" s="117"/>
      <x:c r="N108" s="117"/>
      <x:c r="O108" s="117"/>
      <x:c r="P108" s="117"/>
      <x:c r="Q108" s="117"/>
      <x:c r="R108" s="117"/>
      <x:c r="S108" s="117"/>
      <x:c r="T108" s="117"/>
      <x:c r="U108" s="117"/>
      <x:c r="V108" s="117"/>
      <x:c r="W108" s="117"/>
      <x:c r="X108" s="117"/>
      <x:c r="Y108" s="117"/>
      <x:c r="Z108" s="117"/>
    </x:row>
    <x:row r="109">
      <x:c r="A109" s="117"/>
      <x:c r="B109" s="117"/>
      <x:c r="C109" s="117"/>
      <x:c r="D109" s="117"/>
      <x:c r="E109" s="117"/>
      <x:c r="F109" s="117"/>
      <x:c r="G109" s="117"/>
      <x:c r="H109" s="117"/>
      <x:c r="I109" s="117"/>
      <x:c r="J109" s="117"/>
      <x:c r="K109" s="117"/>
      <x:c r="L109" s="117"/>
      <x:c r="M109" s="117"/>
      <x:c r="N109" s="117"/>
      <x:c r="O109" s="117"/>
      <x:c r="P109" s="117"/>
      <x:c r="Q109" s="117"/>
      <x:c r="R109" s="117"/>
      <x:c r="S109" s="117"/>
      <x:c r="T109" s="117"/>
      <x:c r="U109" s="117"/>
      <x:c r="V109" s="117"/>
      <x:c r="W109" s="117"/>
      <x:c r="X109" s="117"/>
      <x:c r="Y109" s="117"/>
      <x:c r="Z109" s="117"/>
    </x:row>
    <x:row r="110">
      <x:c r="A110" s="117"/>
      <x:c r="B110" s="117"/>
      <x:c r="C110" s="117"/>
      <x:c r="D110" s="117"/>
      <x:c r="E110" s="117"/>
      <x:c r="F110" s="117"/>
      <x:c r="G110" s="117"/>
      <x:c r="H110" s="117"/>
      <x:c r="I110" s="117"/>
      <x:c r="J110" s="117"/>
      <x:c r="K110" s="117"/>
      <x:c r="L110" s="117"/>
      <x:c r="M110" s="117"/>
      <x:c r="N110" s="117"/>
      <x:c r="O110" s="117"/>
      <x:c r="P110" s="117"/>
      <x:c r="Q110" s="117"/>
      <x:c r="R110" s="117"/>
      <x:c r="S110" s="117"/>
      <x:c r="T110" s="117"/>
      <x:c r="U110" s="117"/>
      <x:c r="V110" s="117"/>
      <x:c r="W110" s="117"/>
      <x:c r="X110" s="117"/>
      <x:c r="Y110" s="117"/>
      <x:c r="Z110" s="117"/>
    </x:row>
    <x:row r="111">
      <x:c r="A111" s="117"/>
      <x:c r="B111" s="117"/>
      <x:c r="C111" s="117"/>
      <x:c r="D111" s="117"/>
      <x:c r="E111" s="117"/>
      <x:c r="F111" s="117"/>
      <x:c r="G111" s="117"/>
      <x:c r="H111" s="117"/>
      <x:c r="I111" s="117"/>
      <x:c r="J111" s="117"/>
      <x:c r="K111" s="117"/>
      <x:c r="L111" s="117"/>
      <x:c r="M111" s="117"/>
      <x:c r="N111" s="117"/>
      <x:c r="O111" s="117"/>
      <x:c r="P111" s="117"/>
      <x:c r="Q111" s="117"/>
      <x:c r="R111" s="117"/>
      <x:c r="S111" s="117"/>
      <x:c r="T111" s="117"/>
      <x:c r="U111" s="117"/>
      <x:c r="V111" s="117"/>
      <x:c r="W111" s="117"/>
      <x:c r="X111" s="117"/>
      <x:c r="Y111" s="117"/>
      <x:c r="Z111" s="117"/>
    </x:row>
    <x:row r="112">
      <x:c r="A112" s="117"/>
      <x:c r="B112" s="117"/>
      <x:c r="C112" s="117"/>
      <x:c r="D112" s="117"/>
      <x:c r="E112" s="117"/>
      <x:c r="F112" s="117"/>
      <x:c r="G112" s="117"/>
      <x:c r="H112" s="117"/>
      <x:c r="I112" s="117"/>
      <x:c r="J112" s="117"/>
      <x:c r="K112" s="117"/>
      <x:c r="L112" s="117"/>
      <x:c r="M112" s="117"/>
      <x:c r="N112" s="117"/>
      <x:c r="O112" s="117"/>
      <x:c r="P112" s="117"/>
      <x:c r="Q112" s="117"/>
      <x:c r="R112" s="117"/>
      <x:c r="S112" s="117"/>
      <x:c r="T112" s="117"/>
      <x:c r="U112" s="117"/>
      <x:c r="V112" s="117"/>
      <x:c r="W112" s="117"/>
      <x:c r="X112" s="117"/>
      <x:c r="Y112" s="117"/>
      <x:c r="Z112" s="117"/>
    </x:row>
    <x:row r="113">
      <x:c r="A113" s="117"/>
      <x:c r="B113" s="117"/>
      <x:c r="C113" s="117"/>
      <x:c r="D113" s="117"/>
      <x:c r="E113" s="117"/>
      <x:c r="F113" s="117"/>
      <x:c r="G113" s="117"/>
      <x:c r="H113" s="117"/>
      <x:c r="I113" s="117"/>
      <x:c r="J113" s="117"/>
      <x:c r="K113" s="117"/>
      <x:c r="L113" s="117"/>
      <x:c r="M113" s="117"/>
      <x:c r="N113" s="117"/>
      <x:c r="O113" s="117"/>
      <x:c r="P113" s="117"/>
      <x:c r="Q113" s="117"/>
      <x:c r="R113" s="117"/>
      <x:c r="S113" s="117"/>
      <x:c r="T113" s="117"/>
      <x:c r="U113" s="117"/>
      <x:c r="V113" s="117"/>
      <x:c r="W113" s="117"/>
      <x:c r="X113" s="117"/>
      <x:c r="Y113" s="117"/>
      <x:c r="Z113" s="117"/>
    </x:row>
    <x:row r="114">
      <x:c r="A114" s="117"/>
      <x:c r="B114" s="117"/>
      <x:c r="C114" s="117"/>
      <x:c r="D114" s="117"/>
      <x:c r="E114" s="117"/>
      <x:c r="F114" s="117"/>
      <x:c r="G114" s="117"/>
      <x:c r="H114" s="117"/>
      <x:c r="I114" s="117"/>
      <x:c r="J114" s="117"/>
      <x:c r="K114" s="117"/>
      <x:c r="L114" s="117"/>
      <x:c r="M114" s="117"/>
      <x:c r="N114" s="117"/>
      <x:c r="O114" s="117"/>
      <x:c r="P114" s="117"/>
      <x:c r="Q114" s="117"/>
      <x:c r="R114" s="117"/>
      <x:c r="S114" s="117"/>
      <x:c r="T114" s="117"/>
      <x:c r="U114" s="117"/>
      <x:c r="V114" s="117"/>
      <x:c r="W114" s="117"/>
      <x:c r="X114" s="117"/>
      <x:c r="Y114" s="117"/>
      <x:c r="Z114" s="117"/>
    </x:row>
    <x:row r="115">
      <x:c r="A115" s="117"/>
      <x:c r="B115" s="117"/>
      <x:c r="C115" s="117"/>
      <x:c r="D115" s="117"/>
      <x:c r="E115" s="117"/>
      <x:c r="F115" s="117"/>
      <x:c r="G115" s="117"/>
      <x:c r="H115" s="117"/>
      <x:c r="I115" s="117"/>
      <x:c r="J115" s="117"/>
      <x:c r="K115" s="117"/>
      <x:c r="L115" s="117"/>
      <x:c r="M115" s="117"/>
      <x:c r="N115" s="117"/>
      <x:c r="O115" s="117"/>
      <x:c r="P115" s="117"/>
      <x:c r="Q115" s="117"/>
      <x:c r="R115" s="117"/>
      <x:c r="S115" s="117"/>
      <x:c r="T115" s="117"/>
      <x:c r="U115" s="117"/>
      <x:c r="V115" s="117"/>
      <x:c r="W115" s="117"/>
      <x:c r="X115" s="117"/>
      <x:c r="Y115" s="117"/>
      <x:c r="Z115" s="117"/>
    </x:row>
    <x:row r="116">
      <x:c r="A116" s="117"/>
      <x:c r="B116" s="117"/>
      <x:c r="C116" s="117"/>
      <x:c r="D116" s="117"/>
      <x:c r="E116" s="117"/>
      <x:c r="F116" s="117"/>
      <x:c r="G116" s="117"/>
      <x:c r="H116" s="117"/>
      <x:c r="I116" s="117"/>
      <x:c r="J116" s="117"/>
      <x:c r="K116" s="117"/>
      <x:c r="L116" s="117"/>
      <x:c r="M116" s="117"/>
      <x:c r="N116" s="117"/>
      <x:c r="O116" s="117"/>
      <x:c r="P116" s="117"/>
      <x:c r="Q116" s="117"/>
      <x:c r="R116" s="117"/>
      <x:c r="S116" s="117"/>
      <x:c r="T116" s="117"/>
      <x:c r="U116" s="117"/>
      <x:c r="V116" s="117"/>
      <x:c r="W116" s="117"/>
      <x:c r="X116" s="117"/>
      <x:c r="Y116" s="117"/>
      <x:c r="Z116" s="117"/>
    </x:row>
    <x:row r="117">
      <x:c r="A117" s="117"/>
      <x:c r="B117" s="117"/>
      <x:c r="C117" s="117"/>
      <x:c r="D117" s="117"/>
      <x:c r="E117" s="117"/>
      <x:c r="F117" s="117"/>
      <x:c r="G117" s="117"/>
      <x:c r="H117" s="117"/>
      <x:c r="I117" s="117"/>
      <x:c r="J117" s="117"/>
      <x:c r="K117" s="117"/>
      <x:c r="L117" s="117"/>
      <x:c r="M117" s="117"/>
      <x:c r="N117" s="117"/>
      <x:c r="O117" s="117"/>
      <x:c r="P117" s="117"/>
      <x:c r="Q117" s="117"/>
      <x:c r="R117" s="117"/>
      <x:c r="S117" s="117"/>
      <x:c r="T117" s="117"/>
      <x:c r="U117" s="117"/>
      <x:c r="V117" s="117"/>
      <x:c r="W117" s="117"/>
      <x:c r="X117" s="117"/>
      <x:c r="Y117" s="117"/>
      <x:c r="Z117" s="117"/>
    </x:row>
    <x:row r="118">
      <x:c r="A118" s="117"/>
      <x:c r="B118" s="117"/>
      <x:c r="C118" s="117"/>
      <x:c r="D118" s="117"/>
      <x:c r="E118" s="117"/>
      <x:c r="F118" s="117"/>
      <x:c r="G118" s="117"/>
      <x:c r="H118" s="117"/>
      <x:c r="I118" s="117"/>
      <x:c r="J118" s="117"/>
      <x:c r="K118" s="117"/>
      <x:c r="L118" s="117"/>
      <x:c r="M118" s="117"/>
      <x:c r="N118" s="117"/>
      <x:c r="O118" s="117"/>
      <x:c r="P118" s="117"/>
      <x:c r="Q118" s="117"/>
      <x:c r="R118" s="117"/>
      <x:c r="S118" s="117"/>
      <x:c r="T118" s="117"/>
      <x:c r="U118" s="117"/>
      <x:c r="V118" s="117"/>
      <x:c r="W118" s="117"/>
      <x:c r="X118" s="117"/>
      <x:c r="Y118" s="117"/>
      <x:c r="Z118" s="117"/>
    </x:row>
    <x:row r="119">
      <x:c r="A119" s="117"/>
      <x:c r="B119" s="117"/>
      <x:c r="C119" s="117"/>
      <x:c r="D119" s="117"/>
      <x:c r="E119" s="117"/>
      <x:c r="F119" s="117"/>
      <x:c r="G119" s="117"/>
      <x:c r="H119" s="117"/>
      <x:c r="I119" s="117"/>
      <x:c r="J119" s="117"/>
      <x:c r="K119" s="117"/>
      <x:c r="L119" s="117"/>
      <x:c r="M119" s="117"/>
      <x:c r="N119" s="117"/>
      <x:c r="O119" s="117"/>
      <x:c r="P119" s="117"/>
      <x:c r="Q119" s="117"/>
      <x:c r="R119" s="117"/>
      <x:c r="S119" s="117"/>
      <x:c r="T119" s="117"/>
      <x:c r="U119" s="117"/>
      <x:c r="V119" s="117"/>
      <x:c r="W119" s="117"/>
      <x:c r="X119" s="117"/>
      <x:c r="Y119" s="117"/>
      <x:c r="Z119" s="117"/>
    </x:row>
    <x:row r="120">
      <x:c r="A120" s="117"/>
      <x:c r="B120" s="117"/>
      <x:c r="C120" s="117"/>
      <x:c r="D120" s="117"/>
      <x:c r="E120" s="117"/>
      <x:c r="F120" s="117"/>
      <x:c r="G120" s="117"/>
      <x:c r="H120" s="117"/>
      <x:c r="I120" s="117"/>
      <x:c r="J120" s="117"/>
      <x:c r="K120" s="117"/>
      <x:c r="L120" s="117"/>
      <x:c r="M120" s="117"/>
      <x:c r="N120" s="117"/>
      <x:c r="O120" s="117"/>
      <x:c r="P120" s="117"/>
      <x:c r="Q120" s="117"/>
      <x:c r="R120" s="117"/>
      <x:c r="S120" s="117"/>
      <x:c r="T120" s="117"/>
      <x:c r="U120" s="117"/>
      <x:c r="V120" s="117"/>
      <x:c r="W120" s="117"/>
      <x:c r="X120" s="117"/>
      <x:c r="Y120" s="117"/>
      <x:c r="Z120" s="117"/>
    </x:row>
    <x:row r="121">
      <x:c r="A121" s="117"/>
      <x:c r="B121" s="117"/>
      <x:c r="C121" s="117"/>
      <x:c r="D121" s="117"/>
      <x:c r="E121" s="117"/>
      <x:c r="F121" s="117"/>
      <x:c r="G121" s="117"/>
      <x:c r="H121" s="117"/>
      <x:c r="I121" s="117"/>
      <x:c r="J121" s="117"/>
      <x:c r="K121" s="117"/>
      <x:c r="L121" s="117"/>
      <x:c r="M121" s="117"/>
      <x:c r="N121" s="117"/>
      <x:c r="O121" s="117"/>
      <x:c r="P121" s="117"/>
      <x:c r="Q121" s="117"/>
      <x:c r="R121" s="117"/>
      <x:c r="S121" s="117"/>
      <x:c r="T121" s="117"/>
      <x:c r="U121" s="117"/>
      <x:c r="V121" s="117"/>
      <x:c r="W121" s="117"/>
      <x:c r="X121" s="117"/>
      <x:c r="Y121" s="117"/>
      <x:c r="Z121" s="117"/>
    </x:row>
    <x:row r="122">
      <x:c r="A122" s="117"/>
      <x:c r="B122" s="117"/>
      <x:c r="C122" s="117"/>
      <x:c r="D122" s="117"/>
      <x:c r="E122" s="117"/>
      <x:c r="F122" s="117"/>
      <x:c r="G122" s="117"/>
      <x:c r="H122" s="117"/>
      <x:c r="I122" s="117"/>
      <x:c r="J122" s="117"/>
      <x:c r="K122" s="117"/>
      <x:c r="L122" s="117"/>
      <x:c r="M122" s="117"/>
      <x:c r="N122" s="117"/>
      <x:c r="O122" s="117"/>
      <x:c r="P122" s="117"/>
      <x:c r="Q122" s="117"/>
      <x:c r="R122" s="117"/>
      <x:c r="S122" s="117"/>
      <x:c r="T122" s="117"/>
      <x:c r="U122" s="117"/>
      <x:c r="V122" s="117"/>
      <x:c r="W122" s="117"/>
      <x:c r="X122" s="117"/>
      <x:c r="Y122" s="117"/>
      <x:c r="Z122" s="117"/>
    </x:row>
    <x:row r="123">
      <x:c r="A123" s="117"/>
      <x:c r="B123" s="117"/>
      <x:c r="C123" s="117"/>
      <x:c r="D123" s="117"/>
      <x:c r="E123" s="117"/>
      <x:c r="F123" s="117"/>
      <x:c r="G123" s="117"/>
      <x:c r="H123" s="117"/>
      <x:c r="I123" s="117"/>
      <x:c r="J123" s="117"/>
      <x:c r="K123" s="117"/>
      <x:c r="L123" s="117"/>
      <x:c r="M123" s="117"/>
      <x:c r="N123" s="117"/>
      <x:c r="O123" s="117"/>
      <x:c r="P123" s="117"/>
      <x:c r="Q123" s="117"/>
      <x:c r="R123" s="117"/>
      <x:c r="S123" s="117"/>
      <x:c r="T123" s="117"/>
      <x:c r="U123" s="117"/>
      <x:c r="V123" s="117"/>
      <x:c r="W123" s="117"/>
      <x:c r="X123" s="117"/>
      <x:c r="Y123" s="117"/>
      <x:c r="Z123" s="117"/>
    </x:row>
    <x:row r="124">
      <x:c r="A124" s="117"/>
      <x:c r="B124" s="117"/>
      <x:c r="C124" s="117"/>
      <x:c r="D124" s="117"/>
      <x:c r="E124" s="117"/>
      <x:c r="F124" s="117"/>
      <x:c r="G124" s="117"/>
      <x:c r="H124" s="117"/>
      <x:c r="I124" s="117"/>
      <x:c r="J124" s="117"/>
      <x:c r="K124" s="117"/>
      <x:c r="L124" s="117"/>
      <x:c r="M124" s="117"/>
      <x:c r="N124" s="117"/>
      <x:c r="O124" s="117"/>
      <x:c r="P124" s="117"/>
      <x:c r="Q124" s="117"/>
      <x:c r="R124" s="117"/>
      <x:c r="S124" s="117"/>
      <x:c r="T124" s="117"/>
      <x:c r="U124" s="117"/>
      <x:c r="V124" s="117"/>
      <x:c r="W124" s="117"/>
      <x:c r="X124" s="117"/>
      <x:c r="Y124" s="117"/>
      <x:c r="Z124" s="117"/>
    </x:row>
    <x:row r="125">
      <x:c r="A125" s="117"/>
      <x:c r="B125" s="117"/>
      <x:c r="C125" s="117"/>
      <x:c r="D125" s="117"/>
      <x:c r="E125" s="117"/>
      <x:c r="F125" s="117"/>
      <x:c r="G125" s="117"/>
      <x:c r="H125" s="117"/>
      <x:c r="I125" s="117"/>
      <x:c r="J125" s="117"/>
      <x:c r="K125" s="117"/>
      <x:c r="L125" s="117"/>
      <x:c r="M125" s="117"/>
      <x:c r="N125" s="117"/>
      <x:c r="O125" s="117"/>
      <x:c r="P125" s="117"/>
      <x:c r="Q125" s="117"/>
      <x:c r="R125" s="117"/>
      <x:c r="S125" s="117"/>
      <x:c r="T125" s="117"/>
      <x:c r="U125" s="117"/>
      <x:c r="V125" s="117"/>
      <x:c r="W125" s="117"/>
      <x:c r="X125" s="117"/>
      <x:c r="Y125" s="117"/>
      <x:c r="Z125" s="117"/>
    </x:row>
    <x:row r="126">
      <x:c r="A126" s="117"/>
      <x:c r="B126" s="117"/>
      <x:c r="C126" s="117"/>
      <x:c r="D126" s="117"/>
      <x:c r="E126" s="117"/>
      <x:c r="F126" s="117"/>
      <x:c r="G126" s="117"/>
      <x:c r="H126" s="117"/>
      <x:c r="I126" s="117"/>
      <x:c r="J126" s="117"/>
      <x:c r="K126" s="117"/>
      <x:c r="L126" s="117"/>
      <x:c r="M126" s="117"/>
      <x:c r="N126" s="117"/>
      <x:c r="O126" s="117"/>
      <x:c r="P126" s="117"/>
      <x:c r="Q126" s="117"/>
      <x:c r="R126" s="117"/>
      <x:c r="S126" s="117"/>
      <x:c r="T126" s="117"/>
      <x:c r="U126" s="117"/>
      <x:c r="V126" s="117"/>
      <x:c r="W126" s="117"/>
      <x:c r="X126" s="117"/>
      <x:c r="Y126" s="117"/>
      <x:c r="Z126" s="117"/>
    </x:row>
    <x:row r="127">
      <x:c r="A127" s="117"/>
      <x:c r="B127" s="117"/>
      <x:c r="C127" s="117"/>
      <x:c r="D127" s="117"/>
      <x:c r="E127" s="117"/>
      <x:c r="F127" s="117"/>
      <x:c r="G127" s="117"/>
      <x:c r="H127" s="117"/>
      <x:c r="I127" s="117"/>
      <x:c r="J127" s="117"/>
      <x:c r="K127" s="117"/>
      <x:c r="L127" s="117"/>
      <x:c r="M127" s="117"/>
      <x:c r="N127" s="117"/>
      <x:c r="O127" s="117"/>
      <x:c r="P127" s="117"/>
      <x:c r="Q127" s="117"/>
      <x:c r="R127" s="117"/>
      <x:c r="S127" s="117"/>
      <x:c r="T127" s="117"/>
      <x:c r="U127" s="117"/>
      <x:c r="V127" s="117"/>
      <x:c r="W127" s="117"/>
      <x:c r="X127" s="117"/>
      <x:c r="Y127" s="117"/>
      <x:c r="Z127" s="117"/>
    </x:row>
    <x:row r="128">
      <x:c r="A128" s="117"/>
      <x:c r="B128" s="117"/>
      <x:c r="C128" s="117"/>
      <x:c r="D128" s="117"/>
      <x:c r="E128" s="117"/>
      <x:c r="F128" s="117"/>
      <x:c r="G128" s="117"/>
      <x:c r="H128" s="117"/>
      <x:c r="I128" s="117"/>
      <x:c r="J128" s="117"/>
      <x:c r="K128" s="117"/>
      <x:c r="L128" s="117"/>
      <x:c r="M128" s="117"/>
      <x:c r="N128" s="117"/>
      <x:c r="O128" s="117"/>
      <x:c r="P128" s="117"/>
      <x:c r="Q128" s="117"/>
      <x:c r="R128" s="117"/>
      <x:c r="S128" s="117"/>
      <x:c r="T128" s="117"/>
      <x:c r="U128" s="117"/>
      <x:c r="V128" s="117"/>
      <x:c r="W128" s="117"/>
      <x:c r="X128" s="117"/>
      <x:c r="Y128" s="117"/>
      <x:c r="Z128" s="117"/>
    </x:row>
    <x:row r="129">
      <x:c r="A129" s="117"/>
      <x:c r="B129" s="117"/>
      <x:c r="C129" s="117"/>
      <x:c r="D129" s="117"/>
      <x:c r="E129" s="117"/>
      <x:c r="F129" s="117"/>
      <x:c r="G129" s="117"/>
      <x:c r="H129" s="117"/>
      <x:c r="I129" s="117"/>
      <x:c r="J129" s="117"/>
      <x:c r="K129" s="117"/>
      <x:c r="L129" s="117"/>
      <x:c r="M129" s="117"/>
      <x:c r="N129" s="117"/>
      <x:c r="O129" s="117"/>
      <x:c r="P129" s="117"/>
      <x:c r="Q129" s="117"/>
      <x:c r="R129" s="117"/>
      <x:c r="S129" s="117"/>
      <x:c r="T129" s="117"/>
      <x:c r="U129" s="117"/>
      <x:c r="V129" s="117"/>
      <x:c r="W129" s="117"/>
      <x:c r="X129" s="117"/>
      <x:c r="Y129" s="117"/>
      <x:c r="Z129" s="117"/>
    </x:row>
    <x:row r="130">
      <x:c r="A130" s="117"/>
      <x:c r="B130" s="117"/>
      <x:c r="C130" s="117"/>
      <x:c r="D130" s="117"/>
      <x:c r="E130" s="117"/>
      <x:c r="F130" s="117"/>
      <x:c r="G130" s="117"/>
      <x:c r="H130" s="117"/>
      <x:c r="I130" s="117"/>
      <x:c r="J130" s="117"/>
      <x:c r="K130" s="117"/>
      <x:c r="L130" s="117"/>
      <x:c r="M130" s="117"/>
      <x:c r="N130" s="117"/>
      <x:c r="O130" s="117"/>
      <x:c r="P130" s="117"/>
      <x:c r="Q130" s="117"/>
      <x:c r="R130" s="117"/>
      <x:c r="S130" s="117"/>
      <x:c r="T130" s="117"/>
      <x:c r="U130" s="117"/>
      <x:c r="V130" s="117"/>
      <x:c r="W130" s="117"/>
      <x:c r="X130" s="117"/>
      <x:c r="Y130" s="117"/>
      <x:c r="Z130" s="117"/>
    </x:row>
    <x:row r="131">
      <x:c r="A131" s="117"/>
      <x:c r="B131" s="117"/>
      <x:c r="C131" s="117"/>
      <x:c r="D131" s="117"/>
      <x:c r="E131" s="117"/>
      <x:c r="F131" s="117"/>
      <x:c r="G131" s="117"/>
      <x:c r="H131" s="117"/>
      <x:c r="I131" s="117"/>
      <x:c r="J131" s="117"/>
      <x:c r="K131" s="117"/>
      <x:c r="L131" s="117"/>
      <x:c r="M131" s="117"/>
      <x:c r="N131" s="117"/>
      <x:c r="O131" s="117"/>
      <x:c r="P131" s="117"/>
      <x:c r="Q131" s="117"/>
      <x:c r="R131" s="117"/>
      <x:c r="S131" s="117"/>
      <x:c r="T131" s="117"/>
      <x:c r="U131" s="117"/>
      <x:c r="V131" s="117"/>
      <x:c r="W131" s="117"/>
      <x:c r="X131" s="117"/>
      <x:c r="Y131" s="117"/>
      <x:c r="Z131" s="117"/>
    </x:row>
    <x:row r="132">
      <x:c r="A132" s="117"/>
      <x:c r="B132" s="117"/>
      <x:c r="C132" s="117"/>
      <x:c r="D132" s="117"/>
      <x:c r="E132" s="117"/>
      <x:c r="F132" s="117"/>
      <x:c r="G132" s="117"/>
      <x:c r="H132" s="117"/>
      <x:c r="I132" s="117"/>
      <x:c r="J132" s="117"/>
      <x:c r="K132" s="117"/>
      <x:c r="L132" s="117"/>
      <x:c r="M132" s="117"/>
      <x:c r="N132" s="117"/>
      <x:c r="O132" s="117"/>
      <x:c r="P132" s="117"/>
      <x:c r="Q132" s="117"/>
      <x:c r="R132" s="117"/>
      <x:c r="S132" s="117"/>
      <x:c r="T132" s="117"/>
      <x:c r="U132" s="117"/>
      <x:c r="V132" s="117"/>
      <x:c r="W132" s="117"/>
      <x:c r="X132" s="117"/>
      <x:c r="Y132" s="117"/>
      <x:c r="Z132" s="117"/>
    </x:row>
    <x:row r="133">
      <x:c r="A133" s="117"/>
      <x:c r="B133" s="117"/>
      <x:c r="C133" s="117"/>
      <x:c r="D133" s="117"/>
      <x:c r="E133" s="117"/>
      <x:c r="F133" s="117"/>
      <x:c r="G133" s="117"/>
      <x:c r="H133" s="117"/>
      <x:c r="I133" s="117"/>
      <x:c r="J133" s="117"/>
      <x:c r="K133" s="117"/>
      <x:c r="L133" s="117"/>
      <x:c r="M133" s="117"/>
      <x:c r="N133" s="117"/>
      <x:c r="O133" s="117"/>
      <x:c r="P133" s="117"/>
      <x:c r="Q133" s="117"/>
      <x:c r="R133" s="117"/>
      <x:c r="S133" s="117"/>
      <x:c r="T133" s="117"/>
      <x:c r="U133" s="117"/>
      <x:c r="V133" s="117"/>
      <x:c r="W133" s="117"/>
      <x:c r="X133" s="117"/>
      <x:c r="Y133" s="117"/>
      <x:c r="Z133" s="117"/>
    </x:row>
    <x:row r="134">
      <x:c r="A134" s="117"/>
      <x:c r="B134" s="117"/>
      <x:c r="C134" s="117"/>
      <x:c r="D134" s="117"/>
      <x:c r="E134" s="117"/>
      <x:c r="F134" s="117"/>
      <x:c r="G134" s="117"/>
      <x:c r="H134" s="117"/>
      <x:c r="I134" s="117"/>
      <x:c r="J134" s="117"/>
      <x:c r="K134" s="117"/>
      <x:c r="L134" s="117"/>
      <x:c r="M134" s="117"/>
      <x:c r="N134" s="117"/>
      <x:c r="O134" s="117"/>
      <x:c r="P134" s="117"/>
      <x:c r="Q134" s="117"/>
      <x:c r="R134" s="117"/>
      <x:c r="S134" s="117"/>
      <x:c r="T134" s="117"/>
      <x:c r="U134" s="117"/>
      <x:c r="V134" s="117"/>
      <x:c r="W134" s="117"/>
      <x:c r="X134" s="117"/>
      <x:c r="Y134" s="117"/>
      <x:c r="Z134" s="117"/>
    </x:row>
    <x:row r="135">
      <x:c r="A135" s="117"/>
      <x:c r="B135" s="117"/>
      <x:c r="C135" s="117"/>
      <x:c r="D135" s="117"/>
      <x:c r="E135" s="117"/>
      <x:c r="F135" s="117"/>
      <x:c r="G135" s="117"/>
      <x:c r="H135" s="117"/>
      <x:c r="I135" s="117"/>
      <x:c r="J135" s="117"/>
      <x:c r="K135" s="117"/>
      <x:c r="L135" s="117"/>
      <x:c r="M135" s="117"/>
      <x:c r="N135" s="117"/>
      <x:c r="O135" s="117"/>
      <x:c r="P135" s="117"/>
      <x:c r="Q135" s="117"/>
      <x:c r="R135" s="117"/>
      <x:c r="S135" s="117"/>
      <x:c r="T135" s="117"/>
      <x:c r="U135" s="117"/>
      <x:c r="V135" s="117"/>
      <x:c r="W135" s="117"/>
      <x:c r="X135" s="117"/>
      <x:c r="Y135" s="117"/>
      <x:c r="Z135" s="117"/>
    </x:row>
    <x:row r="136">
      <x:c r="A136" s="117"/>
      <x:c r="B136" s="117"/>
      <x:c r="C136" s="117"/>
      <x:c r="D136" s="117"/>
      <x:c r="E136" s="117"/>
      <x:c r="F136" s="117"/>
      <x:c r="G136" s="117"/>
      <x:c r="H136" s="117"/>
      <x:c r="I136" s="117"/>
      <x:c r="J136" s="117"/>
      <x:c r="K136" s="117"/>
      <x:c r="L136" s="117"/>
      <x:c r="M136" s="117"/>
      <x:c r="N136" s="117"/>
      <x:c r="O136" s="117"/>
      <x:c r="P136" s="117"/>
      <x:c r="Q136" s="117"/>
      <x:c r="R136" s="117"/>
      <x:c r="S136" s="117"/>
      <x:c r="T136" s="117"/>
      <x:c r="U136" s="117"/>
      <x:c r="V136" s="117"/>
      <x:c r="W136" s="117"/>
      <x:c r="X136" s="117"/>
      <x:c r="Y136" s="117"/>
      <x:c r="Z136" s="117"/>
    </x:row>
    <x:row r="137">
      <x:c r="A137" s="117"/>
      <x:c r="B137" s="117"/>
      <x:c r="C137" s="117"/>
      <x:c r="D137" s="117"/>
      <x:c r="E137" s="117"/>
      <x:c r="F137" s="117"/>
      <x:c r="G137" s="117"/>
      <x:c r="H137" s="117"/>
      <x:c r="I137" s="117"/>
      <x:c r="J137" s="117"/>
      <x:c r="K137" s="117"/>
      <x:c r="L137" s="117"/>
      <x:c r="M137" s="117"/>
      <x:c r="N137" s="117"/>
      <x:c r="O137" s="117"/>
      <x:c r="P137" s="117"/>
      <x:c r="Q137" s="117"/>
      <x:c r="R137" s="117"/>
      <x:c r="S137" s="117"/>
      <x:c r="T137" s="117"/>
      <x:c r="U137" s="117"/>
      <x:c r="V137" s="117"/>
      <x:c r="W137" s="117"/>
      <x:c r="X137" s="117"/>
      <x:c r="Y137" s="117"/>
      <x:c r="Z137" s="117"/>
    </x:row>
    <x:row r="138">
      <x:c r="A138" s="117"/>
      <x:c r="B138" s="117"/>
      <x:c r="C138" s="117"/>
      <x:c r="D138" s="117"/>
      <x:c r="E138" s="117"/>
      <x:c r="F138" s="117"/>
      <x:c r="G138" s="117"/>
      <x:c r="H138" s="117"/>
      <x:c r="I138" s="117"/>
      <x:c r="J138" s="117"/>
      <x:c r="K138" s="117"/>
      <x:c r="L138" s="117"/>
      <x:c r="M138" s="117"/>
      <x:c r="N138" s="117"/>
      <x:c r="O138" s="117"/>
      <x:c r="P138" s="117"/>
      <x:c r="Q138" s="117"/>
      <x:c r="R138" s="117"/>
      <x:c r="S138" s="117"/>
      <x:c r="T138" s="117"/>
      <x:c r="U138" s="117"/>
      <x:c r="V138" s="117"/>
      <x:c r="W138" s="117"/>
      <x:c r="X138" s="117"/>
      <x:c r="Y138" s="117"/>
      <x:c r="Z138" s="117"/>
    </x:row>
    <x:row r="139">
      <x:c r="A139" s="117"/>
      <x:c r="B139" s="117"/>
      <x:c r="C139" s="117"/>
      <x:c r="D139" s="117"/>
      <x:c r="E139" s="117"/>
      <x:c r="F139" s="117"/>
      <x:c r="G139" s="117"/>
      <x:c r="H139" s="117"/>
      <x:c r="I139" s="117"/>
      <x:c r="J139" s="117"/>
      <x:c r="K139" s="117"/>
      <x:c r="L139" s="117"/>
      <x:c r="M139" s="117"/>
      <x:c r="N139" s="117"/>
      <x:c r="O139" s="117"/>
      <x:c r="P139" s="117"/>
      <x:c r="Q139" s="117"/>
      <x:c r="R139" s="117"/>
      <x:c r="S139" s="117"/>
      <x:c r="T139" s="117"/>
      <x:c r="U139" s="117"/>
      <x:c r="V139" s="117"/>
      <x:c r="W139" s="117"/>
      <x:c r="X139" s="117"/>
      <x:c r="Y139" s="117"/>
      <x:c r="Z139" s="117"/>
    </x:row>
    <x:row r="140">
      <x:c r="A140" s="117"/>
      <x:c r="B140" s="117"/>
      <x:c r="C140" s="117"/>
      <x:c r="D140" s="117"/>
      <x:c r="E140" s="117"/>
      <x:c r="F140" s="117"/>
      <x:c r="G140" s="117"/>
      <x:c r="H140" s="117"/>
      <x:c r="I140" s="117"/>
      <x:c r="J140" s="117"/>
      <x:c r="K140" s="117"/>
      <x:c r="L140" s="117"/>
      <x:c r="M140" s="117"/>
      <x:c r="N140" s="117"/>
      <x:c r="O140" s="117"/>
      <x:c r="P140" s="117"/>
      <x:c r="Q140" s="117"/>
      <x:c r="R140" s="117"/>
      <x:c r="S140" s="117"/>
      <x:c r="T140" s="117"/>
      <x:c r="U140" s="117"/>
      <x:c r="V140" s="117"/>
      <x:c r="W140" s="117"/>
      <x:c r="X140" s="117"/>
      <x:c r="Y140" s="117"/>
      <x:c r="Z140" s="117"/>
    </x:row>
    <x:row r="141">
      <x:c r="A141" s="117"/>
      <x:c r="B141" s="117"/>
      <x:c r="C141" s="117"/>
      <x:c r="D141" s="117"/>
      <x:c r="E141" s="117"/>
      <x:c r="F141" s="117"/>
      <x:c r="G141" s="117"/>
      <x:c r="H141" s="117"/>
      <x:c r="I141" s="117"/>
      <x:c r="J141" s="117"/>
      <x:c r="K141" s="117"/>
      <x:c r="L141" s="117"/>
      <x:c r="M141" s="117"/>
      <x:c r="N141" s="117"/>
      <x:c r="O141" s="117"/>
      <x:c r="P141" s="117"/>
      <x:c r="Q141" s="117"/>
      <x:c r="R141" s="117"/>
      <x:c r="S141" s="117"/>
      <x:c r="T141" s="117"/>
      <x:c r="U141" s="117"/>
      <x:c r="V141" s="117"/>
      <x:c r="W141" s="117"/>
      <x:c r="X141" s="117"/>
      <x:c r="Y141" s="117"/>
      <x:c r="Z141" s="117"/>
    </x:row>
    <x:row r="142">
      <x:c r="A142" s="117"/>
      <x:c r="B142" s="117"/>
      <x:c r="C142" s="117"/>
      <x:c r="D142" s="117"/>
      <x:c r="E142" s="117"/>
      <x:c r="F142" s="117"/>
      <x:c r="G142" s="117"/>
      <x:c r="H142" s="117"/>
      <x:c r="I142" s="117"/>
      <x:c r="J142" s="117"/>
      <x:c r="K142" s="117"/>
      <x:c r="L142" s="117"/>
      <x:c r="M142" s="117"/>
      <x:c r="N142" s="117"/>
      <x:c r="O142" s="117"/>
      <x:c r="P142" s="117"/>
      <x:c r="Q142" s="117"/>
      <x:c r="R142" s="117"/>
      <x:c r="S142" s="117"/>
      <x:c r="T142" s="117"/>
      <x:c r="U142" s="117"/>
      <x:c r="V142" s="117"/>
      <x:c r="W142" s="117"/>
      <x:c r="X142" s="117"/>
      <x:c r="Y142" s="117"/>
      <x:c r="Z142" s="117"/>
    </x:row>
    <x:row r="143">
      <x:c r="A143" s="117"/>
      <x:c r="B143" s="117"/>
      <x:c r="C143" s="117"/>
      <x:c r="D143" s="117"/>
      <x:c r="E143" s="117"/>
      <x:c r="F143" s="117"/>
      <x:c r="G143" s="117"/>
      <x:c r="H143" s="117"/>
      <x:c r="I143" s="117"/>
      <x:c r="J143" s="117"/>
      <x:c r="K143" s="117"/>
      <x:c r="L143" s="117"/>
      <x:c r="M143" s="117"/>
      <x:c r="N143" s="117"/>
      <x:c r="O143" s="117"/>
      <x:c r="P143" s="117"/>
      <x:c r="Q143" s="117"/>
      <x:c r="R143" s="117"/>
      <x:c r="S143" s="117"/>
      <x:c r="T143" s="117"/>
      <x:c r="U143" s="117"/>
      <x:c r="V143" s="117"/>
      <x:c r="W143" s="117"/>
      <x:c r="X143" s="117"/>
      <x:c r="Y143" s="117"/>
      <x:c r="Z143" s="117"/>
    </x:row>
    <x:row r="144">
      <x:c r="A144" s="117"/>
      <x:c r="B144" s="117"/>
      <x:c r="C144" s="117"/>
      <x:c r="D144" s="117"/>
      <x:c r="E144" s="117"/>
      <x:c r="F144" s="117"/>
      <x:c r="G144" s="117"/>
      <x:c r="H144" s="117"/>
      <x:c r="I144" s="117"/>
      <x:c r="J144" s="117"/>
      <x:c r="K144" s="117"/>
      <x:c r="L144" s="117"/>
      <x:c r="M144" s="117"/>
      <x:c r="N144" s="117"/>
      <x:c r="O144" s="117"/>
      <x:c r="P144" s="117"/>
      <x:c r="Q144" s="117"/>
      <x:c r="R144" s="117"/>
      <x:c r="S144" s="117"/>
      <x:c r="T144" s="117"/>
      <x:c r="U144" s="117"/>
      <x:c r="V144" s="117"/>
      <x:c r="W144" s="117"/>
      <x:c r="X144" s="117"/>
      <x:c r="Y144" s="117"/>
      <x:c r="Z144" s="117"/>
    </x:row>
    <x:row r="145">
      <x:c r="A145" s="117"/>
      <x:c r="B145" s="117"/>
      <x:c r="C145" s="117"/>
      <x:c r="D145" s="117"/>
      <x:c r="E145" s="117"/>
      <x:c r="F145" s="117"/>
      <x:c r="G145" s="117"/>
      <x:c r="H145" s="117"/>
      <x:c r="I145" s="117"/>
      <x:c r="J145" s="117"/>
      <x:c r="K145" s="117"/>
      <x:c r="L145" s="117"/>
      <x:c r="M145" s="117"/>
      <x:c r="N145" s="117"/>
      <x:c r="O145" s="117"/>
      <x:c r="P145" s="117"/>
      <x:c r="Q145" s="117"/>
      <x:c r="R145" s="117"/>
      <x:c r="S145" s="117"/>
      <x:c r="T145" s="117"/>
      <x:c r="U145" s="117"/>
      <x:c r="V145" s="117"/>
      <x:c r="W145" s="117"/>
      <x:c r="X145" s="117"/>
      <x:c r="Y145" s="117"/>
      <x:c r="Z145" s="117"/>
    </x:row>
    <x:row r="146">
      <x:c r="A146" s="117"/>
      <x:c r="B146" s="117"/>
      <x:c r="C146" s="117"/>
      <x:c r="D146" s="117"/>
      <x:c r="E146" s="117"/>
      <x:c r="F146" s="117"/>
      <x:c r="G146" s="117"/>
      <x:c r="H146" s="117"/>
      <x:c r="I146" s="117"/>
      <x:c r="J146" s="117"/>
      <x:c r="K146" s="117"/>
      <x:c r="L146" s="117"/>
      <x:c r="M146" s="117"/>
      <x:c r="N146" s="117"/>
      <x:c r="O146" s="117"/>
      <x:c r="P146" s="117"/>
      <x:c r="Q146" s="117"/>
      <x:c r="R146" s="117"/>
      <x:c r="S146" s="117"/>
      <x:c r="T146" s="117"/>
      <x:c r="U146" s="117"/>
      <x:c r="V146" s="117"/>
      <x:c r="W146" s="117"/>
      <x:c r="X146" s="117"/>
      <x:c r="Y146" s="117"/>
      <x:c r="Z146" s="117"/>
    </x:row>
    <x:row r="147">
      <x:c r="A147" s="117"/>
      <x:c r="B147" s="117"/>
      <x:c r="C147" s="117"/>
      <x:c r="D147" s="117"/>
      <x:c r="E147" s="117"/>
      <x:c r="F147" s="117"/>
      <x:c r="G147" s="117"/>
      <x:c r="H147" s="117"/>
      <x:c r="I147" s="117"/>
      <x:c r="J147" s="117"/>
      <x:c r="K147" s="117"/>
      <x:c r="L147" s="117"/>
      <x:c r="M147" s="117"/>
      <x:c r="N147" s="117"/>
      <x:c r="O147" s="117"/>
      <x:c r="P147" s="117"/>
      <x:c r="Q147" s="117"/>
      <x:c r="R147" s="117"/>
      <x:c r="S147" s="117"/>
      <x:c r="T147" s="117"/>
      <x:c r="U147" s="117"/>
      <x:c r="V147" s="117"/>
      <x:c r="W147" s="117"/>
      <x:c r="X147" s="117"/>
      <x:c r="Y147" s="117"/>
      <x:c r="Z147" s="117"/>
    </x:row>
    <x:row r="148">
      <x:c r="A148" s="117"/>
      <x:c r="B148" s="117"/>
      <x:c r="C148" s="117"/>
      <x:c r="D148" s="117"/>
      <x:c r="E148" s="117"/>
      <x:c r="F148" s="117"/>
      <x:c r="G148" s="117"/>
      <x:c r="H148" s="117"/>
      <x:c r="I148" s="117"/>
      <x:c r="J148" s="117"/>
      <x:c r="K148" s="117"/>
      <x:c r="L148" s="117"/>
      <x:c r="M148" s="117"/>
      <x:c r="N148" s="117"/>
      <x:c r="O148" s="117"/>
      <x:c r="P148" s="117"/>
      <x:c r="Q148" s="117"/>
      <x:c r="R148" s="117"/>
      <x:c r="S148" s="117"/>
      <x:c r="T148" s="117"/>
      <x:c r="U148" s="117"/>
      <x:c r="V148" s="117"/>
      <x:c r="W148" s="117"/>
      <x:c r="X148" s="117"/>
      <x:c r="Y148" s="117"/>
      <x:c r="Z148" s="117"/>
    </x:row>
    <x:row r="149">
      <x:c r="A149" s="117"/>
      <x:c r="B149" s="117"/>
      <x:c r="C149" s="117"/>
      <x:c r="D149" s="117"/>
      <x:c r="E149" s="117"/>
      <x:c r="F149" s="117"/>
      <x:c r="G149" s="117"/>
      <x:c r="H149" s="117"/>
      <x:c r="I149" s="117"/>
      <x:c r="J149" s="117"/>
      <x:c r="K149" s="117"/>
      <x:c r="L149" s="117"/>
      <x:c r="M149" s="117"/>
      <x:c r="N149" s="117"/>
      <x:c r="O149" s="117"/>
      <x:c r="P149" s="117"/>
      <x:c r="Q149" s="117"/>
      <x:c r="R149" s="117"/>
      <x:c r="S149" s="117"/>
      <x:c r="T149" s="117"/>
      <x:c r="U149" s="117"/>
      <x:c r="V149" s="117"/>
      <x:c r="W149" s="117"/>
      <x:c r="X149" s="117"/>
      <x:c r="Y149" s="117"/>
      <x:c r="Z149" s="117"/>
    </x:row>
    <x:row r="150">
      <x:c r="A150" s="117"/>
      <x:c r="B150" s="117"/>
      <x:c r="C150" s="117"/>
      <x:c r="D150" s="117"/>
      <x:c r="E150" s="117"/>
      <x:c r="F150" s="117"/>
      <x:c r="G150" s="117"/>
      <x:c r="H150" s="117"/>
      <x:c r="I150" s="117"/>
      <x:c r="J150" s="117"/>
      <x:c r="K150" s="117"/>
      <x:c r="L150" s="117"/>
      <x:c r="M150" s="117"/>
      <x:c r="N150" s="117"/>
      <x:c r="O150" s="117"/>
      <x:c r="P150" s="117"/>
      <x:c r="Q150" s="117"/>
      <x:c r="R150" s="117"/>
      <x:c r="S150" s="117"/>
      <x:c r="T150" s="117"/>
      <x:c r="U150" s="117"/>
      <x:c r="V150" s="117"/>
      <x:c r="W150" s="117"/>
      <x:c r="X150" s="117"/>
      <x:c r="Y150" s="117"/>
      <x:c r="Z150" s="117"/>
    </x:row>
    <x:row r="151">
      <x:c r="A151" s="117"/>
      <x:c r="B151" s="117"/>
      <x:c r="C151" s="117"/>
      <x:c r="D151" s="117"/>
      <x:c r="E151" s="117"/>
      <x:c r="F151" s="117"/>
      <x:c r="G151" s="117"/>
      <x:c r="H151" s="117"/>
      <x:c r="I151" s="117"/>
      <x:c r="J151" s="117"/>
      <x:c r="K151" s="117"/>
      <x:c r="L151" s="117"/>
      <x:c r="M151" s="117"/>
      <x:c r="N151" s="117"/>
      <x:c r="O151" s="117"/>
      <x:c r="P151" s="117"/>
      <x:c r="Q151" s="117"/>
      <x:c r="R151" s="117"/>
      <x:c r="S151" s="117"/>
      <x:c r="T151" s="117"/>
      <x:c r="U151" s="117"/>
      <x:c r="V151" s="117"/>
      <x:c r="W151" s="117"/>
      <x:c r="X151" s="117"/>
      <x:c r="Y151" s="117"/>
      <x:c r="Z151" s="117"/>
    </x:row>
    <x:row r="152">
      <x:c r="A152" s="117"/>
      <x:c r="B152" s="117"/>
      <x:c r="C152" s="117"/>
      <x:c r="D152" s="117"/>
      <x:c r="E152" s="117"/>
      <x:c r="F152" s="117"/>
      <x:c r="G152" s="117"/>
      <x:c r="H152" s="117"/>
      <x:c r="I152" s="117"/>
      <x:c r="J152" s="117"/>
      <x:c r="K152" s="117"/>
      <x:c r="L152" s="117"/>
      <x:c r="M152" s="117"/>
      <x:c r="N152" s="117"/>
      <x:c r="O152" s="117"/>
      <x:c r="P152" s="117"/>
      <x:c r="Q152" s="117"/>
      <x:c r="R152" s="117"/>
      <x:c r="S152" s="117"/>
      <x:c r="T152" s="117"/>
      <x:c r="U152" s="117"/>
      <x:c r="V152" s="117"/>
      <x:c r="W152" s="117"/>
      <x:c r="X152" s="117"/>
      <x:c r="Y152" s="117"/>
      <x:c r="Z152" s="117"/>
    </x:row>
    <x:row r="153">
      <x:c r="A153" s="117"/>
      <x:c r="B153" s="117"/>
      <x:c r="C153" s="117"/>
      <x:c r="D153" s="117"/>
      <x:c r="E153" s="117"/>
      <x:c r="F153" s="117"/>
      <x:c r="G153" s="117"/>
      <x:c r="H153" s="117"/>
      <x:c r="I153" s="117"/>
      <x:c r="J153" s="117"/>
      <x:c r="K153" s="117"/>
      <x:c r="L153" s="117"/>
      <x:c r="M153" s="117"/>
      <x:c r="N153" s="117"/>
      <x:c r="O153" s="117"/>
      <x:c r="P153" s="117"/>
      <x:c r="Q153" s="117"/>
      <x:c r="R153" s="117"/>
      <x:c r="S153" s="117"/>
      <x:c r="T153" s="117"/>
      <x:c r="U153" s="117"/>
      <x:c r="V153" s="117"/>
      <x:c r="W153" s="117"/>
      <x:c r="X153" s="117"/>
      <x:c r="Y153" s="117"/>
      <x:c r="Z153" s="117"/>
    </x:row>
    <x:row r="154">
      <x:c r="A154" s="117"/>
      <x:c r="B154" s="117"/>
      <x:c r="C154" s="117"/>
      <x:c r="D154" s="117"/>
      <x:c r="E154" s="117"/>
      <x:c r="F154" s="117"/>
      <x:c r="G154" s="117"/>
      <x:c r="H154" s="117"/>
      <x:c r="I154" s="117"/>
      <x:c r="J154" s="117"/>
      <x:c r="K154" s="117"/>
      <x:c r="L154" s="117"/>
      <x:c r="M154" s="117"/>
      <x:c r="N154" s="117"/>
      <x:c r="O154" s="117"/>
      <x:c r="P154" s="117"/>
      <x:c r="Q154" s="117"/>
      <x:c r="R154" s="117"/>
      <x:c r="S154" s="117"/>
      <x:c r="T154" s="117"/>
      <x:c r="U154" s="117"/>
      <x:c r="V154" s="117"/>
      <x:c r="W154" s="117"/>
      <x:c r="X154" s="117"/>
      <x:c r="Y154" s="117"/>
      <x:c r="Z154" s="117"/>
    </x:row>
    <x:row r="155">
      <x:c r="A155" s="117"/>
      <x:c r="B155" s="117"/>
      <x:c r="C155" s="117"/>
      <x:c r="D155" s="117"/>
      <x:c r="E155" s="117"/>
      <x:c r="F155" s="117"/>
      <x:c r="G155" s="117"/>
      <x:c r="H155" s="117"/>
      <x:c r="I155" s="117"/>
      <x:c r="J155" s="117"/>
      <x:c r="K155" s="117"/>
      <x:c r="L155" s="117"/>
      <x:c r="M155" s="117"/>
      <x:c r="N155" s="117"/>
      <x:c r="O155" s="117"/>
      <x:c r="P155" s="117"/>
      <x:c r="Q155" s="117"/>
      <x:c r="R155" s="117"/>
      <x:c r="S155" s="117"/>
      <x:c r="T155" s="117"/>
      <x:c r="U155" s="117"/>
      <x:c r="V155" s="117"/>
      <x:c r="W155" s="117"/>
      <x:c r="X155" s="117"/>
      <x:c r="Y155" s="117"/>
      <x:c r="Z155" s="117"/>
    </x:row>
    <x:row r="156">
      <x:c r="A156" s="117"/>
      <x:c r="B156" s="117"/>
      <x:c r="C156" s="117"/>
      <x:c r="D156" s="117"/>
      <x:c r="E156" s="117"/>
      <x:c r="F156" s="117"/>
      <x:c r="G156" s="117"/>
      <x:c r="H156" s="117"/>
      <x:c r="I156" s="117"/>
      <x:c r="J156" s="117"/>
      <x:c r="K156" s="117"/>
      <x:c r="L156" s="117"/>
      <x:c r="M156" s="117"/>
      <x:c r="N156" s="117"/>
      <x:c r="O156" s="117"/>
      <x:c r="P156" s="117"/>
      <x:c r="Q156" s="117"/>
      <x:c r="R156" s="117"/>
      <x:c r="S156" s="117"/>
      <x:c r="T156" s="117"/>
      <x:c r="U156" s="117"/>
      <x:c r="V156" s="117"/>
      <x:c r="W156" s="117"/>
      <x:c r="X156" s="117"/>
      <x:c r="Y156" s="117"/>
      <x:c r="Z156" s="117"/>
    </x:row>
    <x:row r="157">
      <x:c r="A157" s="117"/>
      <x:c r="B157" s="117"/>
      <x:c r="C157" s="117"/>
      <x:c r="D157" s="117"/>
      <x:c r="E157" s="117"/>
      <x:c r="F157" s="117"/>
      <x:c r="G157" s="117"/>
      <x:c r="H157" s="117"/>
      <x:c r="I157" s="117"/>
      <x:c r="J157" s="117"/>
      <x:c r="K157" s="117"/>
      <x:c r="L157" s="117"/>
      <x:c r="M157" s="117"/>
      <x:c r="N157" s="117"/>
      <x:c r="O157" s="117"/>
      <x:c r="P157" s="117"/>
      <x:c r="Q157" s="117"/>
      <x:c r="R157" s="117"/>
      <x:c r="S157" s="117"/>
      <x:c r="T157" s="117"/>
      <x:c r="U157" s="117"/>
      <x:c r="V157" s="117"/>
      <x:c r="W157" s="117"/>
      <x:c r="X157" s="117"/>
      <x:c r="Y157" s="117"/>
      <x:c r="Z157" s="117"/>
    </x:row>
    <x:row r="158">
      <x:c r="A158" s="117"/>
      <x:c r="B158" s="117"/>
      <x:c r="C158" s="117"/>
      <x:c r="D158" s="117"/>
      <x:c r="E158" s="117"/>
      <x:c r="F158" s="117"/>
      <x:c r="G158" s="117"/>
      <x:c r="H158" s="117"/>
      <x:c r="I158" s="117"/>
      <x:c r="J158" s="117"/>
      <x:c r="K158" s="117"/>
      <x:c r="L158" s="117"/>
      <x:c r="M158" s="117"/>
      <x:c r="N158" s="117"/>
      <x:c r="O158" s="117"/>
      <x:c r="P158" s="117"/>
      <x:c r="Q158" s="117"/>
      <x:c r="R158" s="117"/>
      <x:c r="S158" s="117"/>
      <x:c r="T158" s="117"/>
      <x:c r="U158" s="117"/>
      <x:c r="V158" s="117"/>
      <x:c r="W158" s="117"/>
      <x:c r="X158" s="117"/>
      <x:c r="Y158" s="117"/>
      <x:c r="Z158" s="117"/>
    </x:row>
    <x:row r="159">
      <x:c r="A159" s="117"/>
      <x:c r="B159" s="117"/>
      <x:c r="C159" s="117"/>
      <x:c r="D159" s="117"/>
      <x:c r="E159" s="117"/>
      <x:c r="F159" s="117"/>
      <x:c r="G159" s="117"/>
      <x:c r="H159" s="117"/>
      <x:c r="I159" s="117"/>
      <x:c r="J159" s="117"/>
      <x:c r="K159" s="117"/>
      <x:c r="L159" s="117"/>
      <x:c r="M159" s="117"/>
      <x:c r="N159" s="117"/>
      <x:c r="O159" s="117"/>
      <x:c r="P159" s="117"/>
      <x:c r="Q159" s="117"/>
      <x:c r="R159" s="117"/>
      <x:c r="S159" s="117"/>
      <x:c r="T159" s="117"/>
      <x:c r="U159" s="117"/>
      <x:c r="V159" s="117"/>
      <x:c r="W159" s="117"/>
      <x:c r="X159" s="117"/>
      <x:c r="Y159" s="117"/>
      <x:c r="Z159" s="117"/>
    </x:row>
    <x:row r="160">
      <x:c r="A160" s="117"/>
      <x:c r="B160" s="117"/>
      <x:c r="C160" s="117"/>
      <x:c r="D160" s="117"/>
      <x:c r="E160" s="117"/>
      <x:c r="F160" s="117"/>
      <x:c r="G160" s="117"/>
      <x:c r="H160" s="117"/>
      <x:c r="I160" s="117"/>
      <x:c r="J160" s="117"/>
      <x:c r="K160" s="117"/>
      <x:c r="L160" s="117"/>
      <x:c r="M160" s="117"/>
      <x:c r="N160" s="117"/>
      <x:c r="O160" s="117"/>
      <x:c r="P160" s="117"/>
      <x:c r="Q160" s="117"/>
      <x:c r="R160" s="117"/>
      <x:c r="S160" s="117"/>
      <x:c r="T160" s="117"/>
      <x:c r="U160" s="117"/>
      <x:c r="V160" s="117"/>
      <x:c r="W160" s="117"/>
      <x:c r="X160" s="117"/>
      <x:c r="Y160" s="117"/>
      <x:c r="Z160" s="117"/>
    </x:row>
    <x:row r="161">
      <x:c r="A161" s="117"/>
      <x:c r="B161" s="117"/>
      <x:c r="C161" s="117"/>
      <x:c r="D161" s="117"/>
      <x:c r="E161" s="117"/>
      <x:c r="F161" s="117"/>
      <x:c r="G161" s="117"/>
      <x:c r="H161" s="117"/>
      <x:c r="I161" s="117"/>
      <x:c r="J161" s="117"/>
      <x:c r="K161" s="117"/>
      <x:c r="L161" s="117"/>
      <x:c r="M161" s="117"/>
      <x:c r="N161" s="117"/>
      <x:c r="O161" s="117"/>
      <x:c r="P161" s="117"/>
      <x:c r="Q161" s="117"/>
      <x:c r="R161" s="117"/>
      <x:c r="S161" s="117"/>
      <x:c r="T161" s="117"/>
      <x:c r="U161" s="117"/>
      <x:c r="V161" s="117"/>
      <x:c r="W161" s="117"/>
      <x:c r="X161" s="117"/>
      <x:c r="Y161" s="117"/>
      <x:c r="Z161" s="117"/>
    </x:row>
    <x:row r="162">
      <x:c r="A162" s="117"/>
      <x:c r="B162" s="117"/>
      <x:c r="C162" s="117"/>
      <x:c r="D162" s="117"/>
      <x:c r="E162" s="117"/>
      <x:c r="F162" s="117"/>
      <x:c r="G162" s="117"/>
      <x:c r="H162" s="117"/>
      <x:c r="I162" s="117"/>
      <x:c r="J162" s="117"/>
      <x:c r="K162" s="117"/>
      <x:c r="L162" s="117"/>
      <x:c r="M162" s="117"/>
      <x:c r="N162" s="117"/>
      <x:c r="O162" s="117"/>
      <x:c r="P162" s="117"/>
      <x:c r="Q162" s="117"/>
      <x:c r="R162" s="117"/>
      <x:c r="S162" s="117"/>
      <x:c r="T162" s="117"/>
      <x:c r="U162" s="117"/>
      <x:c r="V162" s="117"/>
      <x:c r="W162" s="117"/>
      <x:c r="X162" s="117"/>
      <x:c r="Y162" s="117"/>
      <x:c r="Z162" s="117"/>
    </x:row>
    <x:row r="163">
      <x:c r="A163" s="117"/>
      <x:c r="B163" s="117"/>
      <x:c r="C163" s="117"/>
      <x:c r="D163" s="117"/>
      <x:c r="E163" s="117"/>
      <x:c r="F163" s="117"/>
      <x:c r="G163" s="117"/>
      <x:c r="H163" s="117"/>
      <x:c r="I163" s="117"/>
      <x:c r="J163" s="117"/>
      <x:c r="K163" s="117"/>
      <x:c r="L163" s="117"/>
      <x:c r="M163" s="117"/>
      <x:c r="N163" s="117"/>
      <x:c r="O163" s="117"/>
      <x:c r="P163" s="117"/>
      <x:c r="Q163" s="117"/>
      <x:c r="R163" s="117"/>
      <x:c r="S163" s="117"/>
      <x:c r="T163" s="117"/>
      <x:c r="U163" s="117"/>
      <x:c r="V163" s="117"/>
      <x:c r="W163" s="117"/>
      <x:c r="X163" s="117"/>
      <x:c r="Y163" s="117"/>
      <x:c r="Z163" s="117"/>
    </x:row>
    <x:row r="164">
      <x:c r="A164" s="117"/>
      <x:c r="B164" s="117"/>
      <x:c r="C164" s="117"/>
      <x:c r="D164" s="117"/>
      <x:c r="E164" s="117"/>
      <x:c r="F164" s="117"/>
      <x:c r="G164" s="117"/>
      <x:c r="H164" s="117"/>
      <x:c r="I164" s="117"/>
      <x:c r="J164" s="117"/>
      <x:c r="K164" s="117"/>
      <x:c r="L164" s="117"/>
      <x:c r="M164" s="117"/>
      <x:c r="N164" s="117"/>
      <x:c r="O164" s="117"/>
      <x:c r="P164" s="117"/>
      <x:c r="Q164" s="117"/>
      <x:c r="R164" s="117"/>
      <x:c r="S164" s="117"/>
      <x:c r="T164" s="117"/>
      <x:c r="U164" s="117"/>
      <x:c r="V164" s="117"/>
      <x:c r="W164" s="117"/>
      <x:c r="X164" s="117"/>
      <x:c r="Y164" s="117"/>
      <x:c r="Z164" s="117"/>
    </x:row>
    <x:row r="165">
      <x:c r="A165" s="117"/>
      <x:c r="B165" s="117"/>
      <x:c r="C165" s="117"/>
      <x:c r="D165" s="117"/>
      <x:c r="E165" s="117"/>
      <x:c r="F165" s="117"/>
      <x:c r="G165" s="117"/>
      <x:c r="H165" s="117"/>
      <x:c r="I165" s="117"/>
      <x:c r="J165" s="117"/>
      <x:c r="K165" s="117"/>
      <x:c r="L165" s="117"/>
      <x:c r="M165" s="117"/>
      <x:c r="N165" s="117"/>
      <x:c r="O165" s="117"/>
      <x:c r="P165" s="117"/>
      <x:c r="Q165" s="117"/>
      <x:c r="R165" s="117"/>
      <x:c r="S165" s="117"/>
      <x:c r="T165" s="117"/>
      <x:c r="U165" s="117"/>
      <x:c r="V165" s="117"/>
      <x:c r="W165" s="117"/>
      <x:c r="X165" s="117"/>
      <x:c r="Y165" s="117"/>
      <x:c r="Z165" s="117"/>
    </x:row>
    <x:row r="166">
      <x:c r="A166" s="117"/>
      <x:c r="B166" s="117"/>
      <x:c r="C166" s="117"/>
      <x:c r="D166" s="117"/>
      <x:c r="E166" s="117"/>
      <x:c r="F166" s="117"/>
      <x:c r="G166" s="117"/>
      <x:c r="H166" s="117"/>
      <x:c r="I166" s="117"/>
      <x:c r="J166" s="117"/>
      <x:c r="K166" s="117"/>
      <x:c r="L166" s="117"/>
      <x:c r="M166" s="117"/>
      <x:c r="N166" s="117"/>
      <x:c r="O166" s="117"/>
      <x:c r="P166" s="117"/>
      <x:c r="Q166" s="117"/>
      <x:c r="R166" s="117"/>
      <x:c r="S166" s="117"/>
      <x:c r="T166" s="117"/>
      <x:c r="U166" s="117"/>
      <x:c r="V166" s="117"/>
      <x:c r="W166" s="117"/>
      <x:c r="X166" s="117"/>
      <x:c r="Y166" s="117"/>
      <x:c r="Z166" s="117"/>
    </x:row>
    <x:row r="167">
      <x:c r="A167" s="117"/>
      <x:c r="B167" s="117"/>
      <x:c r="C167" s="117"/>
      <x:c r="D167" s="117"/>
      <x:c r="E167" s="117"/>
      <x:c r="F167" s="117"/>
      <x:c r="G167" s="117"/>
      <x:c r="H167" s="117"/>
      <x:c r="I167" s="117"/>
      <x:c r="J167" s="117"/>
      <x:c r="K167" s="117"/>
      <x:c r="L167" s="117"/>
      <x:c r="M167" s="117"/>
      <x:c r="N167" s="117"/>
      <x:c r="O167" s="117"/>
      <x:c r="P167" s="117"/>
      <x:c r="Q167" s="117"/>
      <x:c r="R167" s="117"/>
      <x:c r="S167" s="117"/>
      <x:c r="T167" s="117"/>
      <x:c r="U167" s="117"/>
      <x:c r="V167" s="117"/>
      <x:c r="W167" s="117"/>
      <x:c r="X167" s="117"/>
      <x:c r="Y167" s="117"/>
      <x:c r="Z167" s="117"/>
    </x:row>
    <x:row r="168">
      <x:c r="A168" s="117"/>
      <x:c r="B168" s="117"/>
      <x:c r="C168" s="117"/>
      <x:c r="D168" s="117"/>
      <x:c r="E168" s="117"/>
      <x:c r="F168" s="117"/>
      <x:c r="G168" s="117"/>
      <x:c r="H168" s="117"/>
      <x:c r="I168" s="117"/>
      <x:c r="J168" s="117"/>
      <x:c r="K168" s="117"/>
      <x:c r="L168" s="117"/>
      <x:c r="M168" s="117"/>
      <x:c r="N168" s="117"/>
      <x:c r="O168" s="117"/>
      <x:c r="P168" s="117"/>
      <x:c r="Q168" s="117"/>
      <x:c r="R168" s="117"/>
      <x:c r="S168" s="117"/>
      <x:c r="T168" s="117"/>
      <x:c r="U168" s="117"/>
      <x:c r="V168" s="117"/>
      <x:c r="W168" s="117"/>
      <x:c r="X168" s="117"/>
      <x:c r="Y168" s="117"/>
      <x:c r="Z168" s="117"/>
    </x:row>
    <x:row r="169">
      <x:c r="A169" s="117"/>
      <x:c r="B169" s="117"/>
      <x:c r="C169" s="117"/>
      <x:c r="D169" s="117"/>
      <x:c r="E169" s="117"/>
      <x:c r="F169" s="117"/>
      <x:c r="G169" s="117"/>
      <x:c r="H169" s="117"/>
      <x:c r="I169" s="117"/>
      <x:c r="J169" s="117"/>
      <x:c r="K169" s="117"/>
      <x:c r="L169" s="117"/>
      <x:c r="M169" s="117"/>
      <x:c r="N169" s="117"/>
      <x:c r="O169" s="117"/>
      <x:c r="P169" s="117"/>
      <x:c r="Q169" s="117"/>
      <x:c r="R169" s="117"/>
      <x:c r="S169" s="117"/>
      <x:c r="T169" s="117"/>
      <x:c r="U169" s="117"/>
      <x:c r="V169" s="117"/>
      <x:c r="W169" s="117"/>
      <x:c r="X169" s="117"/>
      <x:c r="Y169" s="117"/>
      <x:c r="Z169" s="117"/>
    </x:row>
    <x:row r="170">
      <x:c r="A170" s="117"/>
      <x:c r="B170" s="117"/>
      <x:c r="C170" s="117"/>
      <x:c r="D170" s="117"/>
      <x:c r="E170" s="117"/>
      <x:c r="F170" s="117"/>
      <x:c r="G170" s="117"/>
      <x:c r="H170" s="117"/>
      <x:c r="I170" s="117"/>
      <x:c r="J170" s="117"/>
      <x:c r="K170" s="117"/>
      <x:c r="L170" s="117"/>
      <x:c r="M170" s="117"/>
      <x:c r="N170" s="117"/>
      <x:c r="O170" s="117"/>
      <x:c r="P170" s="117"/>
      <x:c r="Q170" s="117"/>
      <x:c r="R170" s="117"/>
      <x:c r="S170" s="117"/>
      <x:c r="T170" s="117"/>
      <x:c r="U170" s="117"/>
      <x:c r="V170" s="117"/>
      <x:c r="W170" s="117"/>
      <x:c r="X170" s="117"/>
      <x:c r="Y170" s="117"/>
      <x:c r="Z170" s="117"/>
    </x:row>
    <x:row r="171">
      <x:c r="A171" s="117"/>
      <x:c r="B171" s="117"/>
      <x:c r="C171" s="117"/>
      <x:c r="D171" s="117"/>
      <x:c r="E171" s="117"/>
      <x:c r="F171" s="117"/>
      <x:c r="G171" s="117"/>
      <x:c r="H171" s="117"/>
      <x:c r="I171" s="117"/>
      <x:c r="J171" s="117"/>
      <x:c r="K171" s="117"/>
      <x:c r="L171" s="117"/>
      <x:c r="M171" s="117"/>
      <x:c r="N171" s="117"/>
      <x:c r="O171" s="117"/>
      <x:c r="P171" s="117"/>
      <x:c r="Q171" s="117"/>
      <x:c r="R171" s="117"/>
      <x:c r="S171" s="117"/>
      <x:c r="T171" s="117"/>
      <x:c r="U171" s="117"/>
      <x:c r="V171" s="117"/>
      <x:c r="W171" s="117"/>
      <x:c r="X171" s="117"/>
      <x:c r="Y171" s="117"/>
      <x:c r="Z171" s="117"/>
    </x:row>
    <x:row r="172">
      <x:c r="A172" s="117"/>
      <x:c r="B172" s="117"/>
      <x:c r="C172" s="117"/>
      <x:c r="D172" s="117"/>
      <x:c r="E172" s="117"/>
      <x:c r="F172" s="117"/>
      <x:c r="G172" s="117"/>
      <x:c r="H172" s="117"/>
      <x:c r="I172" s="117"/>
      <x:c r="J172" s="117"/>
      <x:c r="K172" s="117"/>
      <x:c r="L172" s="117"/>
      <x:c r="M172" s="117"/>
      <x:c r="N172" s="117"/>
      <x:c r="O172" s="117"/>
      <x:c r="P172" s="117"/>
      <x:c r="Q172" s="117"/>
      <x:c r="R172" s="117"/>
      <x:c r="S172" s="117"/>
      <x:c r="T172" s="117"/>
      <x:c r="U172" s="117"/>
      <x:c r="V172" s="117"/>
      <x:c r="W172" s="117"/>
      <x:c r="X172" s="117"/>
      <x:c r="Y172" s="117"/>
      <x:c r="Z172" s="117"/>
    </x:row>
    <x:row r="173">
      <x:c r="A173" s="117"/>
      <x:c r="B173" s="117"/>
      <x:c r="C173" s="117"/>
      <x:c r="D173" s="117"/>
      <x:c r="E173" s="117"/>
      <x:c r="F173" s="117"/>
      <x:c r="G173" s="117"/>
      <x:c r="H173" s="117"/>
      <x:c r="I173" s="117"/>
      <x:c r="J173" s="117"/>
      <x:c r="K173" s="117"/>
      <x:c r="L173" s="117"/>
      <x:c r="M173" s="117"/>
      <x:c r="N173" s="117"/>
      <x:c r="O173" s="117"/>
      <x:c r="P173" s="117"/>
      <x:c r="Q173" s="117"/>
      <x:c r="R173" s="117"/>
      <x:c r="S173" s="117"/>
      <x:c r="T173" s="117"/>
      <x:c r="U173" s="117"/>
      <x:c r="V173" s="117"/>
      <x:c r="W173" s="117"/>
      <x:c r="X173" s="117"/>
      <x:c r="Y173" s="117"/>
      <x:c r="Z173" s="117"/>
    </x:row>
    <x:row r="174">
      <x:c r="A174" s="117"/>
      <x:c r="B174" s="117"/>
      <x:c r="C174" s="117"/>
      <x:c r="D174" s="117"/>
      <x:c r="E174" s="117"/>
      <x:c r="F174" s="117"/>
      <x:c r="G174" s="117"/>
      <x:c r="H174" s="117"/>
      <x:c r="I174" s="117"/>
      <x:c r="J174" s="117"/>
      <x:c r="K174" s="117"/>
      <x:c r="L174" s="117"/>
      <x:c r="M174" s="117"/>
      <x:c r="N174" s="117"/>
      <x:c r="O174" s="117"/>
      <x:c r="P174" s="117"/>
      <x:c r="Q174" s="117"/>
      <x:c r="R174" s="117"/>
      <x:c r="S174" s="117"/>
      <x:c r="T174" s="117"/>
      <x:c r="U174" s="117"/>
      <x:c r="V174" s="117"/>
      <x:c r="W174" s="117"/>
      <x:c r="X174" s="117"/>
      <x:c r="Y174" s="117"/>
      <x:c r="Z174" s="117"/>
    </x:row>
    <x:row r="175">
      <x:c r="A175" s="117"/>
      <x:c r="B175" s="117"/>
      <x:c r="C175" s="117"/>
      <x:c r="D175" s="117"/>
      <x:c r="E175" s="117"/>
      <x:c r="F175" s="117"/>
      <x:c r="G175" s="117"/>
      <x:c r="H175" s="117"/>
      <x:c r="I175" s="117"/>
      <x:c r="J175" s="117"/>
      <x:c r="K175" s="117"/>
      <x:c r="L175" s="117"/>
      <x:c r="M175" s="117"/>
      <x:c r="N175" s="117"/>
      <x:c r="O175" s="117"/>
      <x:c r="P175" s="117"/>
      <x:c r="Q175" s="117"/>
      <x:c r="R175" s="117"/>
      <x:c r="S175" s="117"/>
      <x:c r="T175" s="117"/>
      <x:c r="U175" s="117"/>
      <x:c r="V175" s="117"/>
      <x:c r="W175" s="117"/>
      <x:c r="X175" s="117"/>
      <x:c r="Y175" s="117"/>
      <x:c r="Z175" s="117"/>
    </x:row>
    <x:row r="176">
      <x:c r="A176" s="117"/>
      <x:c r="B176" s="117"/>
      <x:c r="C176" s="117"/>
      <x:c r="D176" s="117"/>
      <x:c r="E176" s="117"/>
      <x:c r="F176" s="117"/>
      <x:c r="G176" s="117"/>
      <x:c r="H176" s="117"/>
      <x:c r="I176" s="117"/>
      <x:c r="J176" s="117"/>
      <x:c r="K176" s="117"/>
      <x:c r="L176" s="117"/>
      <x:c r="M176" s="117"/>
      <x:c r="N176" s="117"/>
      <x:c r="O176" s="117"/>
      <x:c r="P176" s="117"/>
      <x:c r="Q176" s="117"/>
      <x:c r="R176" s="117"/>
      <x:c r="S176" s="117"/>
      <x:c r="T176" s="117"/>
      <x:c r="U176" s="117"/>
      <x:c r="V176" s="117"/>
      <x:c r="W176" s="117"/>
      <x:c r="X176" s="117"/>
      <x:c r="Y176" s="117"/>
      <x:c r="Z176" s="117"/>
    </x:row>
    <x:row r="177">
      <x:c r="A177" s="117"/>
      <x:c r="B177" s="117"/>
      <x:c r="C177" s="117"/>
      <x:c r="D177" s="117"/>
      <x:c r="E177" s="117"/>
      <x:c r="F177" s="117"/>
      <x:c r="G177" s="117"/>
      <x:c r="H177" s="117"/>
      <x:c r="I177" s="117"/>
      <x:c r="J177" s="117"/>
      <x:c r="K177" s="117"/>
      <x:c r="L177" s="117"/>
      <x:c r="M177" s="117"/>
      <x:c r="N177" s="117"/>
      <x:c r="O177" s="117"/>
      <x:c r="P177" s="117"/>
      <x:c r="Q177" s="117"/>
      <x:c r="R177" s="117"/>
      <x:c r="S177" s="117"/>
      <x:c r="T177" s="117"/>
      <x:c r="U177" s="117"/>
      <x:c r="V177" s="117"/>
      <x:c r="W177" s="117"/>
      <x:c r="X177" s="117"/>
      <x:c r="Y177" s="117"/>
      <x:c r="Z177" s="117"/>
    </x:row>
    <x:row r="178">
      <x:c r="A178" s="117"/>
      <x:c r="B178" s="117"/>
      <x:c r="C178" s="117"/>
      <x:c r="D178" s="117"/>
      <x:c r="E178" s="117"/>
      <x:c r="F178" s="117"/>
      <x:c r="G178" s="117"/>
      <x:c r="H178" s="117"/>
      <x:c r="I178" s="117"/>
      <x:c r="J178" s="117"/>
      <x:c r="K178" s="117"/>
      <x:c r="L178" s="117"/>
      <x:c r="M178" s="117"/>
      <x:c r="N178" s="117"/>
      <x:c r="O178" s="117"/>
      <x:c r="P178" s="117"/>
      <x:c r="Q178" s="117"/>
      <x:c r="R178" s="117"/>
      <x:c r="S178" s="117"/>
      <x:c r="T178" s="117"/>
      <x:c r="U178" s="117"/>
      <x:c r="V178" s="117"/>
      <x:c r="W178" s="117"/>
      <x:c r="X178" s="117"/>
      <x:c r="Y178" s="117"/>
      <x:c r="Z178" s="117"/>
    </x:row>
    <x:row r="179">
      <x:c r="A179" s="117"/>
      <x:c r="B179" s="117"/>
      <x:c r="C179" s="117"/>
      <x:c r="D179" s="117"/>
      <x:c r="E179" s="117"/>
      <x:c r="F179" s="117"/>
      <x:c r="G179" s="117"/>
      <x:c r="H179" s="117"/>
      <x:c r="I179" s="117"/>
      <x:c r="J179" s="117"/>
      <x:c r="K179" s="117"/>
      <x:c r="L179" s="117"/>
      <x:c r="M179" s="117"/>
      <x:c r="N179" s="117"/>
      <x:c r="O179" s="117"/>
      <x:c r="P179" s="117"/>
      <x:c r="Q179" s="117"/>
      <x:c r="R179" s="117"/>
      <x:c r="S179" s="117"/>
      <x:c r="T179" s="117"/>
      <x:c r="U179" s="117"/>
      <x:c r="V179" s="117"/>
      <x:c r="W179" s="117"/>
      <x:c r="X179" s="117"/>
      <x:c r="Y179" s="117"/>
      <x:c r="Z179" s="117"/>
    </x:row>
    <x:row r="180">
      <x:c r="A180" s="117"/>
      <x:c r="B180" s="117"/>
      <x:c r="C180" s="117"/>
      <x:c r="D180" s="117"/>
      <x:c r="E180" s="117"/>
      <x:c r="F180" s="117"/>
      <x:c r="G180" s="117"/>
      <x:c r="H180" s="117"/>
      <x:c r="I180" s="117"/>
      <x:c r="J180" s="117"/>
      <x:c r="K180" s="117"/>
      <x:c r="L180" s="117"/>
      <x:c r="M180" s="117"/>
      <x:c r="N180" s="117"/>
      <x:c r="O180" s="117"/>
      <x:c r="P180" s="117"/>
      <x:c r="Q180" s="117"/>
      <x:c r="R180" s="117"/>
      <x:c r="S180" s="117"/>
      <x:c r="T180" s="117"/>
      <x:c r="U180" s="117"/>
      <x:c r="V180" s="117"/>
      <x:c r="W180" s="117"/>
      <x:c r="X180" s="117"/>
      <x:c r="Y180" s="117"/>
      <x:c r="Z180" s="117"/>
    </x:row>
    <x:row r="181">
      <x:c r="A181" s="117"/>
      <x:c r="B181" s="117"/>
      <x:c r="C181" s="117"/>
      <x:c r="D181" s="117"/>
      <x:c r="E181" s="117"/>
      <x:c r="F181" s="117"/>
      <x:c r="G181" s="117"/>
      <x:c r="H181" s="117"/>
      <x:c r="I181" s="117"/>
      <x:c r="J181" s="117"/>
      <x:c r="K181" s="117"/>
      <x:c r="L181" s="117"/>
      <x:c r="M181" s="117"/>
      <x:c r="N181" s="117"/>
      <x:c r="O181" s="117"/>
      <x:c r="P181" s="117"/>
      <x:c r="Q181" s="117"/>
      <x:c r="R181" s="117"/>
      <x:c r="S181" s="117"/>
      <x:c r="T181" s="117"/>
      <x:c r="U181" s="117"/>
      <x:c r="V181" s="117"/>
      <x:c r="W181" s="117"/>
      <x:c r="X181" s="117"/>
      <x:c r="Y181" s="117"/>
      <x:c r="Z181" s="117"/>
    </x:row>
    <x:row r="182">
      <x:c r="A182" s="117"/>
      <x:c r="B182" s="117"/>
      <x:c r="C182" s="117"/>
      <x:c r="D182" s="117"/>
      <x:c r="E182" s="117"/>
      <x:c r="F182" s="117"/>
      <x:c r="G182" s="117"/>
      <x:c r="H182" s="117"/>
      <x:c r="I182" s="117"/>
      <x:c r="J182" s="117"/>
      <x:c r="K182" s="117"/>
      <x:c r="L182" s="117"/>
      <x:c r="M182" s="117"/>
      <x:c r="N182" s="117"/>
      <x:c r="O182" s="117"/>
      <x:c r="P182" s="117"/>
      <x:c r="Q182" s="117"/>
      <x:c r="R182" s="117"/>
      <x:c r="S182" s="117"/>
      <x:c r="T182" s="117"/>
      <x:c r="U182" s="117"/>
      <x:c r="V182" s="117"/>
      <x:c r="W182" s="117"/>
      <x:c r="X182" s="117"/>
      <x:c r="Y182" s="117"/>
      <x:c r="Z182" s="117"/>
    </x:row>
    <x:row r="183">
      <x:c r="A183" s="117"/>
      <x:c r="B183" s="117"/>
      <x:c r="C183" s="117"/>
      <x:c r="D183" s="117"/>
      <x:c r="E183" s="117"/>
      <x:c r="F183" s="117"/>
      <x:c r="G183" s="117"/>
      <x:c r="H183" s="117"/>
      <x:c r="I183" s="117"/>
      <x:c r="J183" s="117"/>
      <x:c r="K183" s="117"/>
      <x:c r="L183" s="117"/>
      <x:c r="M183" s="117"/>
      <x:c r="N183" s="117"/>
      <x:c r="O183" s="117"/>
      <x:c r="P183" s="117"/>
      <x:c r="Q183" s="117"/>
      <x:c r="R183" s="117"/>
      <x:c r="S183" s="117"/>
      <x:c r="T183" s="117"/>
      <x:c r="U183" s="117"/>
      <x:c r="V183" s="117"/>
      <x:c r="W183" s="117"/>
      <x:c r="X183" s="117"/>
      <x:c r="Y183" s="117"/>
      <x:c r="Z183" s="117"/>
    </x:row>
    <x:row r="184">
      <x:c r="A184" s="117"/>
      <x:c r="B184" s="117"/>
      <x:c r="C184" s="117"/>
      <x:c r="D184" s="117"/>
      <x:c r="E184" s="117"/>
      <x:c r="F184" s="117"/>
      <x:c r="G184" s="117"/>
      <x:c r="H184" s="117"/>
      <x:c r="I184" s="117"/>
      <x:c r="J184" s="117"/>
      <x:c r="K184" s="117"/>
      <x:c r="L184" s="117"/>
      <x:c r="M184" s="117"/>
      <x:c r="N184" s="117"/>
      <x:c r="O184" s="117"/>
      <x:c r="P184" s="117"/>
      <x:c r="Q184" s="117"/>
      <x:c r="R184" s="117"/>
      <x:c r="S184" s="117"/>
      <x:c r="T184" s="117"/>
      <x:c r="U184" s="117"/>
      <x:c r="V184" s="117"/>
      <x:c r="W184" s="117"/>
      <x:c r="X184" s="117"/>
      <x:c r="Y184" s="117"/>
      <x:c r="Z184" s="117"/>
    </x:row>
    <x:row r="185">
      <x:c r="A185" s="117"/>
      <x:c r="B185" s="117"/>
      <x:c r="C185" s="117"/>
      <x:c r="D185" s="117"/>
      <x:c r="E185" s="117"/>
      <x:c r="F185" s="117"/>
      <x:c r="G185" s="117"/>
      <x:c r="H185" s="117"/>
      <x:c r="I185" s="117"/>
      <x:c r="J185" s="117"/>
      <x:c r="K185" s="117"/>
      <x:c r="L185" s="117"/>
      <x:c r="M185" s="117"/>
      <x:c r="N185" s="117"/>
      <x:c r="O185" s="117"/>
      <x:c r="P185" s="117"/>
      <x:c r="Q185" s="117"/>
      <x:c r="R185" s="117"/>
      <x:c r="S185" s="117"/>
      <x:c r="T185" s="117"/>
      <x:c r="U185" s="117"/>
      <x:c r="V185" s="117"/>
      <x:c r="W185" s="117"/>
      <x:c r="X185" s="117"/>
      <x:c r="Y185" s="117"/>
      <x:c r="Z185" s="117"/>
    </x:row>
    <x:row r="186">
      <x:c r="A186" s="117"/>
      <x:c r="B186" s="117"/>
      <x:c r="C186" s="117"/>
      <x:c r="D186" s="117"/>
      <x:c r="E186" s="117"/>
      <x:c r="F186" s="117"/>
      <x:c r="G186" s="117"/>
      <x:c r="H186" s="117"/>
      <x:c r="I186" s="117"/>
      <x:c r="J186" s="117"/>
      <x:c r="K186" s="117"/>
      <x:c r="L186" s="117"/>
      <x:c r="M186" s="117"/>
      <x:c r="N186" s="117"/>
      <x:c r="O186" s="117"/>
      <x:c r="P186" s="117"/>
      <x:c r="Q186" s="117"/>
      <x:c r="R186" s="117"/>
      <x:c r="S186" s="117"/>
      <x:c r="T186" s="117"/>
      <x:c r="U186" s="117"/>
      <x:c r="V186" s="117"/>
      <x:c r="W186" s="117"/>
      <x:c r="X186" s="117"/>
      <x:c r="Y186" s="117"/>
      <x:c r="Z186" s="117"/>
    </x:row>
    <x:row r="187">
      <x:c r="A187" s="117"/>
      <x:c r="B187" s="117"/>
      <x:c r="C187" s="117"/>
      <x:c r="D187" s="117"/>
      <x:c r="E187" s="117"/>
      <x:c r="F187" s="117"/>
      <x:c r="G187" s="117"/>
      <x:c r="H187" s="117"/>
      <x:c r="I187" s="117"/>
      <x:c r="J187" s="117"/>
      <x:c r="K187" s="117"/>
      <x:c r="L187" s="117"/>
      <x:c r="M187" s="117"/>
      <x:c r="N187" s="117"/>
      <x:c r="O187" s="117"/>
      <x:c r="P187" s="117"/>
      <x:c r="Q187" s="117"/>
      <x:c r="R187" s="117"/>
      <x:c r="S187" s="117"/>
      <x:c r="T187" s="117"/>
      <x:c r="U187" s="117"/>
      <x:c r="V187" s="117"/>
      <x:c r="W187" s="117"/>
      <x:c r="X187" s="117"/>
      <x:c r="Y187" s="117"/>
      <x:c r="Z187" s="117"/>
    </x:row>
    <x:row r="188">
      <x:c r="A188" s="117"/>
      <x:c r="B188" s="117"/>
      <x:c r="C188" s="117"/>
      <x:c r="D188" s="117"/>
      <x:c r="E188" s="117"/>
      <x:c r="F188" s="117"/>
      <x:c r="G188" s="117"/>
      <x:c r="H188" s="117"/>
      <x:c r="I188" s="117"/>
      <x:c r="J188" s="117"/>
      <x:c r="K188" s="117"/>
      <x:c r="L188" s="117"/>
      <x:c r="M188" s="117"/>
      <x:c r="N188" s="117"/>
      <x:c r="O188" s="117"/>
      <x:c r="P188" s="117"/>
      <x:c r="Q188" s="117"/>
      <x:c r="R188" s="117"/>
      <x:c r="S188" s="117"/>
      <x:c r="T188" s="117"/>
      <x:c r="U188" s="117"/>
      <x:c r="V188" s="117"/>
      <x:c r="W188" s="117"/>
      <x:c r="X188" s="117"/>
      <x:c r="Y188" s="117"/>
      <x:c r="Z188" s="117"/>
    </x:row>
    <x:row r="189">
      <x:c r="A189" s="117"/>
      <x:c r="B189" s="117"/>
      <x:c r="C189" s="117"/>
      <x:c r="D189" s="117"/>
      <x:c r="E189" s="117"/>
      <x:c r="F189" s="117"/>
      <x:c r="G189" s="117"/>
      <x:c r="H189" s="117"/>
      <x:c r="I189" s="117"/>
      <x:c r="J189" s="117"/>
      <x:c r="K189" s="117"/>
      <x:c r="L189" s="117"/>
      <x:c r="M189" s="117"/>
      <x:c r="N189" s="117"/>
      <x:c r="O189" s="117"/>
      <x:c r="P189" s="117"/>
      <x:c r="Q189" s="117"/>
      <x:c r="R189" s="117"/>
      <x:c r="S189" s="117"/>
      <x:c r="T189" s="117"/>
      <x:c r="U189" s="117"/>
      <x:c r="V189" s="117"/>
      <x:c r="W189" s="117"/>
      <x:c r="X189" s="117"/>
      <x:c r="Y189" s="117"/>
      <x:c r="Z189" s="117"/>
    </x:row>
    <x:row r="190">
      <x:c r="A190" s="117"/>
      <x:c r="B190" s="117"/>
      <x:c r="C190" s="117"/>
      <x:c r="D190" s="117"/>
      <x:c r="E190" s="117"/>
      <x:c r="F190" s="117"/>
      <x:c r="G190" s="117"/>
      <x:c r="H190" s="117"/>
      <x:c r="I190" s="117"/>
      <x:c r="J190" s="117"/>
      <x:c r="K190" s="117"/>
      <x:c r="L190" s="117"/>
      <x:c r="M190" s="117"/>
      <x:c r="N190" s="117"/>
      <x:c r="O190" s="117"/>
      <x:c r="P190" s="117"/>
      <x:c r="Q190" s="117"/>
      <x:c r="R190" s="117"/>
      <x:c r="S190" s="117"/>
      <x:c r="T190" s="117"/>
      <x:c r="U190" s="117"/>
      <x:c r="V190" s="117"/>
      <x:c r="W190" s="117"/>
      <x:c r="X190" s="117"/>
      <x:c r="Y190" s="117"/>
      <x:c r="Z190" s="117"/>
    </x:row>
    <x:row r="191">
      <x:c r="A191" s="117"/>
      <x:c r="B191" s="117"/>
      <x:c r="C191" s="117"/>
      <x:c r="D191" s="117"/>
      <x:c r="E191" s="117"/>
      <x:c r="F191" s="117"/>
      <x:c r="G191" s="117"/>
      <x:c r="H191" s="117"/>
      <x:c r="I191" s="117"/>
      <x:c r="J191" s="117"/>
      <x:c r="K191" s="117"/>
      <x:c r="L191" s="117"/>
      <x:c r="M191" s="117"/>
      <x:c r="N191" s="117"/>
      <x:c r="O191" s="117"/>
      <x:c r="P191" s="117"/>
      <x:c r="Q191" s="117"/>
      <x:c r="R191" s="117"/>
      <x:c r="S191" s="117"/>
      <x:c r="T191" s="117"/>
      <x:c r="U191" s="117"/>
      <x:c r="V191" s="117"/>
      <x:c r="W191" s="117"/>
      <x:c r="X191" s="117"/>
      <x:c r="Y191" s="117"/>
      <x:c r="Z191" s="117"/>
    </x:row>
    <x:row r="192">
      <x:c r="A192" s="117"/>
      <x:c r="B192" s="117"/>
      <x:c r="C192" s="117"/>
      <x:c r="D192" s="117"/>
      <x:c r="E192" s="117"/>
      <x:c r="F192" s="117"/>
      <x:c r="G192" s="117"/>
      <x:c r="H192" s="117"/>
      <x:c r="I192" s="117"/>
      <x:c r="J192" s="117"/>
      <x:c r="K192" s="117"/>
      <x:c r="L192" s="117"/>
      <x:c r="M192" s="117"/>
      <x:c r="N192" s="117"/>
      <x:c r="O192" s="117"/>
      <x:c r="P192" s="117"/>
      <x:c r="Q192" s="117"/>
      <x:c r="R192" s="117"/>
      <x:c r="S192" s="117"/>
      <x:c r="T192" s="117"/>
      <x:c r="U192" s="117"/>
      <x:c r="V192" s="117"/>
      <x:c r="W192" s="117"/>
      <x:c r="X192" s="117"/>
      <x:c r="Y192" s="117"/>
      <x:c r="Z192" s="117"/>
    </x:row>
    <x:row r="193">
      <x:c r="A193" s="117"/>
      <x:c r="B193" s="117"/>
      <x:c r="C193" s="117"/>
      <x:c r="D193" s="117"/>
      <x:c r="E193" s="117"/>
      <x:c r="F193" s="117"/>
      <x:c r="G193" s="117"/>
      <x:c r="H193" s="117"/>
      <x:c r="I193" s="117"/>
      <x:c r="J193" s="117"/>
      <x:c r="K193" s="117"/>
      <x:c r="L193" s="117"/>
      <x:c r="M193" s="117"/>
      <x:c r="N193" s="117"/>
      <x:c r="O193" s="117"/>
      <x:c r="P193" s="117"/>
      <x:c r="Q193" s="117"/>
      <x:c r="R193" s="117"/>
      <x:c r="S193" s="117"/>
      <x:c r="T193" s="117"/>
      <x:c r="U193" s="117"/>
      <x:c r="V193" s="117"/>
      <x:c r="W193" s="117"/>
      <x:c r="X193" s="117"/>
      <x:c r="Y193" s="117"/>
      <x:c r="Z193" s="117"/>
    </x:row>
    <x:row r="194">
      <x:c r="A194" s="117"/>
      <x:c r="B194" s="117"/>
      <x:c r="C194" s="117"/>
      <x:c r="D194" s="117"/>
      <x:c r="E194" s="117"/>
      <x:c r="F194" s="117"/>
      <x:c r="G194" s="117"/>
      <x:c r="H194" s="117"/>
      <x:c r="I194" s="117"/>
      <x:c r="J194" s="117"/>
      <x:c r="K194" s="117"/>
      <x:c r="L194" s="117"/>
      <x:c r="M194" s="117"/>
      <x:c r="N194" s="117"/>
      <x:c r="O194" s="117"/>
      <x:c r="P194" s="117"/>
      <x:c r="Q194" s="117"/>
      <x:c r="R194" s="117"/>
      <x:c r="S194" s="117"/>
      <x:c r="T194" s="117"/>
      <x:c r="U194" s="117"/>
      <x:c r="V194" s="117"/>
      <x:c r="W194" s="117"/>
      <x:c r="X194" s="117"/>
      <x:c r="Y194" s="117"/>
      <x:c r="Z194" s="117"/>
    </x:row>
    <x:row r="195">
      <x:c r="A195" s="117"/>
      <x:c r="B195" s="117"/>
      <x:c r="C195" s="117"/>
      <x:c r="D195" s="117"/>
      <x:c r="E195" s="117"/>
      <x:c r="F195" s="117"/>
      <x:c r="G195" s="117"/>
      <x:c r="H195" s="117"/>
      <x:c r="I195" s="117"/>
      <x:c r="J195" s="117"/>
      <x:c r="K195" s="117"/>
      <x:c r="L195" s="117"/>
      <x:c r="M195" s="117"/>
      <x:c r="N195" s="117"/>
      <x:c r="O195" s="117"/>
      <x:c r="P195" s="117"/>
      <x:c r="Q195" s="117"/>
      <x:c r="R195" s="117"/>
      <x:c r="S195" s="117"/>
      <x:c r="T195" s="117"/>
      <x:c r="U195" s="117"/>
      <x:c r="V195" s="117"/>
      <x:c r="W195" s="117"/>
      <x:c r="X195" s="117"/>
      <x:c r="Y195" s="117"/>
      <x:c r="Z195" s="117"/>
    </x:row>
    <x:row r="196">
      <x:c r="A196" s="117"/>
      <x:c r="B196" s="117"/>
      <x:c r="C196" s="117"/>
      <x:c r="D196" s="117"/>
      <x:c r="E196" s="117"/>
      <x:c r="F196" s="117"/>
      <x:c r="G196" s="117"/>
      <x:c r="H196" s="117"/>
      <x:c r="I196" s="117"/>
      <x:c r="J196" s="117"/>
      <x:c r="K196" s="117"/>
      <x:c r="L196" s="117"/>
      <x:c r="M196" s="117"/>
      <x:c r="N196" s="117"/>
      <x:c r="O196" s="117"/>
      <x:c r="P196" s="117"/>
      <x:c r="Q196" s="117"/>
      <x:c r="R196" s="117"/>
      <x:c r="S196" s="117"/>
      <x:c r="T196" s="117"/>
      <x:c r="U196" s="117"/>
      <x:c r="V196" s="117"/>
      <x:c r="W196" s="117"/>
      <x:c r="X196" s="117"/>
      <x:c r="Y196" s="117"/>
      <x:c r="Z196" s="117"/>
    </x:row>
    <x:row r="197">
      <x:c r="A197" s="117"/>
      <x:c r="B197" s="117"/>
      <x:c r="C197" s="117"/>
      <x:c r="D197" s="117"/>
      <x:c r="E197" s="117"/>
      <x:c r="F197" s="117"/>
      <x:c r="G197" s="117"/>
      <x:c r="H197" s="117"/>
      <x:c r="I197" s="117"/>
      <x:c r="J197" s="117"/>
      <x:c r="K197" s="117"/>
      <x:c r="L197" s="117"/>
      <x:c r="M197" s="117"/>
      <x:c r="N197" s="117"/>
      <x:c r="O197" s="117"/>
      <x:c r="P197" s="117"/>
      <x:c r="Q197" s="117"/>
      <x:c r="R197" s="117"/>
      <x:c r="S197" s="117"/>
      <x:c r="T197" s="117"/>
      <x:c r="U197" s="117"/>
      <x:c r="V197" s="117"/>
      <x:c r="W197" s="117"/>
      <x:c r="X197" s="117"/>
      <x:c r="Y197" s="117"/>
      <x:c r="Z197" s="117"/>
    </x:row>
    <x:row r="198">
      <x:c r="A198" s="117"/>
      <x:c r="B198" s="117"/>
      <x:c r="C198" s="117"/>
      <x:c r="D198" s="117"/>
      <x:c r="E198" s="117"/>
      <x:c r="F198" s="117"/>
      <x:c r="G198" s="117"/>
      <x:c r="H198" s="117"/>
      <x:c r="I198" s="117"/>
      <x:c r="J198" s="117"/>
      <x:c r="K198" s="117"/>
      <x:c r="L198" s="117"/>
      <x:c r="M198" s="117"/>
      <x:c r="N198" s="117"/>
      <x:c r="O198" s="117"/>
      <x:c r="P198" s="117"/>
      <x:c r="Q198" s="117"/>
      <x:c r="R198" s="117"/>
      <x:c r="S198" s="117"/>
      <x:c r="T198" s="117"/>
      <x:c r="U198" s="117"/>
      <x:c r="V198" s="117"/>
      <x:c r="W198" s="117"/>
      <x:c r="X198" s="117"/>
      <x:c r="Y198" s="117"/>
      <x:c r="Z198" s="117"/>
    </x:row>
    <x:row r="199">
      <x:c r="A199" s="117"/>
      <x:c r="B199" s="117"/>
      <x:c r="C199" s="117"/>
      <x:c r="D199" s="117"/>
      <x:c r="E199" s="117"/>
      <x:c r="F199" s="117"/>
      <x:c r="G199" s="117"/>
      <x:c r="H199" s="117"/>
      <x:c r="I199" s="117"/>
      <x:c r="J199" s="117"/>
      <x:c r="K199" s="117"/>
      <x:c r="L199" s="117"/>
      <x:c r="M199" s="117"/>
      <x:c r="N199" s="117"/>
      <x:c r="O199" s="117"/>
      <x:c r="P199" s="117"/>
      <x:c r="Q199" s="117"/>
      <x:c r="R199" s="117"/>
      <x:c r="S199" s="117"/>
      <x:c r="T199" s="117"/>
      <x:c r="U199" s="117"/>
      <x:c r="V199" s="117"/>
      <x:c r="W199" s="117"/>
      <x:c r="X199" s="117"/>
      <x:c r="Y199" s="117"/>
      <x:c r="Z199" s="117"/>
    </x:row>
    <x:row r="200">
      <x:c r="A200" s="117"/>
      <x:c r="B200" s="117"/>
      <x:c r="C200" s="117"/>
      <x:c r="D200" s="117"/>
      <x:c r="E200" s="117"/>
      <x:c r="F200" s="117"/>
      <x:c r="G200" s="117"/>
      <x:c r="H200" s="117"/>
      <x:c r="I200" s="117"/>
      <x:c r="J200" s="117"/>
      <x:c r="K200" s="117"/>
      <x:c r="L200" s="117"/>
      <x:c r="M200" s="117"/>
      <x:c r="N200" s="117"/>
      <x:c r="O200" s="117"/>
      <x:c r="P200" s="117"/>
      <x:c r="Q200" s="117"/>
      <x:c r="R200" s="117"/>
      <x:c r="S200" s="117"/>
      <x:c r="T200" s="117"/>
      <x:c r="U200" s="117"/>
      <x:c r="V200" s="117"/>
      <x:c r="W200" s="117"/>
      <x:c r="X200" s="117"/>
      <x:c r="Y200" s="117"/>
      <x:c r="Z200" s="117"/>
    </x:row>
  </x:sheetData>
  <x:mergeCells>
    <x:mergeCell ref="A1:M1"/>
    <x:mergeCell ref="A2:M2"/>
  </x:mergeCells>
  <x:pageMargins left="0.7" right="0.7" top="0.75" bottom="0.75" header="0.3" footer="0.3"/>
</x:worksheet>
</file>

<file path=xl/worksheets/sheet12.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s>
  <x:sheetData>
    <x:row r="1" ht="28" customHeight="1">
      <x:c r="A1" s="116" t="str">
        <x:v>11_テストケース</x:v>
      </x:c>
      <x:c r="B1" s="116"/>
      <x:c r="C1" s="116"/>
      <x:c r="D1" s="116"/>
      <x:c r="E1" s="116"/>
      <x:c r="F1" s="116"/>
      <x:c r="G1" s="116"/>
      <x:c r="H1" s="116"/>
      <x:c r="I1" s="116"/>
      <x:c r="J1" s="116"/>
      <x:c r="K1" s="116"/>
      <x:c r="L1" s="117"/>
      <x:c r="M1" s="117"/>
      <x:c r="N1" s="117"/>
      <x:c r="O1" s="117"/>
      <x:c r="P1" s="117"/>
      <x:c r="Q1" s="117"/>
      <x:c r="R1" s="117"/>
      <x:c r="S1" s="117"/>
      <x:c r="T1" s="117"/>
      <x:c r="U1" s="117"/>
      <x:c r="V1" s="117"/>
      <x:c r="W1" s="117"/>
      <x:c r="X1" s="117"/>
      <x:c r="Y1" s="117"/>
      <x:c r="Z1" s="117"/>
    </x:row>
    <x:row r="2" ht="34" customHeight="1">
      <x:c r="A2" s="118" t="str">
        <x:v>Version0.1 初期構造。08の逆算結果に従い次工程で詳細化。</x:v>
      </x:c>
      <x:c r="B2" s="118"/>
      <x:c r="C2" s="118"/>
      <x:c r="D2" s="118"/>
      <x:c r="E2" s="118"/>
      <x:c r="F2" s="118"/>
      <x:c r="G2" s="118"/>
      <x:c r="H2" s="118"/>
      <x:c r="I2" s="118"/>
      <x:c r="J2" s="118"/>
      <x:c r="K2" s="118"/>
      <x:c r="L2" s="117"/>
      <x:c r="M2" s="117"/>
      <x:c r="N2" s="117"/>
      <x:c r="O2" s="117"/>
      <x:c r="P2" s="117"/>
      <x:c r="Q2" s="117"/>
      <x:c r="R2" s="117"/>
      <x:c r="S2" s="117"/>
      <x:c r="T2" s="117"/>
      <x:c r="U2" s="117"/>
      <x:c r="V2" s="117"/>
      <x:c r="W2" s="117"/>
      <x:c r="X2" s="117"/>
      <x:c r="Y2" s="117"/>
      <x:c r="Z2" s="117"/>
    </x:row>
    <x:row r="3">
      <x:c r="A3" s="117"/>
      <x:c r="B3" s="117"/>
      <x:c r="C3" s="117"/>
      <x:c r="D3" s="117"/>
      <x:c r="E3" s="117"/>
      <x:c r="F3" s="117"/>
      <x:c r="G3" s="117"/>
      <x:c r="H3" s="117"/>
      <x:c r="I3" s="117"/>
      <x:c r="J3" s="117"/>
      <x:c r="K3" s="117"/>
      <x:c r="L3" s="117"/>
      <x:c r="M3" s="117"/>
      <x:c r="N3" s="117"/>
      <x:c r="O3" s="117"/>
      <x:c r="P3" s="117"/>
      <x:c r="Q3" s="117"/>
      <x:c r="R3" s="117"/>
      <x:c r="S3" s="117"/>
      <x:c r="T3" s="117"/>
      <x:c r="U3" s="117"/>
      <x:c r="V3" s="117"/>
      <x:c r="W3" s="117"/>
      <x:c r="X3" s="117"/>
      <x:c r="Y3" s="117"/>
      <x:c r="Z3" s="117"/>
    </x:row>
    <x:row r="4" ht="36" customHeight="1">
      <x:c r="A4" s="139" t="str">
        <x:v>ケースID</x:v>
      </x:c>
      <x:c r="B4" s="140" t="str">
        <x:v>ケース名</x:v>
      </x:c>
      <x:c r="C4" s="140" t="str">
        <x:v>入力概要</x:v>
      </x:c>
      <x:c r="D4" s="140" t="str">
        <x:v>期待EDI</x:v>
      </x:c>
      <x:c r="E4" s="140" t="str">
        <x:v>期待DRI</x:v>
      </x:c>
      <x:c r="F4" s="140" t="str">
        <x:v>期待EPI</x:v>
      </x:c>
      <x:c r="G4" s="140" t="str">
        <x:v>期待Guardrail</x:v>
      </x:c>
      <x:c r="H4" s="140" t="str">
        <x:v>期待断定レベル</x:v>
      </x:c>
      <x:c r="I4" s="140" t="str">
        <x:v>期待主要コメント</x:v>
      </x:c>
      <x:c r="J4" s="140" t="str">
        <x:v>確認結果</x:v>
      </x:c>
      <x:c r="K4" s="141" t="str">
        <x:v>備考</x:v>
      </x:c>
      <x:c r="L4" s="117"/>
      <x:c r="M4" s="117"/>
      <x:c r="N4" s="117"/>
      <x:c r="O4" s="117"/>
      <x:c r="P4" s="117"/>
      <x:c r="Q4" s="117"/>
      <x:c r="R4" s="117"/>
      <x:c r="S4" s="117"/>
      <x:c r="T4" s="117"/>
      <x:c r="U4" s="117"/>
      <x:c r="V4" s="117"/>
      <x:c r="W4" s="117"/>
      <x:c r="X4" s="117"/>
      <x:c r="Y4" s="117"/>
      <x:c r="Z4" s="117"/>
    </x:row>
    <x:row r="5">
      <x:c r="A5" s="144" t="str">
        <x:v>TC-01</x:v>
      </x:c>
      <x:c r="B5" s="145" t="str">
        <x:v>重大異常・資料あり</x:v>
      </x:c>
      <x:c r="C5" s="145" t="str">
        <x:v>Q101=CRITICAL、点検報告・写真あり</x:v>
      </x:c>
      <x:c r="D5" s="145" t="str">
        <x:v>低</x:v>
      </x:c>
      <x:c r="E5" s="145" t="str">
        <x:v>中</x:v>
      </x:c>
      <x:c r="F5" s="145" t="str">
        <x:v>最高</x:v>
      </x:c>
      <x:c r="G5" s="145" t="str">
        <x:v>安全</x:v>
      </x:c>
      <x:c r="H5" s="145" t="str">
        <x:v>L3</x:v>
      </x:c>
      <x:c r="I5" s="145" t="str">
        <x:v>GR-SAF-L3-01</x:v>
      </x:c>
      <x:c r="J5" s="145" t="str"/>
      <x:c r="K5" s="146" t="str">
        <x:v>KPIに関係なく最優先</x:v>
      </x:c>
      <x:c r="L5" s="117"/>
      <x:c r="M5" s="117"/>
      <x:c r="N5" s="117"/>
      <x:c r="O5" s="117"/>
      <x:c r="P5" s="117"/>
      <x:c r="Q5" s="117"/>
      <x:c r="R5" s="117"/>
      <x:c r="S5" s="117"/>
      <x:c r="T5" s="117"/>
      <x:c r="U5" s="117"/>
      <x:c r="V5" s="117"/>
      <x:c r="W5" s="117"/>
      <x:c r="X5" s="117"/>
      <x:c r="Y5" s="117"/>
      <x:c r="Z5" s="117"/>
    </x:row>
    <x:row r="6">
      <x:c r="A6" s="147" t="str">
        <x:v>TC-02</x:v>
      </x:c>
      <x:c r="B6" s="148" t="str">
        <x:v>EOL自己申告</x:v>
      </x:c>
      <x:c r="C6" s="148" t="str">
        <x:v>Q106=YES、型式不明、メーカー回答なし</x:v>
      </x:c>
      <x:c r="D6" s="148" t="str">
        <x:v>中</x:v>
      </x:c>
      <x:c r="E6" s="148" t="str">
        <x:v>低</x:v>
      </x:c>
      <x:c r="F6" s="148" t="str">
        <x:v>高</x:v>
      </x:c>
      <x:c r="G6" s="148" t="str">
        <x:v>EOL</x:v>
      </x:c>
      <x:c r="H6" s="148" t="str">
        <x:v>L2</x:v>
      </x:c>
      <x:c r="I6" s="148" t="str">
        <x:v>GR-EOL-L2-01</x:v>
      </x:c>
      <x:c r="J6" s="148" t="str"/>
      <x:c r="K6" s="149" t="str">
        <x:v>断定しない</x:v>
      </x:c>
      <x:c r="L6" s="117"/>
      <x:c r="M6" s="117"/>
      <x:c r="N6" s="117"/>
      <x:c r="O6" s="117"/>
      <x:c r="P6" s="117"/>
      <x:c r="Q6" s="117"/>
      <x:c r="R6" s="117"/>
      <x:c r="S6" s="117"/>
      <x:c r="T6" s="117"/>
      <x:c r="U6" s="117"/>
      <x:c r="V6" s="117"/>
      <x:c r="W6" s="117"/>
      <x:c r="X6" s="117"/>
      <x:c r="Y6" s="117"/>
      <x:c r="Z6" s="117"/>
    </x:row>
    <x:row r="7">
      <x:c r="A7" s="147" t="str">
        <x:v>TC-03</x:v>
      </x:c>
      <x:c r="B7" s="148" t="str">
        <x:v>EOL確認済み</x:v>
      </x:c>
      <x:c r="C7" s="148" t="str">
        <x:v>Q106=YES、正式メーカー回答あり、停止影響大</x:v>
      </x:c>
      <x:c r="D7" s="148" t="str">
        <x:v>中</x:v>
      </x:c>
      <x:c r="E7" s="148" t="str">
        <x:v>高</x:v>
      </x:c>
      <x:c r="F7" s="148" t="str">
        <x:v>最高</x:v>
      </x:c>
      <x:c r="G7" s="148" t="str">
        <x:v>EOL＋BCP</x:v>
      </x:c>
      <x:c r="H7" s="148" t="str">
        <x:v>L3</x:v>
      </x:c>
      <x:c r="I7" s="148" t="str">
        <x:v>GR-EOL-L3-01/GR-BCP-L3-01</x:v>
      </x:c>
      <x:c r="J7" s="148" t="str"/>
      <x:c r="K7" s="149" t="str"/>
      <x:c r="L7" s="117"/>
      <x:c r="M7" s="117"/>
      <x:c r="N7" s="117"/>
      <x:c r="O7" s="117"/>
      <x:c r="P7" s="117"/>
      <x:c r="Q7" s="117"/>
      <x:c r="R7" s="117"/>
      <x:c r="S7" s="117"/>
      <x:c r="T7" s="117"/>
      <x:c r="U7" s="117"/>
      <x:c r="V7" s="117"/>
      <x:c r="W7" s="117"/>
      <x:c r="X7" s="117"/>
      <x:c r="Y7" s="117"/>
      <x:c r="Z7" s="117"/>
    </x:row>
    <x:row r="8">
      <x:c r="A8" s="147" t="str">
        <x:v>TC-04</x:v>
      </x:c>
      <x:c r="B8" s="148" t="str">
        <x:v>老朽化・管理良好</x:v>
      </x:c>
      <x:c r="C8" s="148" t="str">
        <x:v>20年以上多い、点検良好、図面・台帳・予備品あり</x:v>
      </x:c>
      <x:c r="D8" s="148" t="str">
        <x:v>中</x:v>
      </x:c>
      <x:c r="E8" s="148" t="str">
        <x:v>高</x:v>
      </x:c>
      <x:c r="F8" s="148" t="str">
        <x:v>中</x:v>
      </x:c>
      <x:c r="G8" s="148" t="str">
        <x:v>なしまたはEOLのみ</x:v>
      </x:c>
      <x:c r="H8" s="148" t="str">
        <x:v>L3</x:v>
      </x:c>
      <x:c r="I8" s="148" t="str">
        <x:v>EDI-AGE-L3-01</x:v>
      </x:c>
      <x:c r="J8" s="148" t="str"/>
      <x:c r="K8" s="149" t="str">
        <x:v>経年だけで即更新としない</x:v>
      </x:c>
      <x:c r="L8" s="117"/>
      <x:c r="M8" s="117"/>
      <x:c r="N8" s="117"/>
      <x:c r="O8" s="117"/>
      <x:c r="P8" s="117"/>
      <x:c r="Q8" s="117"/>
      <x:c r="R8" s="117"/>
      <x:c r="S8" s="117"/>
      <x:c r="T8" s="117"/>
      <x:c r="U8" s="117"/>
      <x:c r="V8" s="117"/>
      <x:c r="W8" s="117"/>
      <x:c r="X8" s="117"/>
      <x:c r="Y8" s="117"/>
      <x:c r="Z8" s="117"/>
    </x:row>
    <x:row r="9">
      <x:c r="A9" s="150" t="str">
        <x:v>TC-05</x:v>
      </x:c>
      <x:c r="B9" s="89" t="str">
        <x:v>情報不足</x:v>
      </x:c>
      <x:c r="C9" s="89" t="str">
        <x:v>設置年・図面・停止影響・保守状況が不明</x:v>
      </x:c>
      <x:c r="D9" s="89" t="str">
        <x:v>判定限定</x:v>
      </x:c>
      <x:c r="E9" s="89" t="str">
        <x:v>低</x:v>
      </x:c>
      <x:c r="F9" s="89" t="str">
        <x:v>判定限定</x:v>
      </x:c>
      <x:c r="G9" s="89" t="str">
        <x:v>情報不足表示</x:v>
      </x:c>
      <x:c r="H9" s="89" t="str">
        <x:v>L1</x:v>
      </x:c>
      <x:c r="I9" s="89" t="str">
        <x:v>DRI-DOC-L1-01/GR-EOL-L1-01</x:v>
      </x:c>
      <x:c r="J9" s="89" t="str"/>
      <x:c r="K9" s="151" t="str"/>
      <x:c r="L9" s="117"/>
      <x:c r="M9" s="117"/>
      <x:c r="N9" s="117"/>
      <x:c r="O9" s="117"/>
      <x:c r="P9" s="117"/>
      <x:c r="Q9" s="117"/>
      <x:c r="R9" s="117"/>
      <x:c r="S9" s="117"/>
      <x:c r="T9" s="117"/>
      <x:c r="U9" s="117"/>
      <x:c r="V9" s="117"/>
      <x:c r="W9" s="117"/>
      <x:c r="X9" s="117"/>
      <x:c r="Y9" s="117"/>
      <x:c r="Z9" s="117"/>
    </x:row>
    <x:row r="10">
      <x:c r="A10" s="147" t="str">
        <x:v>TC-06</x:v>
      </x:c>
      <x:c r="B10" s="148" t="str">
        <x:v>回答矛盾</x:v>
      </x:c>
      <x:c r="C10" s="148" t="str">
        <x:v>Q106=YES、メーカー資料=保守継続</x:v>
      </x:c>
      <x:c r="D10" s="148" t="str">
        <x:v>該当項目停止</x:v>
      </x:c>
      <x:c r="E10" s="148" t="str">
        <x:v>中</x:v>
      </x:c>
      <x:c r="F10" s="148" t="str">
        <x:v>該当項目停止</x:v>
      </x:c>
      <x:c r="G10" s="148" t="str">
        <x:v>整合性警告</x:v>
      </x:c>
      <x:c r="H10" s="148" t="str">
        <x:v>L0</x:v>
      </x:c>
      <x:c r="I10" s="148" t="str">
        <x:v>GR-EOL-L0-01</x:v>
      </x:c>
      <x:c r="J10" s="148" t="str"/>
      <x:c r="K10" s="149" t="str"/>
      <x:c r="L10" s="117"/>
      <x:c r="M10" s="117"/>
      <x:c r="N10" s="117"/>
      <x:c r="O10" s="117"/>
      <x:c r="P10" s="117"/>
      <x:c r="Q10" s="117"/>
      <x:c r="R10" s="117"/>
      <x:c r="S10" s="117"/>
      <x:c r="T10" s="117"/>
      <x:c r="U10" s="117"/>
      <x:c r="V10" s="117"/>
      <x:c r="W10" s="117"/>
      <x:c r="X10" s="117"/>
      <x:c r="Y10" s="117"/>
      <x:c r="Z10" s="117"/>
    </x:row>
    <x:row r="11">
      <x:c r="A11" s="147" t="str">
        <x:v>TC-07</x:v>
      </x:c>
      <x:c r="B11" s="148" t="str">
        <x:v>結露・食品工場</x:v>
      </x:c>
      <x:c r="C11" s="148" t="str">
        <x:v>Q242=CRITICAL、Q112=HIGH、写真・温湿度あり</x:v>
      </x:c>
      <x:c r="D11" s="148" t="str">
        <x:v>低</x:v>
      </x:c>
      <x:c r="E11" s="148" t="str">
        <x:v>中</x:v>
      </x:c>
      <x:c r="F11" s="148" t="str">
        <x:v>高</x:v>
      </x:c>
      <x:c r="G11" s="148" t="str">
        <x:v>建屋安全・品質</x:v>
      </x:c>
      <x:c r="H11" s="148" t="str">
        <x:v>L3</x:v>
      </x:c>
      <x:c r="I11" s="148" t="str">
        <x:v>GR-BLD-L3系（要追加）</x:v>
      </x:c>
      <x:c r="J11" s="148" t="str"/>
      <x:c r="K11" s="149" t="str"/>
      <x:c r="L11" s="117"/>
      <x:c r="M11" s="117"/>
      <x:c r="N11" s="117"/>
      <x:c r="O11" s="117"/>
      <x:c r="P11" s="117"/>
      <x:c r="Q11" s="117"/>
      <x:c r="R11" s="117"/>
      <x:c r="S11" s="117"/>
      <x:c r="T11" s="117"/>
      <x:c r="U11" s="117"/>
      <x:c r="V11" s="117"/>
      <x:c r="W11" s="117"/>
      <x:c r="X11" s="117"/>
      <x:c r="Y11" s="117"/>
      <x:c r="Z11" s="117"/>
    </x:row>
    <x:row r="12">
      <x:c r="A12" s="158" t="str">
        <x:v>TC-08</x:v>
      </x:c>
      <x:c r="B12" s="159" t="str">
        <x:v>省エネ機会大</x:v>
      </x:c>
      <x:c r="C12" s="159" t="str">
        <x:v>設備状態良好、計測あり、省エネ効果大、実施好機あり</x:v>
      </x:c>
      <x:c r="D12" s="159" t="str">
        <x:v>高</x:v>
      </x:c>
      <x:c r="E12" s="159" t="str">
        <x:v>高</x:v>
      </x:c>
      <x:c r="F12" s="159" t="str">
        <x:v>高</x:v>
      </x:c>
      <x:c r="G12" s="159" t="str">
        <x:v>なし</x:v>
      </x:c>
      <x:c r="H12" s="159" t="str">
        <x:v>L3</x:v>
      </x:c>
      <x:c r="I12" s="159" t="str">
        <x:v>EPI-ENE-L3系（要追加）</x:v>
      </x:c>
      <x:c r="J12" s="159" t="str"/>
      <x:c r="K12" s="160" t="str"/>
      <x:c r="L12" s="117"/>
      <x:c r="M12" s="117"/>
      <x:c r="N12" s="117"/>
      <x:c r="O12" s="117"/>
      <x:c r="P12" s="117"/>
      <x:c r="Q12" s="117"/>
      <x:c r="R12" s="117"/>
      <x:c r="S12" s="117"/>
      <x:c r="T12" s="117"/>
      <x:c r="U12" s="117"/>
      <x:c r="V12" s="117"/>
      <x:c r="W12" s="117"/>
      <x:c r="X12" s="117"/>
      <x:c r="Y12" s="117"/>
      <x:c r="Z12" s="117"/>
    </x:row>
    <x:row r="13">
      <x:c r="A13" s="117"/>
      <x:c r="B13" s="117"/>
      <x:c r="C13" s="117"/>
      <x:c r="D13" s="117"/>
      <x:c r="E13" s="117"/>
      <x:c r="F13" s="117"/>
      <x:c r="G13" s="117"/>
      <x:c r="H13" s="117"/>
      <x:c r="I13" s="117"/>
      <x:c r="J13" s="117"/>
      <x:c r="K13" s="117"/>
      <x:c r="L13" s="117"/>
      <x:c r="M13" s="117"/>
      <x:c r="N13" s="117"/>
      <x:c r="O13" s="117"/>
      <x:c r="P13" s="117"/>
      <x:c r="Q13" s="117"/>
      <x:c r="R13" s="117"/>
      <x:c r="S13" s="117"/>
      <x:c r="T13" s="117"/>
      <x:c r="U13" s="117"/>
      <x:c r="V13" s="117"/>
      <x:c r="W13" s="117"/>
      <x:c r="X13" s="117"/>
      <x:c r="Y13" s="117"/>
      <x:c r="Z13" s="117"/>
    </x:row>
    <x:row r="14">
      <x:c r="A14" s="117"/>
      <x:c r="B14" s="117"/>
      <x:c r="C14" s="117"/>
      <x:c r="D14" s="117"/>
      <x:c r="E14" s="117"/>
      <x:c r="F14" s="117"/>
      <x:c r="G14" s="117"/>
      <x:c r="H14" s="117"/>
      <x:c r="I14" s="117"/>
      <x:c r="J14" s="117"/>
      <x:c r="K14" s="117"/>
      <x:c r="L14" s="117"/>
      <x:c r="M14" s="117"/>
      <x:c r="N14" s="117"/>
      <x:c r="O14" s="117"/>
      <x:c r="P14" s="117"/>
      <x:c r="Q14" s="117"/>
      <x:c r="R14" s="117"/>
      <x:c r="S14" s="117"/>
      <x:c r="T14" s="117"/>
      <x:c r="U14" s="117"/>
      <x:c r="V14" s="117"/>
      <x:c r="W14" s="117"/>
      <x:c r="X14" s="117"/>
      <x:c r="Y14" s="117"/>
      <x:c r="Z14" s="117"/>
    </x:row>
    <x:row r="15">
      <x:c r="A15" s="117"/>
      <x:c r="B15" s="117"/>
      <x:c r="C15" s="117"/>
      <x:c r="D15" s="117"/>
      <x:c r="E15" s="117"/>
      <x:c r="F15" s="117"/>
      <x:c r="G15" s="117"/>
      <x:c r="H15" s="117"/>
      <x:c r="I15" s="117"/>
      <x:c r="J15" s="117"/>
      <x:c r="K15" s="117"/>
      <x:c r="L15" s="117"/>
      <x:c r="M15" s="117"/>
      <x:c r="N15" s="117"/>
      <x:c r="O15" s="117"/>
      <x:c r="P15" s="117"/>
      <x:c r="Q15" s="117"/>
      <x:c r="R15" s="117"/>
      <x:c r="S15" s="117"/>
      <x:c r="T15" s="117"/>
      <x:c r="U15" s="117"/>
      <x:c r="V15" s="117"/>
      <x:c r="W15" s="117"/>
      <x:c r="X15" s="117"/>
      <x:c r="Y15" s="117"/>
      <x:c r="Z15" s="117"/>
    </x:row>
    <x:row r="16">
      <x:c r="A16" s="117"/>
      <x:c r="B16" s="117"/>
      <x:c r="C16" s="117"/>
      <x:c r="D16" s="117"/>
      <x:c r="E16" s="117"/>
      <x:c r="F16" s="117"/>
      <x:c r="G16" s="117"/>
      <x:c r="H16" s="117"/>
      <x:c r="I16" s="117"/>
      <x:c r="J16" s="117"/>
      <x:c r="K16" s="117"/>
      <x:c r="L16" s="117"/>
      <x:c r="M16" s="117"/>
      <x:c r="N16" s="117"/>
      <x:c r="O16" s="117"/>
      <x:c r="P16" s="117"/>
      <x:c r="Q16" s="117"/>
      <x:c r="R16" s="117"/>
      <x:c r="S16" s="117"/>
      <x:c r="T16" s="117"/>
      <x:c r="U16" s="117"/>
      <x:c r="V16" s="117"/>
      <x:c r="W16" s="117"/>
      <x:c r="X16" s="117"/>
      <x:c r="Y16" s="117"/>
      <x:c r="Z16" s="117"/>
    </x:row>
    <x:row r="17">
      <x:c r="A17" s="117"/>
      <x:c r="B17" s="117"/>
      <x:c r="C17" s="117"/>
      <x:c r="D17" s="117"/>
      <x:c r="E17" s="117"/>
      <x:c r="F17" s="117"/>
      <x:c r="G17" s="117"/>
      <x:c r="H17" s="117"/>
      <x:c r="I17" s="117"/>
      <x:c r="J17" s="117"/>
      <x:c r="K17" s="117"/>
      <x:c r="L17" s="117"/>
      <x:c r="M17" s="117"/>
      <x:c r="N17" s="117"/>
      <x:c r="O17" s="117"/>
      <x:c r="P17" s="117"/>
      <x:c r="Q17" s="117"/>
      <x:c r="R17" s="117"/>
      <x:c r="S17" s="117"/>
      <x:c r="T17" s="117"/>
      <x:c r="U17" s="117"/>
      <x:c r="V17" s="117"/>
      <x:c r="W17" s="117"/>
      <x:c r="X17" s="117"/>
      <x:c r="Y17" s="117"/>
      <x:c r="Z17" s="117"/>
    </x:row>
    <x:row r="18">
      <x:c r="A18" s="117"/>
      <x:c r="B18" s="117"/>
      <x:c r="C18" s="117"/>
      <x:c r="D18" s="117"/>
      <x:c r="E18" s="117"/>
      <x:c r="F18" s="117"/>
      <x:c r="G18" s="117"/>
      <x:c r="H18" s="117"/>
      <x:c r="I18" s="117"/>
      <x:c r="J18" s="117"/>
      <x:c r="K18" s="117"/>
      <x:c r="L18" s="117"/>
      <x:c r="M18" s="117"/>
      <x:c r="N18" s="117"/>
      <x:c r="O18" s="117"/>
      <x:c r="P18" s="117"/>
      <x:c r="Q18" s="117"/>
      <x:c r="R18" s="117"/>
      <x:c r="S18" s="117"/>
      <x:c r="T18" s="117"/>
      <x:c r="U18" s="117"/>
      <x:c r="V18" s="117"/>
      <x:c r="W18" s="117"/>
      <x:c r="X18" s="117"/>
      <x:c r="Y18" s="117"/>
      <x:c r="Z18" s="117"/>
    </x:row>
    <x:row r="19">
      <x:c r="A19" s="117"/>
      <x:c r="B19" s="117"/>
      <x:c r="C19" s="117"/>
      <x:c r="D19" s="117"/>
      <x:c r="E19" s="117"/>
      <x:c r="F19" s="117"/>
      <x:c r="G19" s="117"/>
      <x:c r="H19" s="117"/>
      <x:c r="I19" s="117"/>
      <x:c r="J19" s="117"/>
      <x:c r="K19" s="117"/>
      <x:c r="L19" s="117"/>
      <x:c r="M19" s="117"/>
      <x:c r="N19" s="117"/>
      <x:c r="O19" s="117"/>
      <x:c r="P19" s="117"/>
      <x:c r="Q19" s="117"/>
      <x:c r="R19" s="117"/>
      <x:c r="S19" s="117"/>
      <x:c r="T19" s="117"/>
      <x:c r="U19" s="117"/>
      <x:c r="V19" s="117"/>
      <x:c r="W19" s="117"/>
      <x:c r="X19" s="117"/>
      <x:c r="Y19" s="117"/>
      <x:c r="Z19" s="117"/>
    </x:row>
    <x:row r="20">
      <x:c r="A20" s="117"/>
      <x:c r="B20" s="117"/>
      <x:c r="C20" s="117"/>
      <x:c r="D20" s="117"/>
      <x:c r="E20" s="117"/>
      <x:c r="F20" s="117"/>
      <x:c r="G20" s="117"/>
      <x:c r="H20" s="117"/>
      <x:c r="I20" s="117"/>
      <x:c r="J20" s="117"/>
      <x:c r="K20" s="117"/>
      <x:c r="L20" s="117"/>
      <x:c r="M20" s="117"/>
      <x:c r="N20" s="117"/>
      <x:c r="O20" s="117"/>
      <x:c r="P20" s="117"/>
      <x:c r="Q20" s="117"/>
      <x:c r="R20" s="117"/>
      <x:c r="S20" s="117"/>
      <x:c r="T20" s="117"/>
      <x:c r="U20" s="117"/>
      <x:c r="V20" s="117"/>
      <x:c r="W20" s="117"/>
      <x:c r="X20" s="117"/>
      <x:c r="Y20" s="117"/>
      <x:c r="Z20" s="117"/>
    </x:row>
    <x:row r="21">
      <x:c r="A21" s="117"/>
      <x:c r="B21" s="117"/>
      <x:c r="C21" s="117"/>
      <x:c r="D21" s="117"/>
      <x:c r="E21" s="117"/>
      <x:c r="F21" s="117"/>
      <x:c r="G21" s="117"/>
      <x:c r="H21" s="117"/>
      <x:c r="I21" s="117"/>
      <x:c r="J21" s="117"/>
      <x:c r="K21" s="117"/>
      <x:c r="L21" s="117"/>
      <x:c r="M21" s="117"/>
      <x:c r="N21" s="117"/>
      <x:c r="O21" s="117"/>
      <x:c r="P21" s="117"/>
      <x:c r="Q21" s="117"/>
      <x:c r="R21" s="117"/>
      <x:c r="S21" s="117"/>
      <x:c r="T21" s="117"/>
      <x:c r="U21" s="117"/>
      <x:c r="V21" s="117"/>
      <x:c r="W21" s="117"/>
      <x:c r="X21" s="117"/>
      <x:c r="Y21" s="117"/>
      <x:c r="Z21" s="117"/>
    </x:row>
    <x:row r="22">
      <x:c r="A22" s="117"/>
      <x:c r="B22" s="117"/>
      <x:c r="C22" s="117"/>
      <x:c r="D22" s="117"/>
      <x:c r="E22" s="117"/>
      <x:c r="F22" s="117"/>
      <x:c r="G22" s="117"/>
      <x:c r="H22" s="117"/>
      <x:c r="I22" s="117"/>
      <x:c r="J22" s="117"/>
      <x:c r="K22" s="117"/>
      <x:c r="L22" s="117"/>
      <x:c r="M22" s="117"/>
      <x:c r="N22" s="117"/>
      <x:c r="O22" s="117"/>
      <x:c r="P22" s="117"/>
      <x:c r="Q22" s="117"/>
      <x:c r="R22" s="117"/>
      <x:c r="S22" s="117"/>
      <x:c r="T22" s="117"/>
      <x:c r="U22" s="117"/>
      <x:c r="V22" s="117"/>
      <x:c r="W22" s="117"/>
      <x:c r="X22" s="117"/>
      <x:c r="Y22" s="117"/>
      <x:c r="Z22" s="117"/>
    </x:row>
    <x:row r="23">
      <x:c r="A23" s="117"/>
      <x:c r="B23" s="117"/>
      <x:c r="C23" s="117"/>
      <x:c r="D23" s="117"/>
      <x:c r="E23" s="117"/>
      <x:c r="F23" s="117"/>
      <x:c r="G23" s="117"/>
      <x:c r="H23" s="117"/>
      <x:c r="I23" s="117"/>
      <x:c r="J23" s="117"/>
      <x:c r="K23" s="117"/>
      <x:c r="L23" s="117"/>
      <x:c r="M23" s="117"/>
      <x:c r="N23" s="117"/>
      <x:c r="O23" s="117"/>
      <x:c r="P23" s="117"/>
      <x:c r="Q23" s="117"/>
      <x:c r="R23" s="117"/>
      <x:c r="S23" s="117"/>
      <x:c r="T23" s="117"/>
      <x:c r="U23" s="117"/>
      <x:c r="V23" s="117"/>
      <x:c r="W23" s="117"/>
      <x:c r="X23" s="117"/>
      <x:c r="Y23" s="117"/>
      <x:c r="Z23" s="117"/>
    </x:row>
    <x:row r="24">
      <x:c r="A24" s="117"/>
      <x:c r="B24" s="117"/>
      <x:c r="C24" s="117"/>
      <x:c r="D24" s="117"/>
      <x:c r="E24" s="117"/>
      <x:c r="F24" s="117"/>
      <x:c r="G24" s="117"/>
      <x:c r="H24" s="117"/>
      <x:c r="I24" s="117"/>
      <x:c r="J24" s="117"/>
      <x:c r="K24" s="117"/>
      <x:c r="L24" s="117"/>
      <x:c r="M24" s="117"/>
      <x:c r="N24" s="117"/>
      <x:c r="O24" s="117"/>
      <x:c r="P24" s="117"/>
      <x:c r="Q24" s="117"/>
      <x:c r="R24" s="117"/>
      <x:c r="S24" s="117"/>
      <x:c r="T24" s="117"/>
      <x:c r="U24" s="117"/>
      <x:c r="V24" s="117"/>
      <x:c r="W24" s="117"/>
      <x:c r="X24" s="117"/>
      <x:c r="Y24" s="117"/>
      <x:c r="Z24" s="117"/>
    </x:row>
    <x:row r="25">
      <x:c r="A25" s="117"/>
      <x:c r="B25" s="117"/>
      <x:c r="C25" s="117"/>
      <x:c r="D25" s="117"/>
      <x:c r="E25" s="117"/>
      <x:c r="F25" s="117"/>
      <x:c r="G25" s="117"/>
      <x:c r="H25" s="117"/>
      <x:c r="I25" s="117"/>
      <x:c r="J25" s="117"/>
      <x:c r="K25" s="117"/>
      <x:c r="L25" s="117"/>
      <x:c r="M25" s="117"/>
      <x:c r="N25" s="117"/>
      <x:c r="O25" s="117"/>
      <x:c r="P25" s="117"/>
      <x:c r="Q25" s="117"/>
      <x:c r="R25" s="117"/>
      <x:c r="S25" s="117"/>
      <x:c r="T25" s="117"/>
      <x:c r="U25" s="117"/>
      <x:c r="V25" s="117"/>
      <x:c r="W25" s="117"/>
      <x:c r="X25" s="117"/>
      <x:c r="Y25" s="117"/>
      <x:c r="Z25" s="117"/>
    </x:row>
    <x:row r="26">
      <x:c r="A26" s="117"/>
      <x:c r="B26" s="117"/>
      <x:c r="C26" s="117"/>
      <x:c r="D26" s="117"/>
      <x:c r="E26" s="117"/>
      <x:c r="F26" s="117"/>
      <x:c r="G26" s="117"/>
      <x:c r="H26" s="117"/>
      <x:c r="I26" s="117"/>
      <x:c r="J26" s="117"/>
      <x:c r="K26" s="117"/>
      <x:c r="L26" s="117"/>
      <x:c r="M26" s="117"/>
      <x:c r="N26" s="117"/>
      <x:c r="O26" s="117"/>
      <x:c r="P26" s="117"/>
      <x:c r="Q26" s="117"/>
      <x:c r="R26" s="117"/>
      <x:c r="S26" s="117"/>
      <x:c r="T26" s="117"/>
      <x:c r="U26" s="117"/>
      <x:c r="V26" s="117"/>
      <x:c r="W26" s="117"/>
      <x:c r="X26" s="117"/>
      <x:c r="Y26" s="117"/>
      <x:c r="Z26" s="117"/>
    </x:row>
    <x:row r="27">
      <x:c r="A27" s="117"/>
      <x:c r="B27" s="117"/>
      <x:c r="C27" s="117"/>
      <x:c r="D27" s="117"/>
      <x:c r="E27" s="117"/>
      <x:c r="F27" s="117"/>
      <x:c r="G27" s="117"/>
      <x:c r="H27" s="117"/>
      <x:c r="I27" s="117"/>
      <x:c r="J27" s="117"/>
      <x:c r="K27" s="117"/>
      <x:c r="L27" s="117"/>
      <x:c r="M27" s="117"/>
      <x:c r="N27" s="117"/>
      <x:c r="O27" s="117"/>
      <x:c r="P27" s="117"/>
      <x:c r="Q27" s="117"/>
      <x:c r="R27" s="117"/>
      <x:c r="S27" s="117"/>
      <x:c r="T27" s="117"/>
      <x:c r="U27" s="117"/>
      <x:c r="V27" s="117"/>
      <x:c r="W27" s="117"/>
      <x:c r="X27" s="117"/>
      <x:c r="Y27" s="117"/>
      <x:c r="Z27" s="117"/>
    </x:row>
    <x:row r="28">
      <x:c r="A28" s="117"/>
      <x:c r="B28" s="117"/>
      <x:c r="C28" s="117"/>
      <x:c r="D28" s="117"/>
      <x:c r="E28" s="117"/>
      <x:c r="F28" s="117"/>
      <x:c r="G28" s="117"/>
      <x:c r="H28" s="117"/>
      <x:c r="I28" s="117"/>
      <x:c r="J28" s="117"/>
      <x:c r="K28" s="117"/>
      <x:c r="L28" s="117"/>
      <x:c r="M28" s="117"/>
      <x:c r="N28" s="117"/>
      <x:c r="O28" s="117"/>
      <x:c r="P28" s="117"/>
      <x:c r="Q28" s="117"/>
      <x:c r="R28" s="117"/>
      <x:c r="S28" s="117"/>
      <x:c r="T28" s="117"/>
      <x:c r="U28" s="117"/>
      <x:c r="V28" s="117"/>
      <x:c r="W28" s="117"/>
      <x:c r="X28" s="117"/>
      <x:c r="Y28" s="117"/>
      <x:c r="Z28" s="117"/>
    </x:row>
    <x:row r="29">
      <x:c r="A29" s="117"/>
      <x:c r="B29" s="117"/>
      <x:c r="C29" s="117"/>
      <x:c r="D29" s="117"/>
      <x:c r="E29" s="117"/>
      <x:c r="F29" s="117"/>
      <x:c r="G29" s="117"/>
      <x:c r="H29" s="117"/>
      <x:c r="I29" s="117"/>
      <x:c r="J29" s="117"/>
      <x:c r="K29" s="117"/>
      <x:c r="L29" s="117"/>
      <x:c r="M29" s="117"/>
      <x:c r="N29" s="117"/>
      <x:c r="O29" s="117"/>
      <x:c r="P29" s="117"/>
      <x:c r="Q29" s="117"/>
      <x:c r="R29" s="117"/>
      <x:c r="S29" s="117"/>
      <x:c r="T29" s="117"/>
      <x:c r="U29" s="117"/>
      <x:c r="V29" s="117"/>
      <x:c r="W29" s="117"/>
      <x:c r="X29" s="117"/>
      <x:c r="Y29" s="117"/>
      <x:c r="Z29" s="117"/>
    </x:row>
    <x:row r="30">
      <x:c r="A30" s="117"/>
      <x:c r="B30" s="117"/>
      <x:c r="C30" s="117"/>
      <x:c r="D30" s="117"/>
      <x:c r="E30" s="117"/>
      <x:c r="F30" s="117"/>
      <x:c r="G30" s="117"/>
      <x:c r="H30" s="117"/>
      <x:c r="I30" s="117"/>
      <x:c r="J30" s="117"/>
      <x:c r="K30" s="117"/>
      <x:c r="L30" s="117"/>
      <x:c r="M30" s="117"/>
      <x:c r="N30" s="117"/>
      <x:c r="O30" s="117"/>
      <x:c r="P30" s="117"/>
      <x:c r="Q30" s="117"/>
      <x:c r="R30" s="117"/>
      <x:c r="S30" s="117"/>
      <x:c r="T30" s="117"/>
      <x:c r="U30" s="117"/>
      <x:c r="V30" s="117"/>
      <x:c r="W30" s="117"/>
      <x:c r="X30" s="117"/>
      <x:c r="Y30" s="117"/>
      <x:c r="Z30" s="117"/>
    </x:row>
    <x:row r="31">
      <x:c r="A31" s="117"/>
      <x:c r="B31" s="117"/>
      <x:c r="C31" s="117"/>
      <x:c r="D31" s="117"/>
      <x:c r="E31" s="117"/>
      <x:c r="F31" s="117"/>
      <x:c r="G31" s="117"/>
      <x:c r="H31" s="117"/>
      <x:c r="I31" s="117"/>
      <x:c r="J31" s="117"/>
      <x:c r="K31" s="117"/>
      <x:c r="L31" s="117"/>
      <x:c r="M31" s="117"/>
      <x:c r="N31" s="117"/>
      <x:c r="O31" s="117"/>
      <x:c r="P31" s="117"/>
      <x:c r="Q31" s="117"/>
      <x:c r="R31" s="117"/>
      <x:c r="S31" s="117"/>
      <x:c r="T31" s="117"/>
      <x:c r="U31" s="117"/>
      <x:c r="V31" s="117"/>
      <x:c r="W31" s="117"/>
      <x:c r="X31" s="117"/>
      <x:c r="Y31" s="117"/>
      <x:c r="Z31" s="117"/>
    </x:row>
    <x:row r="32">
      <x:c r="A32" s="117"/>
      <x:c r="B32" s="117"/>
      <x:c r="C32" s="117"/>
      <x:c r="D32" s="117"/>
      <x:c r="E32" s="117"/>
      <x:c r="F32" s="117"/>
      <x:c r="G32" s="117"/>
      <x:c r="H32" s="117"/>
      <x:c r="I32" s="117"/>
      <x:c r="J32" s="117"/>
      <x:c r="K32" s="117"/>
      <x:c r="L32" s="117"/>
      <x:c r="M32" s="117"/>
      <x:c r="N32" s="117"/>
      <x:c r="O32" s="117"/>
      <x:c r="P32" s="117"/>
      <x:c r="Q32" s="117"/>
      <x:c r="R32" s="117"/>
      <x:c r="S32" s="117"/>
      <x:c r="T32" s="117"/>
      <x:c r="U32" s="117"/>
      <x:c r="V32" s="117"/>
      <x:c r="W32" s="117"/>
      <x:c r="X32" s="117"/>
      <x:c r="Y32" s="117"/>
      <x:c r="Z32" s="117"/>
    </x:row>
    <x:row r="33">
      <x:c r="A33" s="117"/>
      <x:c r="B33" s="117"/>
      <x:c r="C33" s="117"/>
      <x:c r="D33" s="117"/>
      <x:c r="E33" s="117"/>
      <x:c r="F33" s="117"/>
      <x:c r="G33" s="117"/>
      <x:c r="H33" s="117"/>
      <x:c r="I33" s="117"/>
      <x:c r="J33" s="117"/>
      <x:c r="K33" s="117"/>
      <x:c r="L33" s="117"/>
      <x:c r="M33" s="117"/>
      <x:c r="N33" s="117"/>
      <x:c r="O33" s="117"/>
      <x:c r="P33" s="117"/>
      <x:c r="Q33" s="117"/>
      <x:c r="R33" s="117"/>
      <x:c r="S33" s="117"/>
      <x:c r="T33" s="117"/>
      <x:c r="U33" s="117"/>
      <x:c r="V33" s="117"/>
      <x:c r="W33" s="117"/>
      <x:c r="X33" s="117"/>
      <x:c r="Y33" s="117"/>
      <x:c r="Z33" s="117"/>
    </x:row>
    <x:row r="34">
      <x:c r="A34" s="117"/>
      <x:c r="B34" s="117"/>
      <x:c r="C34" s="117"/>
      <x:c r="D34" s="117"/>
      <x:c r="E34" s="117"/>
      <x:c r="F34" s="117"/>
      <x:c r="G34" s="117"/>
      <x:c r="H34" s="117"/>
      <x:c r="I34" s="117"/>
      <x:c r="J34" s="117"/>
      <x:c r="K34" s="117"/>
      <x:c r="L34" s="117"/>
      <x:c r="M34" s="117"/>
      <x:c r="N34" s="117"/>
      <x:c r="O34" s="117"/>
      <x:c r="P34" s="117"/>
      <x:c r="Q34" s="117"/>
      <x:c r="R34" s="117"/>
      <x:c r="S34" s="117"/>
      <x:c r="T34" s="117"/>
      <x:c r="U34" s="117"/>
      <x:c r="V34" s="117"/>
      <x:c r="W34" s="117"/>
      <x:c r="X34" s="117"/>
      <x:c r="Y34" s="117"/>
      <x:c r="Z34" s="117"/>
    </x:row>
    <x:row r="35">
      <x:c r="A35" s="117"/>
      <x:c r="B35" s="117"/>
      <x:c r="C35" s="117"/>
      <x:c r="D35" s="117"/>
      <x:c r="E35" s="117"/>
      <x:c r="F35" s="117"/>
      <x:c r="G35" s="117"/>
      <x:c r="H35" s="117"/>
      <x:c r="I35" s="117"/>
      <x:c r="J35" s="117"/>
      <x:c r="K35" s="117"/>
      <x:c r="L35" s="117"/>
      <x:c r="M35" s="117"/>
      <x:c r="N35" s="117"/>
      <x:c r="O35" s="117"/>
      <x:c r="P35" s="117"/>
      <x:c r="Q35" s="117"/>
      <x:c r="R35" s="117"/>
      <x:c r="S35" s="117"/>
      <x:c r="T35" s="117"/>
      <x:c r="U35" s="117"/>
      <x:c r="V35" s="117"/>
      <x:c r="W35" s="117"/>
      <x:c r="X35" s="117"/>
      <x:c r="Y35" s="117"/>
      <x:c r="Z35" s="117"/>
    </x:row>
    <x:row r="36">
      <x:c r="A36" s="117"/>
      <x:c r="B36" s="117"/>
      <x:c r="C36" s="117"/>
      <x:c r="D36" s="117"/>
      <x:c r="E36" s="117"/>
      <x:c r="F36" s="117"/>
      <x:c r="G36" s="117"/>
      <x:c r="H36" s="117"/>
      <x:c r="I36" s="117"/>
      <x:c r="J36" s="117"/>
      <x:c r="K36" s="117"/>
      <x:c r="L36" s="117"/>
      <x:c r="M36" s="117"/>
      <x:c r="N36" s="117"/>
      <x:c r="O36" s="117"/>
      <x:c r="P36" s="117"/>
      <x:c r="Q36" s="117"/>
      <x:c r="R36" s="117"/>
      <x:c r="S36" s="117"/>
      <x:c r="T36" s="117"/>
      <x:c r="U36" s="117"/>
      <x:c r="V36" s="117"/>
      <x:c r="W36" s="117"/>
      <x:c r="X36" s="117"/>
      <x:c r="Y36" s="117"/>
      <x:c r="Z36" s="117"/>
    </x:row>
    <x:row r="37">
      <x:c r="A37" s="117"/>
      <x:c r="B37" s="117"/>
      <x:c r="C37" s="117"/>
      <x:c r="D37" s="117"/>
      <x:c r="E37" s="117"/>
      <x:c r="F37" s="117"/>
      <x:c r="G37" s="117"/>
      <x:c r="H37" s="117"/>
      <x:c r="I37" s="117"/>
      <x:c r="J37" s="117"/>
      <x:c r="K37" s="117"/>
      <x:c r="L37" s="117"/>
      <x:c r="M37" s="117"/>
      <x:c r="N37" s="117"/>
      <x:c r="O37" s="117"/>
      <x:c r="P37" s="117"/>
      <x:c r="Q37" s="117"/>
      <x:c r="R37" s="117"/>
      <x:c r="S37" s="117"/>
      <x:c r="T37" s="117"/>
      <x:c r="U37" s="117"/>
      <x:c r="V37" s="117"/>
      <x:c r="W37" s="117"/>
      <x:c r="X37" s="117"/>
      <x:c r="Y37" s="117"/>
      <x:c r="Z37" s="117"/>
    </x:row>
    <x:row r="38">
      <x:c r="A38" s="117"/>
      <x:c r="B38" s="117"/>
      <x:c r="C38" s="117"/>
      <x:c r="D38" s="117"/>
      <x:c r="E38" s="117"/>
      <x:c r="F38" s="117"/>
      <x:c r="G38" s="117"/>
      <x:c r="H38" s="117"/>
      <x:c r="I38" s="117"/>
      <x:c r="J38" s="117"/>
      <x:c r="K38" s="117"/>
      <x:c r="L38" s="117"/>
      <x:c r="M38" s="117"/>
      <x:c r="N38" s="117"/>
      <x:c r="O38" s="117"/>
      <x:c r="P38" s="117"/>
      <x:c r="Q38" s="117"/>
      <x:c r="R38" s="117"/>
      <x:c r="S38" s="117"/>
      <x:c r="T38" s="117"/>
      <x:c r="U38" s="117"/>
      <x:c r="V38" s="117"/>
      <x:c r="W38" s="117"/>
      <x:c r="X38" s="117"/>
      <x:c r="Y38" s="117"/>
      <x:c r="Z38" s="117"/>
    </x:row>
    <x:row r="39">
      <x:c r="A39" s="117"/>
      <x:c r="B39" s="117"/>
      <x:c r="C39" s="117"/>
      <x:c r="D39" s="117"/>
      <x:c r="E39" s="117"/>
      <x:c r="F39" s="117"/>
      <x:c r="G39" s="117"/>
      <x:c r="H39" s="117"/>
      <x:c r="I39" s="117"/>
      <x:c r="J39" s="117"/>
      <x:c r="K39" s="117"/>
      <x:c r="L39" s="117"/>
      <x:c r="M39" s="117"/>
      <x:c r="N39" s="117"/>
      <x:c r="O39" s="117"/>
      <x:c r="P39" s="117"/>
      <x:c r="Q39" s="117"/>
      <x:c r="R39" s="117"/>
      <x:c r="S39" s="117"/>
      <x:c r="T39" s="117"/>
      <x:c r="U39" s="117"/>
      <x:c r="V39" s="117"/>
      <x:c r="W39" s="117"/>
      <x:c r="X39" s="117"/>
      <x:c r="Y39" s="117"/>
      <x:c r="Z39" s="117"/>
    </x:row>
    <x:row r="40">
      <x:c r="A40" s="117"/>
      <x:c r="B40" s="117"/>
      <x:c r="C40" s="117"/>
      <x:c r="D40" s="117"/>
      <x:c r="E40" s="117"/>
      <x:c r="F40" s="117"/>
      <x:c r="G40" s="117"/>
      <x:c r="H40" s="117"/>
      <x:c r="I40" s="117"/>
      <x:c r="J40" s="117"/>
      <x:c r="K40" s="117"/>
      <x:c r="L40" s="117"/>
      <x:c r="M40" s="117"/>
      <x:c r="N40" s="117"/>
      <x:c r="O40" s="117"/>
      <x:c r="P40" s="117"/>
      <x:c r="Q40" s="117"/>
      <x:c r="R40" s="117"/>
      <x:c r="S40" s="117"/>
      <x:c r="T40" s="117"/>
      <x:c r="U40" s="117"/>
      <x:c r="V40" s="117"/>
      <x:c r="W40" s="117"/>
      <x:c r="X40" s="117"/>
      <x:c r="Y40" s="117"/>
      <x:c r="Z40" s="117"/>
    </x:row>
    <x:row r="41">
      <x:c r="A41" s="117"/>
      <x:c r="B41" s="117"/>
      <x:c r="C41" s="117"/>
      <x:c r="D41" s="117"/>
      <x:c r="E41" s="117"/>
      <x:c r="F41" s="117"/>
      <x:c r="G41" s="117"/>
      <x:c r="H41" s="117"/>
      <x:c r="I41" s="117"/>
      <x:c r="J41" s="117"/>
      <x:c r="K41" s="117"/>
      <x:c r="L41" s="117"/>
      <x:c r="M41" s="117"/>
      <x:c r="N41" s="117"/>
      <x:c r="O41" s="117"/>
      <x:c r="P41" s="117"/>
      <x:c r="Q41" s="117"/>
      <x:c r="R41" s="117"/>
      <x:c r="S41" s="117"/>
      <x:c r="T41" s="117"/>
      <x:c r="U41" s="117"/>
      <x:c r="V41" s="117"/>
      <x:c r="W41" s="117"/>
      <x:c r="X41" s="117"/>
      <x:c r="Y41" s="117"/>
      <x:c r="Z41" s="117"/>
    </x:row>
    <x:row r="42">
      <x:c r="A42" s="117"/>
      <x:c r="B42" s="117"/>
      <x:c r="C42" s="117"/>
      <x:c r="D42" s="117"/>
      <x:c r="E42" s="117"/>
      <x:c r="F42" s="117"/>
      <x:c r="G42" s="117"/>
      <x:c r="H42" s="117"/>
      <x:c r="I42" s="117"/>
      <x:c r="J42" s="117"/>
      <x:c r="K42" s="117"/>
      <x:c r="L42" s="117"/>
      <x:c r="M42" s="117"/>
      <x:c r="N42" s="117"/>
      <x:c r="O42" s="117"/>
      <x:c r="P42" s="117"/>
      <x:c r="Q42" s="117"/>
      <x:c r="R42" s="117"/>
      <x:c r="S42" s="117"/>
      <x:c r="T42" s="117"/>
      <x:c r="U42" s="117"/>
      <x:c r="V42" s="117"/>
      <x:c r="W42" s="117"/>
      <x:c r="X42" s="117"/>
      <x:c r="Y42" s="117"/>
      <x:c r="Z42" s="117"/>
    </x:row>
    <x:row r="43">
      <x:c r="A43" s="117"/>
      <x:c r="B43" s="117"/>
      <x:c r="C43" s="117"/>
      <x:c r="D43" s="117"/>
      <x:c r="E43" s="117"/>
      <x:c r="F43" s="117"/>
      <x:c r="G43" s="117"/>
      <x:c r="H43" s="117"/>
      <x:c r="I43" s="117"/>
      <x:c r="J43" s="117"/>
      <x:c r="K43" s="117"/>
      <x:c r="L43" s="117"/>
      <x:c r="M43" s="117"/>
      <x:c r="N43" s="117"/>
      <x:c r="O43" s="117"/>
      <x:c r="P43" s="117"/>
      <x:c r="Q43" s="117"/>
      <x:c r="R43" s="117"/>
      <x:c r="S43" s="117"/>
      <x:c r="T43" s="117"/>
      <x:c r="U43" s="117"/>
      <x:c r="V43" s="117"/>
      <x:c r="W43" s="117"/>
      <x:c r="X43" s="117"/>
      <x:c r="Y43" s="117"/>
      <x:c r="Z43" s="117"/>
    </x:row>
    <x:row r="44">
      <x:c r="A44" s="117"/>
      <x:c r="B44" s="117"/>
      <x:c r="C44" s="117"/>
      <x:c r="D44" s="117"/>
      <x:c r="E44" s="117"/>
      <x:c r="F44" s="117"/>
      <x:c r="G44" s="117"/>
      <x:c r="H44" s="117"/>
      <x:c r="I44" s="117"/>
      <x:c r="J44" s="117"/>
      <x:c r="K44" s="117"/>
      <x:c r="L44" s="117"/>
      <x:c r="M44" s="117"/>
      <x:c r="N44" s="117"/>
      <x:c r="O44" s="117"/>
      <x:c r="P44" s="117"/>
      <x:c r="Q44" s="117"/>
      <x:c r="R44" s="117"/>
      <x:c r="S44" s="117"/>
      <x:c r="T44" s="117"/>
      <x:c r="U44" s="117"/>
      <x:c r="V44" s="117"/>
      <x:c r="W44" s="117"/>
      <x:c r="X44" s="117"/>
      <x:c r="Y44" s="117"/>
      <x:c r="Z44" s="117"/>
    </x:row>
    <x:row r="45">
      <x:c r="A45" s="117"/>
      <x:c r="B45" s="117"/>
      <x:c r="C45" s="117"/>
      <x:c r="D45" s="117"/>
      <x:c r="E45" s="117"/>
      <x:c r="F45" s="117"/>
      <x:c r="G45" s="117"/>
      <x:c r="H45" s="117"/>
      <x:c r="I45" s="117"/>
      <x:c r="J45" s="117"/>
      <x:c r="K45" s="117"/>
      <x:c r="L45" s="117"/>
      <x:c r="M45" s="117"/>
      <x:c r="N45" s="117"/>
      <x:c r="O45" s="117"/>
      <x:c r="P45" s="117"/>
      <x:c r="Q45" s="117"/>
      <x:c r="R45" s="117"/>
      <x:c r="S45" s="117"/>
      <x:c r="T45" s="117"/>
      <x:c r="U45" s="117"/>
      <x:c r="V45" s="117"/>
      <x:c r="W45" s="117"/>
      <x:c r="X45" s="117"/>
      <x:c r="Y45" s="117"/>
      <x:c r="Z45" s="117"/>
    </x:row>
    <x:row r="46">
      <x:c r="A46" s="117"/>
      <x:c r="B46" s="117"/>
      <x:c r="C46" s="117"/>
      <x:c r="D46" s="117"/>
      <x:c r="E46" s="117"/>
      <x:c r="F46" s="117"/>
      <x:c r="G46" s="117"/>
      <x:c r="H46" s="117"/>
      <x:c r="I46" s="117"/>
      <x:c r="J46" s="117"/>
      <x:c r="K46" s="117"/>
      <x:c r="L46" s="117"/>
      <x:c r="M46" s="117"/>
      <x:c r="N46" s="117"/>
      <x:c r="O46" s="117"/>
      <x:c r="P46" s="117"/>
      <x:c r="Q46" s="117"/>
      <x:c r="R46" s="117"/>
      <x:c r="S46" s="117"/>
      <x:c r="T46" s="117"/>
      <x:c r="U46" s="117"/>
      <x:c r="V46" s="117"/>
      <x:c r="W46" s="117"/>
      <x:c r="X46" s="117"/>
      <x:c r="Y46" s="117"/>
      <x:c r="Z46" s="117"/>
    </x:row>
    <x:row r="47">
      <x:c r="A47" s="117"/>
      <x:c r="B47" s="117"/>
      <x:c r="C47" s="117"/>
      <x:c r="D47" s="117"/>
      <x:c r="E47" s="117"/>
      <x:c r="F47" s="117"/>
      <x:c r="G47" s="117"/>
      <x:c r="H47" s="117"/>
      <x:c r="I47" s="117"/>
      <x:c r="J47" s="117"/>
      <x:c r="K47" s="117"/>
      <x:c r="L47" s="117"/>
      <x:c r="M47" s="117"/>
      <x:c r="N47" s="117"/>
      <x:c r="O47" s="117"/>
      <x:c r="P47" s="117"/>
      <x:c r="Q47" s="117"/>
      <x:c r="R47" s="117"/>
      <x:c r="S47" s="117"/>
      <x:c r="T47" s="117"/>
      <x:c r="U47" s="117"/>
      <x:c r="V47" s="117"/>
      <x:c r="W47" s="117"/>
      <x:c r="X47" s="117"/>
      <x:c r="Y47" s="117"/>
      <x:c r="Z47" s="117"/>
    </x:row>
    <x:row r="48">
      <x:c r="A48" s="117"/>
      <x:c r="B48" s="117"/>
      <x:c r="C48" s="117"/>
      <x:c r="D48" s="117"/>
      <x:c r="E48" s="117"/>
      <x:c r="F48" s="117"/>
      <x:c r="G48" s="117"/>
      <x:c r="H48" s="117"/>
      <x:c r="I48" s="117"/>
      <x:c r="J48" s="117"/>
      <x:c r="K48" s="117"/>
      <x:c r="L48" s="117"/>
      <x:c r="M48" s="117"/>
      <x:c r="N48" s="117"/>
      <x:c r="O48" s="117"/>
      <x:c r="P48" s="117"/>
      <x:c r="Q48" s="117"/>
      <x:c r="R48" s="117"/>
      <x:c r="S48" s="117"/>
      <x:c r="T48" s="117"/>
      <x:c r="U48" s="117"/>
      <x:c r="V48" s="117"/>
      <x:c r="W48" s="117"/>
      <x:c r="X48" s="117"/>
      <x:c r="Y48" s="117"/>
      <x:c r="Z48" s="117"/>
    </x:row>
    <x:row r="49">
      <x:c r="A49" s="117"/>
      <x:c r="B49" s="117"/>
      <x:c r="C49" s="117"/>
      <x:c r="D49" s="117"/>
      <x:c r="E49" s="117"/>
      <x:c r="F49" s="117"/>
      <x:c r="G49" s="117"/>
      <x:c r="H49" s="117"/>
      <x:c r="I49" s="117"/>
      <x:c r="J49" s="117"/>
      <x:c r="K49" s="117"/>
      <x:c r="L49" s="117"/>
      <x:c r="M49" s="117"/>
      <x:c r="N49" s="117"/>
      <x:c r="O49" s="117"/>
      <x:c r="P49" s="117"/>
      <x:c r="Q49" s="117"/>
      <x:c r="R49" s="117"/>
      <x:c r="S49" s="117"/>
      <x:c r="T49" s="117"/>
      <x:c r="U49" s="117"/>
      <x:c r="V49" s="117"/>
      <x:c r="W49" s="117"/>
      <x:c r="X49" s="117"/>
      <x:c r="Y49" s="117"/>
      <x:c r="Z49" s="117"/>
    </x:row>
    <x:row r="50">
      <x:c r="A50" s="117"/>
      <x:c r="B50" s="117"/>
      <x:c r="C50" s="117"/>
      <x:c r="D50" s="117"/>
      <x:c r="E50" s="117"/>
      <x:c r="F50" s="117"/>
      <x:c r="G50" s="117"/>
      <x:c r="H50" s="117"/>
      <x:c r="I50" s="117"/>
      <x:c r="J50" s="117"/>
      <x:c r="K50" s="117"/>
      <x:c r="L50" s="117"/>
      <x:c r="M50" s="117"/>
      <x:c r="N50" s="117"/>
      <x:c r="O50" s="117"/>
      <x:c r="P50" s="117"/>
      <x:c r="Q50" s="117"/>
      <x:c r="R50" s="117"/>
      <x:c r="S50" s="117"/>
      <x:c r="T50" s="117"/>
      <x:c r="U50" s="117"/>
      <x:c r="V50" s="117"/>
      <x:c r="W50" s="117"/>
      <x:c r="X50" s="117"/>
      <x:c r="Y50" s="117"/>
      <x:c r="Z50" s="117"/>
    </x:row>
    <x:row r="51">
      <x:c r="A51" s="117"/>
      <x:c r="B51" s="117"/>
      <x:c r="C51" s="117"/>
      <x:c r="D51" s="117"/>
      <x:c r="E51" s="117"/>
      <x:c r="F51" s="117"/>
      <x:c r="G51" s="117"/>
      <x:c r="H51" s="117"/>
      <x:c r="I51" s="117"/>
      <x:c r="J51" s="117"/>
      <x:c r="K51" s="117"/>
      <x:c r="L51" s="117"/>
      <x:c r="M51" s="117"/>
      <x:c r="N51" s="117"/>
      <x:c r="O51" s="117"/>
      <x:c r="P51" s="117"/>
      <x:c r="Q51" s="117"/>
      <x:c r="R51" s="117"/>
      <x:c r="S51" s="117"/>
      <x:c r="T51" s="117"/>
      <x:c r="U51" s="117"/>
      <x:c r="V51" s="117"/>
      <x:c r="W51" s="117"/>
      <x:c r="X51" s="117"/>
      <x:c r="Y51" s="117"/>
      <x:c r="Z51" s="117"/>
    </x:row>
    <x:row r="52">
      <x:c r="A52" s="117"/>
      <x:c r="B52" s="117"/>
      <x:c r="C52" s="117"/>
      <x:c r="D52" s="117"/>
      <x:c r="E52" s="117"/>
      <x:c r="F52" s="117"/>
      <x:c r="G52" s="117"/>
      <x:c r="H52" s="117"/>
      <x:c r="I52" s="117"/>
      <x:c r="J52" s="117"/>
      <x:c r="K52" s="117"/>
      <x:c r="L52" s="117"/>
      <x:c r="M52" s="117"/>
      <x:c r="N52" s="117"/>
      <x:c r="O52" s="117"/>
      <x:c r="P52" s="117"/>
      <x:c r="Q52" s="117"/>
      <x:c r="R52" s="117"/>
      <x:c r="S52" s="117"/>
      <x:c r="T52" s="117"/>
      <x:c r="U52" s="117"/>
      <x:c r="V52" s="117"/>
      <x:c r="W52" s="117"/>
      <x:c r="X52" s="117"/>
      <x:c r="Y52" s="117"/>
      <x:c r="Z52" s="117"/>
    </x:row>
    <x:row r="53">
      <x:c r="A53" s="117"/>
      <x:c r="B53" s="117"/>
      <x:c r="C53" s="117"/>
      <x:c r="D53" s="117"/>
      <x:c r="E53" s="117"/>
      <x:c r="F53" s="117"/>
      <x:c r="G53" s="117"/>
      <x:c r="H53" s="117"/>
      <x:c r="I53" s="117"/>
      <x:c r="J53" s="117"/>
      <x:c r="K53" s="117"/>
      <x:c r="L53" s="117"/>
      <x:c r="M53" s="117"/>
      <x:c r="N53" s="117"/>
      <x:c r="O53" s="117"/>
      <x:c r="P53" s="117"/>
      <x:c r="Q53" s="117"/>
      <x:c r="R53" s="117"/>
      <x:c r="S53" s="117"/>
      <x:c r="T53" s="117"/>
      <x:c r="U53" s="117"/>
      <x:c r="V53" s="117"/>
      <x:c r="W53" s="117"/>
      <x:c r="X53" s="117"/>
      <x:c r="Y53" s="117"/>
      <x:c r="Z53" s="117"/>
    </x:row>
    <x:row r="54">
      <x:c r="A54" s="117"/>
      <x:c r="B54" s="117"/>
      <x:c r="C54" s="117"/>
      <x:c r="D54" s="117"/>
      <x:c r="E54" s="117"/>
      <x:c r="F54" s="117"/>
      <x:c r="G54" s="117"/>
      <x:c r="H54" s="117"/>
      <x:c r="I54" s="117"/>
      <x:c r="J54" s="117"/>
      <x:c r="K54" s="117"/>
      <x:c r="L54" s="117"/>
      <x:c r="M54" s="117"/>
      <x:c r="N54" s="117"/>
      <x:c r="O54" s="117"/>
      <x:c r="P54" s="117"/>
      <x:c r="Q54" s="117"/>
      <x:c r="R54" s="117"/>
      <x:c r="S54" s="117"/>
      <x:c r="T54" s="117"/>
      <x:c r="U54" s="117"/>
      <x:c r="V54" s="117"/>
      <x:c r="W54" s="117"/>
      <x:c r="X54" s="117"/>
      <x:c r="Y54" s="117"/>
      <x:c r="Z54" s="117"/>
    </x:row>
    <x:row r="55">
      <x:c r="A55" s="117"/>
      <x:c r="B55" s="117"/>
      <x:c r="C55" s="117"/>
      <x:c r="D55" s="117"/>
      <x:c r="E55" s="117"/>
      <x:c r="F55" s="117"/>
      <x:c r="G55" s="117"/>
      <x:c r="H55" s="117"/>
      <x:c r="I55" s="117"/>
      <x:c r="J55" s="117"/>
      <x:c r="K55" s="117"/>
      <x:c r="L55" s="117"/>
      <x:c r="M55" s="117"/>
      <x:c r="N55" s="117"/>
      <x:c r="O55" s="117"/>
      <x:c r="P55" s="117"/>
      <x:c r="Q55" s="117"/>
      <x:c r="R55" s="117"/>
      <x:c r="S55" s="117"/>
      <x:c r="T55" s="117"/>
      <x:c r="U55" s="117"/>
      <x:c r="V55" s="117"/>
      <x:c r="W55" s="117"/>
      <x:c r="X55" s="117"/>
      <x:c r="Y55" s="117"/>
      <x:c r="Z55" s="117"/>
    </x:row>
    <x:row r="56">
      <x:c r="A56" s="117"/>
      <x:c r="B56" s="117"/>
      <x:c r="C56" s="117"/>
      <x:c r="D56" s="117"/>
      <x:c r="E56" s="117"/>
      <x:c r="F56" s="117"/>
      <x:c r="G56" s="117"/>
      <x:c r="H56" s="117"/>
      <x:c r="I56" s="117"/>
      <x:c r="J56" s="117"/>
      <x:c r="K56" s="117"/>
      <x:c r="L56" s="117"/>
      <x:c r="M56" s="117"/>
      <x:c r="N56" s="117"/>
      <x:c r="O56" s="117"/>
      <x:c r="P56" s="117"/>
      <x:c r="Q56" s="117"/>
      <x:c r="R56" s="117"/>
      <x:c r="S56" s="117"/>
      <x:c r="T56" s="117"/>
      <x:c r="U56" s="117"/>
      <x:c r="V56" s="117"/>
      <x:c r="W56" s="117"/>
      <x:c r="X56" s="117"/>
      <x:c r="Y56" s="117"/>
      <x:c r="Z56" s="117"/>
    </x:row>
    <x:row r="57">
      <x:c r="A57" s="117"/>
      <x:c r="B57" s="117"/>
      <x:c r="C57" s="117"/>
      <x:c r="D57" s="117"/>
      <x:c r="E57" s="117"/>
      <x:c r="F57" s="117"/>
      <x:c r="G57" s="117"/>
      <x:c r="H57" s="117"/>
      <x:c r="I57" s="117"/>
      <x:c r="J57" s="117"/>
      <x:c r="K57" s="117"/>
      <x:c r="L57" s="117"/>
      <x:c r="M57" s="117"/>
      <x:c r="N57" s="117"/>
      <x:c r="O57" s="117"/>
      <x:c r="P57" s="117"/>
      <x:c r="Q57" s="117"/>
      <x:c r="R57" s="117"/>
      <x:c r="S57" s="117"/>
      <x:c r="T57" s="117"/>
      <x:c r="U57" s="117"/>
      <x:c r="V57" s="117"/>
      <x:c r="W57" s="117"/>
      <x:c r="X57" s="117"/>
      <x:c r="Y57" s="117"/>
      <x:c r="Z57" s="117"/>
    </x:row>
    <x:row r="58">
      <x:c r="A58" s="117"/>
      <x:c r="B58" s="117"/>
      <x:c r="C58" s="117"/>
      <x:c r="D58" s="117"/>
      <x:c r="E58" s="117"/>
      <x:c r="F58" s="117"/>
      <x:c r="G58" s="117"/>
      <x:c r="H58" s="117"/>
      <x:c r="I58" s="117"/>
      <x:c r="J58" s="117"/>
      <x:c r="K58" s="117"/>
      <x:c r="L58" s="117"/>
      <x:c r="M58" s="117"/>
      <x:c r="N58" s="117"/>
      <x:c r="O58" s="117"/>
      <x:c r="P58" s="117"/>
      <x:c r="Q58" s="117"/>
      <x:c r="R58" s="117"/>
      <x:c r="S58" s="117"/>
      <x:c r="T58" s="117"/>
      <x:c r="U58" s="117"/>
      <x:c r="V58" s="117"/>
      <x:c r="W58" s="117"/>
      <x:c r="X58" s="117"/>
      <x:c r="Y58" s="117"/>
      <x:c r="Z58" s="117"/>
    </x:row>
    <x:row r="59">
      <x:c r="A59" s="117"/>
      <x:c r="B59" s="117"/>
      <x:c r="C59" s="117"/>
      <x:c r="D59" s="117"/>
      <x:c r="E59" s="117"/>
      <x:c r="F59" s="117"/>
      <x:c r="G59" s="117"/>
      <x:c r="H59" s="117"/>
      <x:c r="I59" s="117"/>
      <x:c r="J59" s="117"/>
      <x:c r="K59" s="117"/>
      <x:c r="L59" s="117"/>
      <x:c r="M59" s="117"/>
      <x:c r="N59" s="117"/>
      <x:c r="O59" s="117"/>
      <x:c r="P59" s="117"/>
      <x:c r="Q59" s="117"/>
      <x:c r="R59" s="117"/>
      <x:c r="S59" s="117"/>
      <x:c r="T59" s="117"/>
      <x:c r="U59" s="117"/>
      <x:c r="V59" s="117"/>
      <x:c r="W59" s="117"/>
      <x:c r="X59" s="117"/>
      <x:c r="Y59" s="117"/>
      <x:c r="Z59" s="117"/>
    </x:row>
    <x:row r="60">
      <x:c r="A60" s="117"/>
      <x:c r="B60" s="117"/>
      <x:c r="C60" s="117"/>
      <x:c r="D60" s="117"/>
      <x:c r="E60" s="117"/>
      <x:c r="F60" s="117"/>
      <x:c r="G60" s="117"/>
      <x:c r="H60" s="117"/>
      <x:c r="I60" s="117"/>
      <x:c r="J60" s="117"/>
      <x:c r="K60" s="117"/>
      <x:c r="L60" s="117"/>
      <x:c r="M60" s="117"/>
      <x:c r="N60" s="117"/>
      <x:c r="O60" s="117"/>
      <x:c r="P60" s="117"/>
      <x:c r="Q60" s="117"/>
      <x:c r="R60" s="117"/>
      <x:c r="S60" s="117"/>
      <x:c r="T60" s="117"/>
      <x:c r="U60" s="117"/>
      <x:c r="V60" s="117"/>
      <x:c r="W60" s="117"/>
      <x:c r="X60" s="117"/>
      <x:c r="Y60" s="117"/>
      <x:c r="Z60" s="117"/>
    </x:row>
    <x:row r="61">
      <x:c r="A61" s="117"/>
      <x:c r="B61" s="117"/>
      <x:c r="C61" s="117"/>
      <x:c r="D61" s="117"/>
      <x:c r="E61" s="117"/>
      <x:c r="F61" s="117"/>
      <x:c r="G61" s="117"/>
      <x:c r="H61" s="117"/>
      <x:c r="I61" s="117"/>
      <x:c r="J61" s="117"/>
      <x:c r="K61" s="117"/>
      <x:c r="L61" s="117"/>
      <x:c r="M61" s="117"/>
      <x:c r="N61" s="117"/>
      <x:c r="O61" s="117"/>
      <x:c r="P61" s="117"/>
      <x:c r="Q61" s="117"/>
      <x:c r="R61" s="117"/>
      <x:c r="S61" s="117"/>
      <x:c r="T61" s="117"/>
      <x:c r="U61" s="117"/>
      <x:c r="V61" s="117"/>
      <x:c r="W61" s="117"/>
      <x:c r="X61" s="117"/>
      <x:c r="Y61" s="117"/>
      <x:c r="Z61" s="117"/>
    </x:row>
    <x:row r="62">
      <x:c r="A62" s="117"/>
      <x:c r="B62" s="117"/>
      <x:c r="C62" s="117"/>
      <x:c r="D62" s="117"/>
      <x:c r="E62" s="117"/>
      <x:c r="F62" s="117"/>
      <x:c r="G62" s="117"/>
      <x:c r="H62" s="117"/>
      <x:c r="I62" s="117"/>
      <x:c r="J62" s="117"/>
      <x:c r="K62" s="117"/>
      <x:c r="L62" s="117"/>
      <x:c r="M62" s="117"/>
      <x:c r="N62" s="117"/>
      <x:c r="O62" s="117"/>
      <x:c r="P62" s="117"/>
      <x:c r="Q62" s="117"/>
      <x:c r="R62" s="117"/>
      <x:c r="S62" s="117"/>
      <x:c r="T62" s="117"/>
      <x:c r="U62" s="117"/>
      <x:c r="V62" s="117"/>
      <x:c r="W62" s="117"/>
      <x:c r="X62" s="117"/>
      <x:c r="Y62" s="117"/>
      <x:c r="Z62" s="117"/>
    </x:row>
    <x:row r="63">
      <x:c r="A63" s="117"/>
      <x:c r="B63" s="117"/>
      <x:c r="C63" s="117"/>
      <x:c r="D63" s="117"/>
      <x:c r="E63" s="117"/>
      <x:c r="F63" s="117"/>
      <x:c r="G63" s="117"/>
      <x:c r="H63" s="117"/>
      <x:c r="I63" s="117"/>
      <x:c r="J63" s="117"/>
      <x:c r="K63" s="117"/>
      <x:c r="L63" s="117"/>
      <x:c r="M63" s="117"/>
      <x:c r="N63" s="117"/>
      <x:c r="O63" s="117"/>
      <x:c r="P63" s="117"/>
      <x:c r="Q63" s="117"/>
      <x:c r="R63" s="117"/>
      <x:c r="S63" s="117"/>
      <x:c r="T63" s="117"/>
      <x:c r="U63" s="117"/>
      <x:c r="V63" s="117"/>
      <x:c r="W63" s="117"/>
      <x:c r="X63" s="117"/>
      <x:c r="Y63" s="117"/>
      <x:c r="Z63" s="117"/>
    </x:row>
    <x:row r="64">
      <x:c r="A64" s="117"/>
      <x:c r="B64" s="117"/>
      <x:c r="C64" s="117"/>
      <x:c r="D64" s="117"/>
      <x:c r="E64" s="117"/>
      <x:c r="F64" s="117"/>
      <x:c r="G64" s="117"/>
      <x:c r="H64" s="117"/>
      <x:c r="I64" s="117"/>
      <x:c r="J64" s="117"/>
      <x:c r="K64" s="117"/>
      <x:c r="L64" s="117"/>
      <x:c r="M64" s="117"/>
      <x:c r="N64" s="117"/>
      <x:c r="O64" s="117"/>
      <x:c r="P64" s="117"/>
      <x:c r="Q64" s="117"/>
      <x:c r="R64" s="117"/>
      <x:c r="S64" s="117"/>
      <x:c r="T64" s="117"/>
      <x:c r="U64" s="117"/>
      <x:c r="V64" s="117"/>
      <x:c r="W64" s="117"/>
      <x:c r="X64" s="117"/>
      <x:c r="Y64" s="117"/>
      <x:c r="Z64" s="117"/>
    </x:row>
    <x:row r="65">
      <x:c r="A65" s="117"/>
      <x:c r="B65" s="117"/>
      <x:c r="C65" s="117"/>
      <x:c r="D65" s="117"/>
      <x:c r="E65" s="117"/>
      <x:c r="F65" s="117"/>
      <x:c r="G65" s="117"/>
      <x:c r="H65" s="117"/>
      <x:c r="I65" s="117"/>
      <x:c r="J65" s="117"/>
      <x:c r="K65" s="117"/>
      <x:c r="L65" s="117"/>
      <x:c r="M65" s="117"/>
      <x:c r="N65" s="117"/>
      <x:c r="O65" s="117"/>
      <x:c r="P65" s="117"/>
      <x:c r="Q65" s="117"/>
      <x:c r="R65" s="117"/>
      <x:c r="S65" s="117"/>
      <x:c r="T65" s="117"/>
      <x:c r="U65" s="117"/>
      <x:c r="V65" s="117"/>
      <x:c r="W65" s="117"/>
      <x:c r="X65" s="117"/>
      <x:c r="Y65" s="117"/>
      <x:c r="Z65" s="117"/>
    </x:row>
    <x:row r="66">
      <x:c r="A66" s="117"/>
      <x:c r="B66" s="117"/>
      <x:c r="C66" s="117"/>
      <x:c r="D66" s="117"/>
      <x:c r="E66" s="117"/>
      <x:c r="F66" s="117"/>
      <x:c r="G66" s="117"/>
      <x:c r="H66" s="117"/>
      <x:c r="I66" s="117"/>
      <x:c r="J66" s="117"/>
      <x:c r="K66" s="117"/>
      <x:c r="L66" s="117"/>
      <x:c r="M66" s="117"/>
      <x:c r="N66" s="117"/>
      <x:c r="O66" s="117"/>
      <x:c r="P66" s="117"/>
      <x:c r="Q66" s="117"/>
      <x:c r="R66" s="117"/>
      <x:c r="S66" s="117"/>
      <x:c r="T66" s="117"/>
      <x:c r="U66" s="117"/>
      <x:c r="V66" s="117"/>
      <x:c r="W66" s="117"/>
      <x:c r="X66" s="117"/>
      <x:c r="Y66" s="117"/>
      <x:c r="Z66" s="117"/>
    </x:row>
    <x:row r="67">
      <x:c r="A67" s="117"/>
      <x:c r="B67" s="117"/>
      <x:c r="C67" s="117"/>
      <x:c r="D67" s="117"/>
      <x:c r="E67" s="117"/>
      <x:c r="F67" s="117"/>
      <x:c r="G67" s="117"/>
      <x:c r="H67" s="117"/>
      <x:c r="I67" s="117"/>
      <x:c r="J67" s="117"/>
      <x:c r="K67" s="117"/>
      <x:c r="L67" s="117"/>
      <x:c r="M67" s="117"/>
      <x:c r="N67" s="117"/>
      <x:c r="O67" s="117"/>
      <x:c r="P67" s="117"/>
      <x:c r="Q67" s="117"/>
      <x:c r="R67" s="117"/>
      <x:c r="S67" s="117"/>
      <x:c r="T67" s="117"/>
      <x:c r="U67" s="117"/>
      <x:c r="V67" s="117"/>
      <x:c r="W67" s="117"/>
      <x:c r="X67" s="117"/>
      <x:c r="Y67" s="117"/>
      <x:c r="Z67" s="117"/>
    </x:row>
    <x:row r="68">
      <x:c r="A68" s="117"/>
      <x:c r="B68" s="117"/>
      <x:c r="C68" s="117"/>
      <x:c r="D68" s="117"/>
      <x:c r="E68" s="117"/>
      <x:c r="F68" s="117"/>
      <x:c r="G68" s="117"/>
      <x:c r="H68" s="117"/>
      <x:c r="I68" s="117"/>
      <x:c r="J68" s="117"/>
      <x:c r="K68" s="117"/>
      <x:c r="L68" s="117"/>
      <x:c r="M68" s="117"/>
      <x:c r="N68" s="117"/>
      <x:c r="O68" s="117"/>
      <x:c r="P68" s="117"/>
      <x:c r="Q68" s="117"/>
      <x:c r="R68" s="117"/>
      <x:c r="S68" s="117"/>
      <x:c r="T68" s="117"/>
      <x:c r="U68" s="117"/>
      <x:c r="V68" s="117"/>
      <x:c r="W68" s="117"/>
      <x:c r="X68" s="117"/>
      <x:c r="Y68" s="117"/>
      <x:c r="Z68" s="117"/>
    </x:row>
    <x:row r="69">
      <x:c r="A69" s="117"/>
      <x:c r="B69" s="117"/>
      <x:c r="C69" s="117"/>
      <x:c r="D69" s="117"/>
      <x:c r="E69" s="117"/>
      <x:c r="F69" s="117"/>
      <x:c r="G69" s="117"/>
      <x:c r="H69" s="117"/>
      <x:c r="I69" s="117"/>
      <x:c r="J69" s="117"/>
      <x:c r="K69" s="117"/>
      <x:c r="L69" s="117"/>
      <x:c r="M69" s="117"/>
      <x:c r="N69" s="117"/>
      <x:c r="O69" s="117"/>
      <x:c r="P69" s="117"/>
      <x:c r="Q69" s="117"/>
      <x:c r="R69" s="117"/>
      <x:c r="S69" s="117"/>
      <x:c r="T69" s="117"/>
      <x:c r="U69" s="117"/>
      <x:c r="V69" s="117"/>
      <x:c r="W69" s="117"/>
      <x:c r="X69" s="117"/>
      <x:c r="Y69" s="117"/>
      <x:c r="Z69" s="117"/>
    </x:row>
    <x:row r="70">
      <x:c r="A70" s="117"/>
      <x:c r="B70" s="117"/>
      <x:c r="C70" s="117"/>
      <x:c r="D70" s="117"/>
      <x:c r="E70" s="117"/>
      <x:c r="F70" s="117"/>
      <x:c r="G70" s="117"/>
      <x:c r="H70" s="117"/>
      <x:c r="I70" s="117"/>
      <x:c r="J70" s="117"/>
      <x:c r="K70" s="117"/>
      <x:c r="L70" s="117"/>
      <x:c r="M70" s="117"/>
      <x:c r="N70" s="117"/>
      <x:c r="O70" s="117"/>
      <x:c r="P70" s="117"/>
      <x:c r="Q70" s="117"/>
      <x:c r="R70" s="117"/>
      <x:c r="S70" s="117"/>
      <x:c r="T70" s="117"/>
      <x:c r="U70" s="117"/>
      <x:c r="V70" s="117"/>
      <x:c r="W70" s="117"/>
      <x:c r="X70" s="117"/>
      <x:c r="Y70" s="117"/>
      <x:c r="Z70" s="117"/>
    </x:row>
    <x:row r="71">
      <x:c r="A71" s="117"/>
      <x:c r="B71" s="117"/>
      <x:c r="C71" s="117"/>
      <x:c r="D71" s="117"/>
      <x:c r="E71" s="117"/>
      <x:c r="F71" s="117"/>
      <x:c r="G71" s="117"/>
      <x:c r="H71" s="117"/>
      <x:c r="I71" s="117"/>
      <x:c r="J71" s="117"/>
      <x:c r="K71" s="117"/>
      <x:c r="L71" s="117"/>
      <x:c r="M71" s="117"/>
      <x:c r="N71" s="117"/>
      <x:c r="O71" s="117"/>
      <x:c r="P71" s="117"/>
      <x:c r="Q71" s="117"/>
      <x:c r="R71" s="117"/>
      <x:c r="S71" s="117"/>
      <x:c r="T71" s="117"/>
      <x:c r="U71" s="117"/>
      <x:c r="V71" s="117"/>
      <x:c r="W71" s="117"/>
      <x:c r="X71" s="117"/>
      <x:c r="Y71" s="117"/>
      <x:c r="Z71" s="117"/>
    </x:row>
    <x:row r="72">
      <x:c r="A72" s="117"/>
      <x:c r="B72" s="117"/>
      <x:c r="C72" s="117"/>
      <x:c r="D72" s="117"/>
      <x:c r="E72" s="117"/>
      <x:c r="F72" s="117"/>
      <x:c r="G72" s="117"/>
      <x:c r="H72" s="117"/>
      <x:c r="I72" s="117"/>
      <x:c r="J72" s="117"/>
      <x:c r="K72" s="117"/>
      <x:c r="L72" s="117"/>
      <x:c r="M72" s="117"/>
      <x:c r="N72" s="117"/>
      <x:c r="O72" s="117"/>
      <x:c r="P72" s="117"/>
      <x:c r="Q72" s="117"/>
      <x:c r="R72" s="117"/>
      <x:c r="S72" s="117"/>
      <x:c r="T72" s="117"/>
      <x:c r="U72" s="117"/>
      <x:c r="V72" s="117"/>
      <x:c r="W72" s="117"/>
      <x:c r="X72" s="117"/>
      <x:c r="Y72" s="117"/>
      <x:c r="Z72" s="117"/>
    </x:row>
    <x:row r="73">
      <x:c r="A73" s="117"/>
      <x:c r="B73" s="117"/>
      <x:c r="C73" s="117"/>
      <x:c r="D73" s="117"/>
      <x:c r="E73" s="117"/>
      <x:c r="F73" s="117"/>
      <x:c r="G73" s="117"/>
      <x:c r="H73" s="117"/>
      <x:c r="I73" s="117"/>
      <x:c r="J73" s="117"/>
      <x:c r="K73" s="117"/>
      <x:c r="L73" s="117"/>
      <x:c r="M73" s="117"/>
      <x:c r="N73" s="117"/>
      <x:c r="O73" s="117"/>
      <x:c r="P73" s="117"/>
      <x:c r="Q73" s="117"/>
      <x:c r="R73" s="117"/>
      <x:c r="S73" s="117"/>
      <x:c r="T73" s="117"/>
      <x:c r="U73" s="117"/>
      <x:c r="V73" s="117"/>
      <x:c r="W73" s="117"/>
      <x:c r="X73" s="117"/>
      <x:c r="Y73" s="117"/>
      <x:c r="Z73" s="117"/>
    </x:row>
    <x:row r="74">
      <x:c r="A74" s="117"/>
      <x:c r="B74" s="117"/>
      <x:c r="C74" s="117"/>
      <x:c r="D74" s="117"/>
      <x:c r="E74" s="117"/>
      <x:c r="F74" s="117"/>
      <x:c r="G74" s="117"/>
      <x:c r="H74" s="117"/>
      <x:c r="I74" s="117"/>
      <x:c r="J74" s="117"/>
      <x:c r="K74" s="117"/>
      <x:c r="L74" s="117"/>
      <x:c r="M74" s="117"/>
      <x:c r="N74" s="117"/>
      <x:c r="O74" s="117"/>
      <x:c r="P74" s="117"/>
      <x:c r="Q74" s="117"/>
      <x:c r="R74" s="117"/>
      <x:c r="S74" s="117"/>
      <x:c r="T74" s="117"/>
      <x:c r="U74" s="117"/>
      <x:c r="V74" s="117"/>
      <x:c r="W74" s="117"/>
      <x:c r="X74" s="117"/>
      <x:c r="Y74" s="117"/>
      <x:c r="Z74" s="117"/>
    </x:row>
    <x:row r="75">
      <x:c r="A75" s="117"/>
      <x:c r="B75" s="117"/>
      <x:c r="C75" s="117"/>
      <x:c r="D75" s="117"/>
      <x:c r="E75" s="117"/>
      <x:c r="F75" s="117"/>
      <x:c r="G75" s="117"/>
      <x:c r="H75" s="117"/>
      <x:c r="I75" s="117"/>
      <x:c r="J75" s="117"/>
      <x:c r="K75" s="117"/>
      <x:c r="L75" s="117"/>
      <x:c r="M75" s="117"/>
      <x:c r="N75" s="117"/>
      <x:c r="O75" s="117"/>
      <x:c r="P75" s="117"/>
      <x:c r="Q75" s="117"/>
      <x:c r="R75" s="117"/>
      <x:c r="S75" s="117"/>
      <x:c r="T75" s="117"/>
      <x:c r="U75" s="117"/>
      <x:c r="V75" s="117"/>
      <x:c r="W75" s="117"/>
      <x:c r="X75" s="117"/>
      <x:c r="Y75" s="117"/>
      <x:c r="Z75" s="117"/>
    </x:row>
    <x:row r="76">
      <x:c r="A76" s="117"/>
      <x:c r="B76" s="117"/>
      <x:c r="C76" s="117"/>
      <x:c r="D76" s="117"/>
      <x:c r="E76" s="117"/>
      <x:c r="F76" s="117"/>
      <x:c r="G76" s="117"/>
      <x:c r="H76" s="117"/>
      <x:c r="I76" s="117"/>
      <x:c r="J76" s="117"/>
      <x:c r="K76" s="117"/>
      <x:c r="L76" s="117"/>
      <x:c r="M76" s="117"/>
      <x:c r="N76" s="117"/>
      <x:c r="O76" s="117"/>
      <x:c r="P76" s="117"/>
      <x:c r="Q76" s="117"/>
      <x:c r="R76" s="117"/>
      <x:c r="S76" s="117"/>
      <x:c r="T76" s="117"/>
      <x:c r="U76" s="117"/>
      <x:c r="V76" s="117"/>
      <x:c r="W76" s="117"/>
      <x:c r="X76" s="117"/>
      <x:c r="Y76" s="117"/>
      <x:c r="Z76" s="117"/>
    </x:row>
    <x:row r="77">
      <x:c r="A77" s="117"/>
      <x:c r="B77" s="117"/>
      <x:c r="C77" s="117"/>
      <x:c r="D77" s="117"/>
      <x:c r="E77" s="117"/>
      <x:c r="F77" s="117"/>
      <x:c r="G77" s="117"/>
      <x:c r="H77" s="117"/>
      <x:c r="I77" s="117"/>
      <x:c r="J77" s="117"/>
      <x:c r="K77" s="117"/>
      <x:c r="L77" s="117"/>
      <x:c r="M77" s="117"/>
      <x:c r="N77" s="117"/>
      <x:c r="O77" s="117"/>
      <x:c r="P77" s="117"/>
      <x:c r="Q77" s="117"/>
      <x:c r="R77" s="117"/>
      <x:c r="S77" s="117"/>
      <x:c r="T77" s="117"/>
      <x:c r="U77" s="117"/>
      <x:c r="V77" s="117"/>
      <x:c r="W77" s="117"/>
      <x:c r="X77" s="117"/>
      <x:c r="Y77" s="117"/>
      <x:c r="Z77" s="117"/>
    </x:row>
    <x:row r="78">
      <x:c r="A78" s="117"/>
      <x:c r="B78" s="117"/>
      <x:c r="C78" s="117"/>
      <x:c r="D78" s="117"/>
      <x:c r="E78" s="117"/>
      <x:c r="F78" s="117"/>
      <x:c r="G78" s="117"/>
      <x:c r="H78" s="117"/>
      <x:c r="I78" s="117"/>
      <x:c r="J78" s="117"/>
      <x:c r="K78" s="117"/>
      <x:c r="L78" s="117"/>
      <x:c r="M78" s="117"/>
      <x:c r="N78" s="117"/>
      <x:c r="O78" s="117"/>
      <x:c r="P78" s="117"/>
      <x:c r="Q78" s="117"/>
      <x:c r="R78" s="117"/>
      <x:c r="S78" s="117"/>
      <x:c r="T78" s="117"/>
      <x:c r="U78" s="117"/>
      <x:c r="V78" s="117"/>
      <x:c r="W78" s="117"/>
      <x:c r="X78" s="117"/>
      <x:c r="Y78" s="117"/>
      <x:c r="Z78" s="117"/>
    </x:row>
    <x:row r="79">
      <x:c r="A79" s="117"/>
      <x:c r="B79" s="117"/>
      <x:c r="C79" s="117"/>
      <x:c r="D79" s="117"/>
      <x:c r="E79" s="117"/>
      <x:c r="F79" s="117"/>
      <x:c r="G79" s="117"/>
      <x:c r="H79" s="117"/>
      <x:c r="I79" s="117"/>
      <x:c r="J79" s="117"/>
      <x:c r="K79" s="117"/>
      <x:c r="L79" s="117"/>
      <x:c r="M79" s="117"/>
      <x:c r="N79" s="117"/>
      <x:c r="O79" s="117"/>
      <x:c r="P79" s="117"/>
      <x:c r="Q79" s="117"/>
      <x:c r="R79" s="117"/>
      <x:c r="S79" s="117"/>
      <x:c r="T79" s="117"/>
      <x:c r="U79" s="117"/>
      <x:c r="V79" s="117"/>
      <x:c r="W79" s="117"/>
      <x:c r="X79" s="117"/>
      <x:c r="Y79" s="117"/>
      <x:c r="Z79" s="117"/>
    </x:row>
    <x:row r="80">
      <x:c r="A80" s="117"/>
      <x:c r="B80" s="117"/>
      <x:c r="C80" s="117"/>
      <x:c r="D80" s="117"/>
      <x:c r="E80" s="117"/>
      <x:c r="F80" s="117"/>
      <x:c r="G80" s="117"/>
      <x:c r="H80" s="117"/>
      <x:c r="I80" s="117"/>
      <x:c r="J80" s="117"/>
      <x:c r="K80" s="117"/>
      <x:c r="L80" s="117"/>
      <x:c r="M80" s="117"/>
      <x:c r="N80" s="117"/>
      <x:c r="O80" s="117"/>
      <x:c r="P80" s="117"/>
      <x:c r="Q80" s="117"/>
      <x:c r="R80" s="117"/>
      <x:c r="S80" s="117"/>
      <x:c r="T80" s="117"/>
      <x:c r="U80" s="117"/>
      <x:c r="V80" s="117"/>
      <x:c r="W80" s="117"/>
      <x:c r="X80" s="117"/>
      <x:c r="Y80" s="117"/>
      <x:c r="Z80" s="117"/>
    </x:row>
    <x:row r="81">
      <x:c r="A81" s="117"/>
      <x:c r="B81" s="117"/>
      <x:c r="C81" s="117"/>
      <x:c r="D81" s="117"/>
      <x:c r="E81" s="117"/>
      <x:c r="F81" s="117"/>
      <x:c r="G81" s="117"/>
      <x:c r="H81" s="117"/>
      <x:c r="I81" s="117"/>
      <x:c r="J81" s="117"/>
      <x:c r="K81" s="117"/>
      <x:c r="L81" s="117"/>
      <x:c r="M81" s="117"/>
      <x:c r="N81" s="117"/>
      <x:c r="O81" s="117"/>
      <x:c r="P81" s="117"/>
      <x:c r="Q81" s="117"/>
      <x:c r="R81" s="117"/>
      <x:c r="S81" s="117"/>
      <x:c r="T81" s="117"/>
      <x:c r="U81" s="117"/>
      <x:c r="V81" s="117"/>
      <x:c r="W81" s="117"/>
      <x:c r="X81" s="117"/>
      <x:c r="Y81" s="117"/>
      <x:c r="Z81" s="117"/>
    </x:row>
    <x:row r="82">
      <x:c r="A82" s="117"/>
      <x:c r="B82" s="117"/>
      <x:c r="C82" s="117"/>
      <x:c r="D82" s="117"/>
      <x:c r="E82" s="117"/>
      <x:c r="F82" s="117"/>
      <x:c r="G82" s="117"/>
      <x:c r="H82" s="117"/>
      <x:c r="I82" s="117"/>
      <x:c r="J82" s="117"/>
      <x:c r="K82" s="117"/>
      <x:c r="L82" s="117"/>
      <x:c r="M82" s="117"/>
      <x:c r="N82" s="117"/>
      <x:c r="O82" s="117"/>
      <x:c r="P82" s="117"/>
      <x:c r="Q82" s="117"/>
      <x:c r="R82" s="117"/>
      <x:c r="S82" s="117"/>
      <x:c r="T82" s="117"/>
      <x:c r="U82" s="117"/>
      <x:c r="V82" s="117"/>
      <x:c r="W82" s="117"/>
      <x:c r="X82" s="117"/>
      <x:c r="Y82" s="117"/>
      <x:c r="Z82" s="117"/>
    </x:row>
    <x:row r="83">
      <x:c r="A83" s="117"/>
      <x:c r="B83" s="117"/>
      <x:c r="C83" s="117"/>
      <x:c r="D83" s="117"/>
      <x:c r="E83" s="117"/>
      <x:c r="F83" s="117"/>
      <x:c r="G83" s="117"/>
      <x:c r="H83" s="117"/>
      <x:c r="I83" s="117"/>
      <x:c r="J83" s="117"/>
      <x:c r="K83" s="117"/>
      <x:c r="L83" s="117"/>
      <x:c r="M83" s="117"/>
      <x:c r="N83" s="117"/>
      <x:c r="O83" s="117"/>
      <x:c r="P83" s="117"/>
      <x:c r="Q83" s="117"/>
      <x:c r="R83" s="117"/>
      <x:c r="S83" s="117"/>
      <x:c r="T83" s="117"/>
      <x:c r="U83" s="117"/>
      <x:c r="V83" s="117"/>
      <x:c r="W83" s="117"/>
      <x:c r="X83" s="117"/>
      <x:c r="Y83" s="117"/>
      <x:c r="Z83" s="117"/>
    </x:row>
    <x:row r="84">
      <x:c r="A84" s="117"/>
      <x:c r="B84" s="117"/>
      <x:c r="C84" s="117"/>
      <x:c r="D84" s="117"/>
      <x:c r="E84" s="117"/>
      <x:c r="F84" s="117"/>
      <x:c r="G84" s="117"/>
      <x:c r="H84" s="117"/>
      <x:c r="I84" s="117"/>
      <x:c r="J84" s="117"/>
      <x:c r="K84" s="117"/>
      <x:c r="L84" s="117"/>
      <x:c r="M84" s="117"/>
      <x:c r="N84" s="117"/>
      <x:c r="O84" s="117"/>
      <x:c r="P84" s="117"/>
      <x:c r="Q84" s="117"/>
      <x:c r="R84" s="117"/>
      <x:c r="S84" s="117"/>
      <x:c r="T84" s="117"/>
      <x:c r="U84" s="117"/>
      <x:c r="V84" s="117"/>
      <x:c r="W84" s="117"/>
      <x:c r="X84" s="117"/>
      <x:c r="Y84" s="117"/>
      <x:c r="Z84" s="117"/>
    </x:row>
    <x:row r="85">
      <x:c r="A85" s="117"/>
      <x:c r="B85" s="117"/>
      <x:c r="C85" s="117"/>
      <x:c r="D85" s="117"/>
      <x:c r="E85" s="117"/>
      <x:c r="F85" s="117"/>
      <x:c r="G85" s="117"/>
      <x:c r="H85" s="117"/>
      <x:c r="I85" s="117"/>
      <x:c r="J85" s="117"/>
      <x:c r="K85" s="117"/>
      <x:c r="L85" s="117"/>
      <x:c r="M85" s="117"/>
      <x:c r="N85" s="117"/>
      <x:c r="O85" s="117"/>
      <x:c r="P85" s="117"/>
      <x:c r="Q85" s="117"/>
      <x:c r="R85" s="117"/>
      <x:c r="S85" s="117"/>
      <x:c r="T85" s="117"/>
      <x:c r="U85" s="117"/>
      <x:c r="V85" s="117"/>
      <x:c r="W85" s="117"/>
      <x:c r="X85" s="117"/>
      <x:c r="Y85" s="117"/>
      <x:c r="Z85" s="117"/>
    </x:row>
    <x:row r="86">
      <x:c r="A86" s="117"/>
      <x:c r="B86" s="117"/>
      <x:c r="C86" s="117"/>
      <x:c r="D86" s="117"/>
      <x:c r="E86" s="117"/>
      <x:c r="F86" s="117"/>
      <x:c r="G86" s="117"/>
      <x:c r="H86" s="117"/>
      <x:c r="I86" s="117"/>
      <x:c r="J86" s="117"/>
      <x:c r="K86" s="117"/>
      <x:c r="L86" s="117"/>
      <x:c r="M86" s="117"/>
      <x:c r="N86" s="117"/>
      <x:c r="O86" s="117"/>
      <x:c r="P86" s="117"/>
      <x:c r="Q86" s="117"/>
      <x:c r="R86" s="117"/>
      <x:c r="S86" s="117"/>
      <x:c r="T86" s="117"/>
      <x:c r="U86" s="117"/>
      <x:c r="V86" s="117"/>
      <x:c r="W86" s="117"/>
      <x:c r="X86" s="117"/>
      <x:c r="Y86" s="117"/>
      <x:c r="Z86" s="117"/>
    </x:row>
    <x:row r="87">
      <x:c r="A87" s="117"/>
      <x:c r="B87" s="117"/>
      <x:c r="C87" s="117"/>
      <x:c r="D87" s="117"/>
      <x:c r="E87" s="117"/>
      <x:c r="F87" s="117"/>
      <x:c r="G87" s="117"/>
      <x:c r="H87" s="117"/>
      <x:c r="I87" s="117"/>
      <x:c r="J87" s="117"/>
      <x:c r="K87" s="117"/>
      <x:c r="L87" s="117"/>
      <x:c r="M87" s="117"/>
      <x:c r="N87" s="117"/>
      <x:c r="O87" s="117"/>
      <x:c r="P87" s="117"/>
      <x:c r="Q87" s="117"/>
      <x:c r="R87" s="117"/>
      <x:c r="S87" s="117"/>
      <x:c r="T87" s="117"/>
      <x:c r="U87" s="117"/>
      <x:c r="V87" s="117"/>
      <x:c r="W87" s="117"/>
      <x:c r="X87" s="117"/>
      <x:c r="Y87" s="117"/>
      <x:c r="Z87" s="117"/>
    </x:row>
    <x:row r="88">
      <x:c r="A88" s="117"/>
      <x:c r="B88" s="117"/>
      <x:c r="C88" s="117"/>
      <x:c r="D88" s="117"/>
      <x:c r="E88" s="117"/>
      <x:c r="F88" s="117"/>
      <x:c r="G88" s="117"/>
      <x:c r="H88" s="117"/>
      <x:c r="I88" s="117"/>
      <x:c r="J88" s="117"/>
      <x:c r="K88" s="117"/>
      <x:c r="L88" s="117"/>
      <x:c r="M88" s="117"/>
      <x:c r="N88" s="117"/>
      <x:c r="O88" s="117"/>
      <x:c r="P88" s="117"/>
      <x:c r="Q88" s="117"/>
      <x:c r="R88" s="117"/>
      <x:c r="S88" s="117"/>
      <x:c r="T88" s="117"/>
      <x:c r="U88" s="117"/>
      <x:c r="V88" s="117"/>
      <x:c r="W88" s="117"/>
      <x:c r="X88" s="117"/>
      <x:c r="Y88" s="117"/>
      <x:c r="Z88" s="117"/>
    </x:row>
    <x:row r="89">
      <x:c r="A89" s="117"/>
      <x:c r="B89" s="117"/>
      <x:c r="C89" s="117"/>
      <x:c r="D89" s="117"/>
      <x:c r="E89" s="117"/>
      <x:c r="F89" s="117"/>
      <x:c r="G89" s="117"/>
      <x:c r="H89" s="117"/>
      <x:c r="I89" s="117"/>
      <x:c r="J89" s="117"/>
      <x:c r="K89" s="117"/>
      <x:c r="L89" s="117"/>
      <x:c r="M89" s="117"/>
      <x:c r="N89" s="117"/>
      <x:c r="O89" s="117"/>
      <x:c r="P89" s="117"/>
      <x:c r="Q89" s="117"/>
      <x:c r="R89" s="117"/>
      <x:c r="S89" s="117"/>
      <x:c r="T89" s="117"/>
      <x:c r="U89" s="117"/>
      <x:c r="V89" s="117"/>
      <x:c r="W89" s="117"/>
      <x:c r="X89" s="117"/>
      <x:c r="Y89" s="117"/>
      <x:c r="Z89" s="117"/>
    </x:row>
    <x:row r="90">
      <x:c r="A90" s="117"/>
      <x:c r="B90" s="117"/>
      <x:c r="C90" s="117"/>
      <x:c r="D90" s="117"/>
      <x:c r="E90" s="117"/>
      <x:c r="F90" s="117"/>
      <x:c r="G90" s="117"/>
      <x:c r="H90" s="117"/>
      <x:c r="I90" s="117"/>
      <x:c r="J90" s="117"/>
      <x:c r="K90" s="117"/>
      <x:c r="L90" s="117"/>
      <x:c r="M90" s="117"/>
      <x:c r="N90" s="117"/>
      <x:c r="O90" s="117"/>
      <x:c r="P90" s="117"/>
      <x:c r="Q90" s="117"/>
      <x:c r="R90" s="117"/>
      <x:c r="S90" s="117"/>
      <x:c r="T90" s="117"/>
      <x:c r="U90" s="117"/>
      <x:c r="V90" s="117"/>
      <x:c r="W90" s="117"/>
      <x:c r="X90" s="117"/>
      <x:c r="Y90" s="117"/>
      <x:c r="Z90" s="117"/>
    </x:row>
    <x:row r="91">
      <x:c r="A91" s="117"/>
      <x:c r="B91" s="117"/>
      <x:c r="C91" s="117"/>
      <x:c r="D91" s="117"/>
      <x:c r="E91" s="117"/>
      <x:c r="F91" s="117"/>
      <x:c r="G91" s="117"/>
      <x:c r="H91" s="117"/>
      <x:c r="I91" s="117"/>
      <x:c r="J91" s="117"/>
      <x:c r="K91" s="117"/>
      <x:c r="L91" s="117"/>
      <x:c r="M91" s="117"/>
      <x:c r="N91" s="117"/>
      <x:c r="O91" s="117"/>
      <x:c r="P91" s="117"/>
      <x:c r="Q91" s="117"/>
      <x:c r="R91" s="117"/>
      <x:c r="S91" s="117"/>
      <x:c r="T91" s="117"/>
      <x:c r="U91" s="117"/>
      <x:c r="V91" s="117"/>
      <x:c r="W91" s="117"/>
      <x:c r="X91" s="117"/>
      <x:c r="Y91" s="117"/>
      <x:c r="Z91" s="117"/>
    </x:row>
    <x:row r="92">
      <x:c r="A92" s="117"/>
      <x:c r="B92" s="117"/>
      <x:c r="C92" s="117"/>
      <x:c r="D92" s="117"/>
      <x:c r="E92" s="117"/>
      <x:c r="F92" s="117"/>
      <x:c r="G92" s="117"/>
      <x:c r="H92" s="117"/>
      <x:c r="I92" s="117"/>
      <x:c r="J92" s="117"/>
      <x:c r="K92" s="117"/>
      <x:c r="L92" s="117"/>
      <x:c r="M92" s="117"/>
      <x:c r="N92" s="117"/>
      <x:c r="O92" s="117"/>
      <x:c r="P92" s="117"/>
      <x:c r="Q92" s="117"/>
      <x:c r="R92" s="117"/>
      <x:c r="S92" s="117"/>
      <x:c r="T92" s="117"/>
      <x:c r="U92" s="117"/>
      <x:c r="V92" s="117"/>
      <x:c r="W92" s="117"/>
      <x:c r="X92" s="117"/>
      <x:c r="Y92" s="117"/>
      <x:c r="Z92" s="117"/>
    </x:row>
    <x:row r="93">
      <x:c r="A93" s="117"/>
      <x:c r="B93" s="117"/>
      <x:c r="C93" s="117"/>
      <x:c r="D93" s="117"/>
      <x:c r="E93" s="117"/>
      <x:c r="F93" s="117"/>
      <x:c r="G93" s="117"/>
      <x:c r="H93" s="117"/>
      <x:c r="I93" s="117"/>
      <x:c r="J93" s="117"/>
      <x:c r="K93" s="117"/>
      <x:c r="L93" s="117"/>
      <x:c r="M93" s="117"/>
      <x:c r="N93" s="117"/>
      <x:c r="O93" s="117"/>
      <x:c r="P93" s="117"/>
      <x:c r="Q93" s="117"/>
      <x:c r="R93" s="117"/>
      <x:c r="S93" s="117"/>
      <x:c r="T93" s="117"/>
      <x:c r="U93" s="117"/>
      <x:c r="V93" s="117"/>
      <x:c r="W93" s="117"/>
      <x:c r="X93" s="117"/>
      <x:c r="Y93" s="117"/>
      <x:c r="Z93" s="117"/>
    </x:row>
    <x:row r="94">
      <x:c r="A94" s="117"/>
      <x:c r="B94" s="117"/>
      <x:c r="C94" s="117"/>
      <x:c r="D94" s="117"/>
      <x:c r="E94" s="117"/>
      <x:c r="F94" s="117"/>
      <x:c r="G94" s="117"/>
      <x:c r="H94" s="117"/>
      <x:c r="I94" s="117"/>
      <x:c r="J94" s="117"/>
      <x:c r="K94" s="117"/>
      <x:c r="L94" s="117"/>
      <x:c r="M94" s="117"/>
      <x:c r="N94" s="117"/>
      <x:c r="O94" s="117"/>
      <x:c r="P94" s="117"/>
      <x:c r="Q94" s="117"/>
      <x:c r="R94" s="117"/>
      <x:c r="S94" s="117"/>
      <x:c r="T94" s="117"/>
      <x:c r="U94" s="117"/>
      <x:c r="V94" s="117"/>
      <x:c r="W94" s="117"/>
      <x:c r="X94" s="117"/>
      <x:c r="Y94" s="117"/>
      <x:c r="Z94" s="117"/>
    </x:row>
    <x:row r="95">
      <x:c r="A95" s="117"/>
      <x:c r="B95" s="117"/>
      <x:c r="C95" s="117"/>
      <x:c r="D95" s="117"/>
      <x:c r="E95" s="117"/>
      <x:c r="F95" s="117"/>
      <x:c r="G95" s="117"/>
      <x:c r="H95" s="117"/>
      <x:c r="I95" s="117"/>
      <x:c r="J95" s="117"/>
      <x:c r="K95" s="117"/>
      <x:c r="L95" s="117"/>
      <x:c r="M95" s="117"/>
      <x:c r="N95" s="117"/>
      <x:c r="O95" s="117"/>
      <x:c r="P95" s="117"/>
      <x:c r="Q95" s="117"/>
      <x:c r="R95" s="117"/>
      <x:c r="S95" s="117"/>
      <x:c r="T95" s="117"/>
      <x:c r="U95" s="117"/>
      <x:c r="V95" s="117"/>
      <x:c r="W95" s="117"/>
      <x:c r="X95" s="117"/>
      <x:c r="Y95" s="117"/>
      <x:c r="Z95" s="117"/>
    </x:row>
    <x:row r="96">
      <x:c r="A96" s="117"/>
      <x:c r="B96" s="117"/>
      <x:c r="C96" s="117"/>
      <x:c r="D96" s="117"/>
      <x:c r="E96" s="117"/>
      <x:c r="F96" s="117"/>
      <x:c r="G96" s="117"/>
      <x:c r="H96" s="117"/>
      <x:c r="I96" s="117"/>
      <x:c r="J96" s="117"/>
      <x:c r="K96" s="117"/>
      <x:c r="L96" s="117"/>
      <x:c r="M96" s="117"/>
      <x:c r="N96" s="117"/>
      <x:c r="O96" s="117"/>
      <x:c r="P96" s="117"/>
      <x:c r="Q96" s="117"/>
      <x:c r="R96" s="117"/>
      <x:c r="S96" s="117"/>
      <x:c r="T96" s="117"/>
      <x:c r="U96" s="117"/>
      <x:c r="V96" s="117"/>
      <x:c r="W96" s="117"/>
      <x:c r="X96" s="117"/>
      <x:c r="Y96" s="117"/>
      <x:c r="Z96" s="117"/>
    </x:row>
    <x:row r="97">
      <x:c r="A97" s="117"/>
      <x:c r="B97" s="117"/>
      <x:c r="C97" s="117"/>
      <x:c r="D97" s="117"/>
      <x:c r="E97" s="117"/>
      <x:c r="F97" s="117"/>
      <x:c r="G97" s="117"/>
      <x:c r="H97" s="117"/>
      <x:c r="I97" s="117"/>
      <x:c r="J97" s="117"/>
      <x:c r="K97" s="117"/>
      <x:c r="L97" s="117"/>
      <x:c r="M97" s="117"/>
      <x:c r="N97" s="117"/>
      <x:c r="O97" s="117"/>
      <x:c r="P97" s="117"/>
      <x:c r="Q97" s="117"/>
      <x:c r="R97" s="117"/>
      <x:c r="S97" s="117"/>
      <x:c r="T97" s="117"/>
      <x:c r="U97" s="117"/>
      <x:c r="V97" s="117"/>
      <x:c r="W97" s="117"/>
      <x:c r="X97" s="117"/>
      <x:c r="Y97" s="117"/>
      <x:c r="Z97" s="117"/>
    </x:row>
    <x:row r="98">
      <x:c r="A98" s="117"/>
      <x:c r="B98" s="117"/>
      <x:c r="C98" s="117"/>
      <x:c r="D98" s="117"/>
      <x:c r="E98" s="117"/>
      <x:c r="F98" s="117"/>
      <x:c r="G98" s="117"/>
      <x:c r="H98" s="117"/>
      <x:c r="I98" s="117"/>
      <x:c r="J98" s="117"/>
      <x:c r="K98" s="117"/>
      <x:c r="L98" s="117"/>
      <x:c r="M98" s="117"/>
      <x:c r="N98" s="117"/>
      <x:c r="O98" s="117"/>
      <x:c r="P98" s="117"/>
      <x:c r="Q98" s="117"/>
      <x:c r="R98" s="117"/>
      <x:c r="S98" s="117"/>
      <x:c r="T98" s="117"/>
      <x:c r="U98" s="117"/>
      <x:c r="V98" s="117"/>
      <x:c r="W98" s="117"/>
      <x:c r="X98" s="117"/>
      <x:c r="Y98" s="117"/>
      <x:c r="Z98" s="117"/>
    </x:row>
    <x:row r="99">
      <x:c r="A99" s="117"/>
      <x:c r="B99" s="117"/>
      <x:c r="C99" s="117"/>
      <x:c r="D99" s="117"/>
      <x:c r="E99" s="117"/>
      <x:c r="F99" s="117"/>
      <x:c r="G99" s="117"/>
      <x:c r="H99" s="117"/>
      <x:c r="I99" s="117"/>
      <x:c r="J99" s="117"/>
      <x:c r="K99" s="117"/>
      <x:c r="L99" s="117"/>
      <x:c r="M99" s="117"/>
      <x:c r="N99" s="117"/>
      <x:c r="O99" s="117"/>
      <x:c r="P99" s="117"/>
      <x:c r="Q99" s="117"/>
      <x:c r="R99" s="117"/>
      <x:c r="S99" s="117"/>
      <x:c r="T99" s="117"/>
      <x:c r="U99" s="117"/>
      <x:c r="V99" s="117"/>
      <x:c r="W99" s="117"/>
      <x:c r="X99" s="117"/>
      <x:c r="Y99" s="117"/>
      <x:c r="Z99" s="117"/>
    </x:row>
    <x:row r="100">
      <x:c r="A100" s="117"/>
      <x:c r="B100" s="117"/>
      <x:c r="C100" s="117"/>
      <x:c r="D100" s="117"/>
      <x:c r="E100" s="117"/>
      <x:c r="F100" s="117"/>
      <x:c r="G100" s="117"/>
      <x:c r="H100" s="117"/>
      <x:c r="I100" s="117"/>
      <x:c r="J100" s="117"/>
      <x:c r="K100" s="117"/>
      <x:c r="L100" s="117"/>
      <x:c r="M100" s="117"/>
      <x:c r="N100" s="117"/>
      <x:c r="O100" s="117"/>
      <x:c r="P100" s="117"/>
      <x:c r="Q100" s="117"/>
      <x:c r="R100" s="117"/>
      <x:c r="S100" s="117"/>
      <x:c r="T100" s="117"/>
      <x:c r="U100" s="117"/>
      <x:c r="V100" s="117"/>
      <x:c r="W100" s="117"/>
      <x:c r="X100" s="117"/>
      <x:c r="Y100" s="117"/>
      <x:c r="Z100" s="117"/>
    </x:row>
    <x:row r="101">
      <x:c r="A101" s="117"/>
      <x:c r="B101" s="117"/>
      <x:c r="C101" s="117"/>
      <x:c r="D101" s="117"/>
      <x:c r="E101" s="117"/>
      <x:c r="F101" s="117"/>
      <x:c r="G101" s="117"/>
      <x:c r="H101" s="117"/>
      <x:c r="I101" s="117"/>
      <x:c r="J101" s="117"/>
      <x:c r="K101" s="117"/>
      <x:c r="L101" s="117"/>
      <x:c r="M101" s="117"/>
      <x:c r="N101" s="117"/>
      <x:c r="O101" s="117"/>
      <x:c r="P101" s="117"/>
      <x:c r="Q101" s="117"/>
      <x:c r="R101" s="117"/>
      <x:c r="S101" s="117"/>
      <x:c r="T101" s="117"/>
      <x:c r="U101" s="117"/>
      <x:c r="V101" s="117"/>
      <x:c r="W101" s="117"/>
      <x:c r="X101" s="117"/>
      <x:c r="Y101" s="117"/>
      <x:c r="Z101" s="117"/>
    </x:row>
    <x:row r="102">
      <x:c r="A102" s="117"/>
      <x:c r="B102" s="117"/>
      <x:c r="C102" s="117"/>
      <x:c r="D102" s="117"/>
      <x:c r="E102" s="117"/>
      <x:c r="F102" s="117"/>
      <x:c r="G102" s="117"/>
      <x:c r="H102" s="117"/>
      <x:c r="I102" s="117"/>
      <x:c r="J102" s="117"/>
      <x:c r="K102" s="117"/>
      <x:c r="L102" s="117"/>
      <x:c r="M102" s="117"/>
      <x:c r="N102" s="117"/>
      <x:c r="O102" s="117"/>
      <x:c r="P102" s="117"/>
      <x:c r="Q102" s="117"/>
      <x:c r="R102" s="117"/>
      <x:c r="S102" s="117"/>
      <x:c r="T102" s="117"/>
      <x:c r="U102" s="117"/>
      <x:c r="V102" s="117"/>
      <x:c r="W102" s="117"/>
      <x:c r="X102" s="117"/>
      <x:c r="Y102" s="117"/>
      <x:c r="Z102" s="117"/>
    </x:row>
    <x:row r="103">
      <x:c r="A103" s="117"/>
      <x:c r="B103" s="117"/>
      <x:c r="C103" s="117"/>
      <x:c r="D103" s="117"/>
      <x:c r="E103" s="117"/>
      <x:c r="F103" s="117"/>
      <x:c r="G103" s="117"/>
      <x:c r="H103" s="117"/>
      <x:c r="I103" s="117"/>
      <x:c r="J103" s="117"/>
      <x:c r="K103" s="117"/>
      <x:c r="L103" s="117"/>
      <x:c r="M103" s="117"/>
      <x:c r="N103" s="117"/>
      <x:c r="O103" s="117"/>
      <x:c r="P103" s="117"/>
      <x:c r="Q103" s="117"/>
      <x:c r="R103" s="117"/>
      <x:c r="S103" s="117"/>
      <x:c r="T103" s="117"/>
      <x:c r="U103" s="117"/>
      <x:c r="V103" s="117"/>
      <x:c r="W103" s="117"/>
      <x:c r="X103" s="117"/>
      <x:c r="Y103" s="117"/>
      <x:c r="Z103" s="117"/>
    </x:row>
    <x:row r="104">
      <x:c r="A104" s="117"/>
      <x:c r="B104" s="117"/>
      <x:c r="C104" s="117"/>
      <x:c r="D104" s="117"/>
      <x:c r="E104" s="117"/>
      <x:c r="F104" s="117"/>
      <x:c r="G104" s="117"/>
      <x:c r="H104" s="117"/>
      <x:c r="I104" s="117"/>
      <x:c r="J104" s="117"/>
      <x:c r="K104" s="117"/>
      <x:c r="L104" s="117"/>
      <x:c r="M104" s="117"/>
      <x:c r="N104" s="117"/>
      <x:c r="O104" s="117"/>
      <x:c r="P104" s="117"/>
      <x:c r="Q104" s="117"/>
      <x:c r="R104" s="117"/>
      <x:c r="S104" s="117"/>
      <x:c r="T104" s="117"/>
      <x:c r="U104" s="117"/>
      <x:c r="V104" s="117"/>
      <x:c r="W104" s="117"/>
      <x:c r="X104" s="117"/>
      <x:c r="Y104" s="117"/>
      <x:c r="Z104" s="117"/>
    </x:row>
    <x:row r="105">
      <x:c r="A105" s="117"/>
      <x:c r="B105" s="117"/>
      <x:c r="C105" s="117"/>
      <x:c r="D105" s="117"/>
      <x:c r="E105" s="117"/>
      <x:c r="F105" s="117"/>
      <x:c r="G105" s="117"/>
      <x:c r="H105" s="117"/>
      <x:c r="I105" s="117"/>
      <x:c r="J105" s="117"/>
      <x:c r="K105" s="117"/>
      <x:c r="L105" s="117"/>
      <x:c r="M105" s="117"/>
      <x:c r="N105" s="117"/>
      <x:c r="O105" s="117"/>
      <x:c r="P105" s="117"/>
      <x:c r="Q105" s="117"/>
      <x:c r="R105" s="117"/>
      <x:c r="S105" s="117"/>
      <x:c r="T105" s="117"/>
      <x:c r="U105" s="117"/>
      <x:c r="V105" s="117"/>
      <x:c r="W105" s="117"/>
      <x:c r="X105" s="117"/>
      <x:c r="Y105" s="117"/>
      <x:c r="Z105" s="117"/>
    </x:row>
    <x:row r="106">
      <x:c r="A106" s="117"/>
      <x:c r="B106" s="117"/>
      <x:c r="C106" s="117"/>
      <x:c r="D106" s="117"/>
      <x:c r="E106" s="117"/>
      <x:c r="F106" s="117"/>
      <x:c r="G106" s="117"/>
      <x:c r="H106" s="117"/>
      <x:c r="I106" s="117"/>
      <x:c r="J106" s="117"/>
      <x:c r="K106" s="117"/>
      <x:c r="L106" s="117"/>
      <x:c r="M106" s="117"/>
      <x:c r="N106" s="117"/>
      <x:c r="O106" s="117"/>
      <x:c r="P106" s="117"/>
      <x:c r="Q106" s="117"/>
      <x:c r="R106" s="117"/>
      <x:c r="S106" s="117"/>
      <x:c r="T106" s="117"/>
      <x:c r="U106" s="117"/>
      <x:c r="V106" s="117"/>
      <x:c r="W106" s="117"/>
      <x:c r="X106" s="117"/>
      <x:c r="Y106" s="117"/>
      <x:c r="Z106" s="117"/>
    </x:row>
    <x:row r="107">
      <x:c r="A107" s="117"/>
      <x:c r="B107" s="117"/>
      <x:c r="C107" s="117"/>
      <x:c r="D107" s="117"/>
      <x:c r="E107" s="117"/>
      <x:c r="F107" s="117"/>
      <x:c r="G107" s="117"/>
      <x:c r="H107" s="117"/>
      <x:c r="I107" s="117"/>
      <x:c r="J107" s="117"/>
      <x:c r="K107" s="117"/>
      <x:c r="L107" s="117"/>
      <x:c r="M107" s="117"/>
      <x:c r="N107" s="117"/>
      <x:c r="O107" s="117"/>
      <x:c r="P107" s="117"/>
      <x:c r="Q107" s="117"/>
      <x:c r="R107" s="117"/>
      <x:c r="S107" s="117"/>
      <x:c r="T107" s="117"/>
      <x:c r="U107" s="117"/>
      <x:c r="V107" s="117"/>
      <x:c r="W107" s="117"/>
      <x:c r="X107" s="117"/>
      <x:c r="Y107" s="117"/>
      <x:c r="Z107" s="117"/>
    </x:row>
    <x:row r="108">
      <x:c r="A108" s="117"/>
      <x:c r="B108" s="117"/>
      <x:c r="C108" s="117"/>
      <x:c r="D108" s="117"/>
      <x:c r="E108" s="117"/>
      <x:c r="F108" s="117"/>
      <x:c r="G108" s="117"/>
      <x:c r="H108" s="117"/>
      <x:c r="I108" s="117"/>
      <x:c r="J108" s="117"/>
      <x:c r="K108" s="117"/>
      <x:c r="L108" s="117"/>
      <x:c r="M108" s="117"/>
      <x:c r="N108" s="117"/>
      <x:c r="O108" s="117"/>
      <x:c r="P108" s="117"/>
      <x:c r="Q108" s="117"/>
      <x:c r="R108" s="117"/>
      <x:c r="S108" s="117"/>
      <x:c r="T108" s="117"/>
      <x:c r="U108" s="117"/>
      <x:c r="V108" s="117"/>
      <x:c r="W108" s="117"/>
      <x:c r="X108" s="117"/>
      <x:c r="Y108" s="117"/>
      <x:c r="Z108" s="117"/>
    </x:row>
    <x:row r="109">
      <x:c r="A109" s="117"/>
      <x:c r="B109" s="117"/>
      <x:c r="C109" s="117"/>
      <x:c r="D109" s="117"/>
      <x:c r="E109" s="117"/>
      <x:c r="F109" s="117"/>
      <x:c r="G109" s="117"/>
      <x:c r="H109" s="117"/>
      <x:c r="I109" s="117"/>
      <x:c r="J109" s="117"/>
      <x:c r="K109" s="117"/>
      <x:c r="L109" s="117"/>
      <x:c r="M109" s="117"/>
      <x:c r="N109" s="117"/>
      <x:c r="O109" s="117"/>
      <x:c r="P109" s="117"/>
      <x:c r="Q109" s="117"/>
      <x:c r="R109" s="117"/>
      <x:c r="S109" s="117"/>
      <x:c r="T109" s="117"/>
      <x:c r="U109" s="117"/>
      <x:c r="V109" s="117"/>
      <x:c r="W109" s="117"/>
      <x:c r="X109" s="117"/>
      <x:c r="Y109" s="117"/>
      <x:c r="Z109" s="117"/>
    </x:row>
    <x:row r="110">
      <x:c r="A110" s="117"/>
      <x:c r="B110" s="117"/>
      <x:c r="C110" s="117"/>
      <x:c r="D110" s="117"/>
      <x:c r="E110" s="117"/>
      <x:c r="F110" s="117"/>
      <x:c r="G110" s="117"/>
      <x:c r="H110" s="117"/>
      <x:c r="I110" s="117"/>
      <x:c r="J110" s="117"/>
      <x:c r="K110" s="117"/>
      <x:c r="L110" s="117"/>
      <x:c r="M110" s="117"/>
      <x:c r="N110" s="117"/>
      <x:c r="O110" s="117"/>
      <x:c r="P110" s="117"/>
      <x:c r="Q110" s="117"/>
      <x:c r="R110" s="117"/>
      <x:c r="S110" s="117"/>
      <x:c r="T110" s="117"/>
      <x:c r="U110" s="117"/>
      <x:c r="V110" s="117"/>
      <x:c r="W110" s="117"/>
      <x:c r="X110" s="117"/>
      <x:c r="Y110" s="117"/>
      <x:c r="Z110" s="117"/>
    </x:row>
    <x:row r="111">
      <x:c r="A111" s="117"/>
      <x:c r="B111" s="117"/>
      <x:c r="C111" s="117"/>
      <x:c r="D111" s="117"/>
      <x:c r="E111" s="117"/>
      <x:c r="F111" s="117"/>
      <x:c r="G111" s="117"/>
      <x:c r="H111" s="117"/>
      <x:c r="I111" s="117"/>
      <x:c r="J111" s="117"/>
      <x:c r="K111" s="117"/>
      <x:c r="L111" s="117"/>
      <x:c r="M111" s="117"/>
      <x:c r="N111" s="117"/>
      <x:c r="O111" s="117"/>
      <x:c r="P111" s="117"/>
      <x:c r="Q111" s="117"/>
      <x:c r="R111" s="117"/>
      <x:c r="S111" s="117"/>
      <x:c r="T111" s="117"/>
      <x:c r="U111" s="117"/>
      <x:c r="V111" s="117"/>
      <x:c r="W111" s="117"/>
      <x:c r="X111" s="117"/>
      <x:c r="Y111" s="117"/>
      <x:c r="Z111" s="117"/>
    </x:row>
    <x:row r="112">
      <x:c r="A112" s="117"/>
      <x:c r="B112" s="117"/>
      <x:c r="C112" s="117"/>
      <x:c r="D112" s="117"/>
      <x:c r="E112" s="117"/>
      <x:c r="F112" s="117"/>
      <x:c r="G112" s="117"/>
      <x:c r="H112" s="117"/>
      <x:c r="I112" s="117"/>
      <x:c r="J112" s="117"/>
      <x:c r="K112" s="117"/>
      <x:c r="L112" s="117"/>
      <x:c r="M112" s="117"/>
      <x:c r="N112" s="117"/>
      <x:c r="O112" s="117"/>
      <x:c r="P112" s="117"/>
      <x:c r="Q112" s="117"/>
      <x:c r="R112" s="117"/>
      <x:c r="S112" s="117"/>
      <x:c r="T112" s="117"/>
      <x:c r="U112" s="117"/>
      <x:c r="V112" s="117"/>
      <x:c r="W112" s="117"/>
      <x:c r="X112" s="117"/>
      <x:c r="Y112" s="117"/>
      <x:c r="Z112" s="117"/>
    </x:row>
    <x:row r="113">
      <x:c r="A113" s="117"/>
      <x:c r="B113" s="117"/>
      <x:c r="C113" s="117"/>
      <x:c r="D113" s="117"/>
      <x:c r="E113" s="117"/>
      <x:c r="F113" s="117"/>
      <x:c r="G113" s="117"/>
      <x:c r="H113" s="117"/>
      <x:c r="I113" s="117"/>
      <x:c r="J113" s="117"/>
      <x:c r="K113" s="117"/>
      <x:c r="L113" s="117"/>
      <x:c r="M113" s="117"/>
      <x:c r="N113" s="117"/>
      <x:c r="O113" s="117"/>
      <x:c r="P113" s="117"/>
      <x:c r="Q113" s="117"/>
      <x:c r="R113" s="117"/>
      <x:c r="S113" s="117"/>
      <x:c r="T113" s="117"/>
      <x:c r="U113" s="117"/>
      <x:c r="V113" s="117"/>
      <x:c r="W113" s="117"/>
      <x:c r="X113" s="117"/>
      <x:c r="Y113" s="117"/>
      <x:c r="Z113" s="117"/>
    </x:row>
    <x:row r="114">
      <x:c r="A114" s="117"/>
      <x:c r="B114" s="117"/>
      <x:c r="C114" s="117"/>
      <x:c r="D114" s="117"/>
      <x:c r="E114" s="117"/>
      <x:c r="F114" s="117"/>
      <x:c r="G114" s="117"/>
      <x:c r="H114" s="117"/>
      <x:c r="I114" s="117"/>
      <x:c r="J114" s="117"/>
      <x:c r="K114" s="117"/>
      <x:c r="L114" s="117"/>
      <x:c r="M114" s="117"/>
      <x:c r="N114" s="117"/>
      <x:c r="O114" s="117"/>
      <x:c r="P114" s="117"/>
      <x:c r="Q114" s="117"/>
      <x:c r="R114" s="117"/>
      <x:c r="S114" s="117"/>
      <x:c r="T114" s="117"/>
      <x:c r="U114" s="117"/>
      <x:c r="V114" s="117"/>
      <x:c r="W114" s="117"/>
      <x:c r="X114" s="117"/>
      <x:c r="Y114" s="117"/>
      <x:c r="Z114" s="117"/>
    </x:row>
    <x:row r="115">
      <x:c r="A115" s="117"/>
      <x:c r="B115" s="117"/>
      <x:c r="C115" s="117"/>
      <x:c r="D115" s="117"/>
      <x:c r="E115" s="117"/>
      <x:c r="F115" s="117"/>
      <x:c r="G115" s="117"/>
      <x:c r="H115" s="117"/>
      <x:c r="I115" s="117"/>
      <x:c r="J115" s="117"/>
      <x:c r="K115" s="117"/>
      <x:c r="L115" s="117"/>
      <x:c r="M115" s="117"/>
      <x:c r="N115" s="117"/>
      <x:c r="O115" s="117"/>
      <x:c r="P115" s="117"/>
      <x:c r="Q115" s="117"/>
      <x:c r="R115" s="117"/>
      <x:c r="S115" s="117"/>
      <x:c r="T115" s="117"/>
      <x:c r="U115" s="117"/>
      <x:c r="V115" s="117"/>
      <x:c r="W115" s="117"/>
      <x:c r="X115" s="117"/>
      <x:c r="Y115" s="117"/>
      <x:c r="Z115" s="117"/>
    </x:row>
    <x:row r="116">
      <x:c r="A116" s="117"/>
      <x:c r="B116" s="117"/>
      <x:c r="C116" s="117"/>
      <x:c r="D116" s="117"/>
      <x:c r="E116" s="117"/>
      <x:c r="F116" s="117"/>
      <x:c r="G116" s="117"/>
      <x:c r="H116" s="117"/>
      <x:c r="I116" s="117"/>
      <x:c r="J116" s="117"/>
      <x:c r="K116" s="117"/>
      <x:c r="L116" s="117"/>
      <x:c r="M116" s="117"/>
      <x:c r="N116" s="117"/>
      <x:c r="O116" s="117"/>
      <x:c r="P116" s="117"/>
      <x:c r="Q116" s="117"/>
      <x:c r="R116" s="117"/>
      <x:c r="S116" s="117"/>
      <x:c r="T116" s="117"/>
      <x:c r="U116" s="117"/>
      <x:c r="V116" s="117"/>
      <x:c r="W116" s="117"/>
      <x:c r="X116" s="117"/>
      <x:c r="Y116" s="117"/>
      <x:c r="Z116" s="117"/>
    </x:row>
    <x:row r="117">
      <x:c r="A117" s="117"/>
      <x:c r="B117" s="117"/>
      <x:c r="C117" s="117"/>
      <x:c r="D117" s="117"/>
      <x:c r="E117" s="117"/>
      <x:c r="F117" s="117"/>
      <x:c r="G117" s="117"/>
      <x:c r="H117" s="117"/>
      <x:c r="I117" s="117"/>
      <x:c r="J117" s="117"/>
      <x:c r="K117" s="117"/>
      <x:c r="L117" s="117"/>
      <x:c r="M117" s="117"/>
      <x:c r="N117" s="117"/>
      <x:c r="O117" s="117"/>
      <x:c r="P117" s="117"/>
      <x:c r="Q117" s="117"/>
      <x:c r="R117" s="117"/>
      <x:c r="S117" s="117"/>
      <x:c r="T117" s="117"/>
      <x:c r="U117" s="117"/>
      <x:c r="V117" s="117"/>
      <x:c r="W117" s="117"/>
      <x:c r="X117" s="117"/>
      <x:c r="Y117" s="117"/>
      <x:c r="Z117" s="117"/>
    </x:row>
    <x:row r="118">
      <x:c r="A118" s="117"/>
      <x:c r="B118" s="117"/>
      <x:c r="C118" s="117"/>
      <x:c r="D118" s="117"/>
      <x:c r="E118" s="117"/>
      <x:c r="F118" s="117"/>
      <x:c r="G118" s="117"/>
      <x:c r="H118" s="117"/>
      <x:c r="I118" s="117"/>
      <x:c r="J118" s="117"/>
      <x:c r="K118" s="117"/>
      <x:c r="L118" s="117"/>
      <x:c r="M118" s="117"/>
      <x:c r="N118" s="117"/>
      <x:c r="O118" s="117"/>
      <x:c r="P118" s="117"/>
      <x:c r="Q118" s="117"/>
      <x:c r="R118" s="117"/>
      <x:c r="S118" s="117"/>
      <x:c r="T118" s="117"/>
      <x:c r="U118" s="117"/>
      <x:c r="V118" s="117"/>
      <x:c r="W118" s="117"/>
      <x:c r="X118" s="117"/>
      <x:c r="Y118" s="117"/>
      <x:c r="Z118" s="117"/>
    </x:row>
    <x:row r="119">
      <x:c r="A119" s="117"/>
      <x:c r="B119" s="117"/>
      <x:c r="C119" s="117"/>
      <x:c r="D119" s="117"/>
      <x:c r="E119" s="117"/>
      <x:c r="F119" s="117"/>
      <x:c r="G119" s="117"/>
      <x:c r="H119" s="117"/>
      <x:c r="I119" s="117"/>
      <x:c r="J119" s="117"/>
      <x:c r="K119" s="117"/>
      <x:c r="L119" s="117"/>
      <x:c r="M119" s="117"/>
      <x:c r="N119" s="117"/>
      <x:c r="O119" s="117"/>
      <x:c r="P119" s="117"/>
      <x:c r="Q119" s="117"/>
      <x:c r="R119" s="117"/>
      <x:c r="S119" s="117"/>
      <x:c r="T119" s="117"/>
      <x:c r="U119" s="117"/>
      <x:c r="V119" s="117"/>
      <x:c r="W119" s="117"/>
      <x:c r="X119" s="117"/>
      <x:c r="Y119" s="117"/>
      <x:c r="Z119" s="117"/>
    </x:row>
    <x:row r="120">
      <x:c r="A120" s="117"/>
      <x:c r="B120" s="117"/>
      <x:c r="C120" s="117"/>
      <x:c r="D120" s="117"/>
      <x:c r="E120" s="117"/>
      <x:c r="F120" s="117"/>
      <x:c r="G120" s="117"/>
      <x:c r="H120" s="117"/>
      <x:c r="I120" s="117"/>
      <x:c r="J120" s="117"/>
      <x:c r="K120" s="117"/>
      <x:c r="L120" s="117"/>
      <x:c r="M120" s="117"/>
      <x:c r="N120" s="117"/>
      <x:c r="O120" s="117"/>
      <x:c r="P120" s="117"/>
      <x:c r="Q120" s="117"/>
      <x:c r="R120" s="117"/>
      <x:c r="S120" s="117"/>
      <x:c r="T120" s="117"/>
      <x:c r="U120" s="117"/>
      <x:c r="V120" s="117"/>
      <x:c r="W120" s="117"/>
      <x:c r="X120" s="117"/>
      <x:c r="Y120" s="117"/>
      <x:c r="Z120" s="117"/>
    </x:row>
    <x:row r="121">
      <x:c r="A121" s="117"/>
      <x:c r="B121" s="117"/>
      <x:c r="C121" s="117"/>
      <x:c r="D121" s="117"/>
      <x:c r="E121" s="117"/>
      <x:c r="F121" s="117"/>
      <x:c r="G121" s="117"/>
      <x:c r="H121" s="117"/>
      <x:c r="I121" s="117"/>
      <x:c r="J121" s="117"/>
      <x:c r="K121" s="117"/>
      <x:c r="L121" s="117"/>
      <x:c r="M121" s="117"/>
      <x:c r="N121" s="117"/>
      <x:c r="O121" s="117"/>
      <x:c r="P121" s="117"/>
      <x:c r="Q121" s="117"/>
      <x:c r="R121" s="117"/>
      <x:c r="S121" s="117"/>
      <x:c r="T121" s="117"/>
      <x:c r="U121" s="117"/>
      <x:c r="V121" s="117"/>
      <x:c r="W121" s="117"/>
      <x:c r="X121" s="117"/>
      <x:c r="Y121" s="117"/>
      <x:c r="Z121" s="117"/>
    </x:row>
    <x:row r="122">
      <x:c r="A122" s="117"/>
      <x:c r="B122" s="117"/>
      <x:c r="C122" s="117"/>
      <x:c r="D122" s="117"/>
      <x:c r="E122" s="117"/>
      <x:c r="F122" s="117"/>
      <x:c r="G122" s="117"/>
      <x:c r="H122" s="117"/>
      <x:c r="I122" s="117"/>
      <x:c r="J122" s="117"/>
      <x:c r="K122" s="117"/>
      <x:c r="L122" s="117"/>
      <x:c r="M122" s="117"/>
      <x:c r="N122" s="117"/>
      <x:c r="O122" s="117"/>
      <x:c r="P122" s="117"/>
      <x:c r="Q122" s="117"/>
      <x:c r="R122" s="117"/>
      <x:c r="S122" s="117"/>
      <x:c r="T122" s="117"/>
      <x:c r="U122" s="117"/>
      <x:c r="V122" s="117"/>
      <x:c r="W122" s="117"/>
      <x:c r="X122" s="117"/>
      <x:c r="Y122" s="117"/>
      <x:c r="Z122" s="117"/>
    </x:row>
    <x:row r="123">
      <x:c r="A123" s="117"/>
      <x:c r="B123" s="117"/>
      <x:c r="C123" s="117"/>
      <x:c r="D123" s="117"/>
      <x:c r="E123" s="117"/>
      <x:c r="F123" s="117"/>
      <x:c r="G123" s="117"/>
      <x:c r="H123" s="117"/>
      <x:c r="I123" s="117"/>
      <x:c r="J123" s="117"/>
      <x:c r="K123" s="117"/>
      <x:c r="L123" s="117"/>
      <x:c r="M123" s="117"/>
      <x:c r="N123" s="117"/>
      <x:c r="O123" s="117"/>
      <x:c r="P123" s="117"/>
      <x:c r="Q123" s="117"/>
      <x:c r="R123" s="117"/>
      <x:c r="S123" s="117"/>
      <x:c r="T123" s="117"/>
      <x:c r="U123" s="117"/>
      <x:c r="V123" s="117"/>
      <x:c r="W123" s="117"/>
      <x:c r="X123" s="117"/>
      <x:c r="Y123" s="117"/>
      <x:c r="Z123" s="117"/>
    </x:row>
    <x:row r="124">
      <x:c r="A124" s="117"/>
      <x:c r="B124" s="117"/>
      <x:c r="C124" s="117"/>
      <x:c r="D124" s="117"/>
      <x:c r="E124" s="117"/>
      <x:c r="F124" s="117"/>
      <x:c r="G124" s="117"/>
      <x:c r="H124" s="117"/>
      <x:c r="I124" s="117"/>
      <x:c r="J124" s="117"/>
      <x:c r="K124" s="117"/>
      <x:c r="L124" s="117"/>
      <x:c r="M124" s="117"/>
      <x:c r="N124" s="117"/>
      <x:c r="O124" s="117"/>
      <x:c r="P124" s="117"/>
      <x:c r="Q124" s="117"/>
      <x:c r="R124" s="117"/>
      <x:c r="S124" s="117"/>
      <x:c r="T124" s="117"/>
      <x:c r="U124" s="117"/>
      <x:c r="V124" s="117"/>
      <x:c r="W124" s="117"/>
      <x:c r="X124" s="117"/>
      <x:c r="Y124" s="117"/>
      <x:c r="Z124" s="117"/>
    </x:row>
    <x:row r="125">
      <x:c r="A125" s="117"/>
      <x:c r="B125" s="117"/>
      <x:c r="C125" s="117"/>
      <x:c r="D125" s="117"/>
      <x:c r="E125" s="117"/>
      <x:c r="F125" s="117"/>
      <x:c r="G125" s="117"/>
      <x:c r="H125" s="117"/>
      <x:c r="I125" s="117"/>
      <x:c r="J125" s="117"/>
      <x:c r="K125" s="117"/>
      <x:c r="L125" s="117"/>
      <x:c r="M125" s="117"/>
      <x:c r="N125" s="117"/>
      <x:c r="O125" s="117"/>
      <x:c r="P125" s="117"/>
      <x:c r="Q125" s="117"/>
      <x:c r="R125" s="117"/>
      <x:c r="S125" s="117"/>
      <x:c r="T125" s="117"/>
      <x:c r="U125" s="117"/>
      <x:c r="V125" s="117"/>
      <x:c r="W125" s="117"/>
      <x:c r="X125" s="117"/>
      <x:c r="Y125" s="117"/>
      <x:c r="Z125" s="117"/>
    </x:row>
    <x:row r="126">
      <x:c r="A126" s="117"/>
      <x:c r="B126" s="117"/>
      <x:c r="C126" s="117"/>
      <x:c r="D126" s="117"/>
      <x:c r="E126" s="117"/>
      <x:c r="F126" s="117"/>
      <x:c r="G126" s="117"/>
      <x:c r="H126" s="117"/>
      <x:c r="I126" s="117"/>
      <x:c r="J126" s="117"/>
      <x:c r="K126" s="117"/>
      <x:c r="L126" s="117"/>
      <x:c r="M126" s="117"/>
      <x:c r="N126" s="117"/>
      <x:c r="O126" s="117"/>
      <x:c r="P126" s="117"/>
      <x:c r="Q126" s="117"/>
      <x:c r="R126" s="117"/>
      <x:c r="S126" s="117"/>
      <x:c r="T126" s="117"/>
      <x:c r="U126" s="117"/>
      <x:c r="V126" s="117"/>
      <x:c r="W126" s="117"/>
      <x:c r="X126" s="117"/>
      <x:c r="Y126" s="117"/>
      <x:c r="Z126" s="117"/>
    </x:row>
    <x:row r="127">
      <x:c r="A127" s="117"/>
      <x:c r="B127" s="117"/>
      <x:c r="C127" s="117"/>
      <x:c r="D127" s="117"/>
      <x:c r="E127" s="117"/>
      <x:c r="F127" s="117"/>
      <x:c r="G127" s="117"/>
      <x:c r="H127" s="117"/>
      <x:c r="I127" s="117"/>
      <x:c r="J127" s="117"/>
      <x:c r="K127" s="117"/>
      <x:c r="L127" s="117"/>
      <x:c r="M127" s="117"/>
      <x:c r="N127" s="117"/>
      <x:c r="O127" s="117"/>
      <x:c r="P127" s="117"/>
      <x:c r="Q127" s="117"/>
      <x:c r="R127" s="117"/>
      <x:c r="S127" s="117"/>
      <x:c r="T127" s="117"/>
      <x:c r="U127" s="117"/>
      <x:c r="V127" s="117"/>
      <x:c r="W127" s="117"/>
      <x:c r="X127" s="117"/>
      <x:c r="Y127" s="117"/>
      <x:c r="Z127" s="117"/>
    </x:row>
    <x:row r="128">
      <x:c r="A128" s="117"/>
      <x:c r="B128" s="117"/>
      <x:c r="C128" s="117"/>
      <x:c r="D128" s="117"/>
      <x:c r="E128" s="117"/>
      <x:c r="F128" s="117"/>
      <x:c r="G128" s="117"/>
      <x:c r="H128" s="117"/>
      <x:c r="I128" s="117"/>
      <x:c r="J128" s="117"/>
      <x:c r="K128" s="117"/>
      <x:c r="L128" s="117"/>
      <x:c r="M128" s="117"/>
      <x:c r="N128" s="117"/>
      <x:c r="O128" s="117"/>
      <x:c r="P128" s="117"/>
      <x:c r="Q128" s="117"/>
      <x:c r="R128" s="117"/>
      <x:c r="S128" s="117"/>
      <x:c r="T128" s="117"/>
      <x:c r="U128" s="117"/>
      <x:c r="V128" s="117"/>
      <x:c r="W128" s="117"/>
      <x:c r="X128" s="117"/>
      <x:c r="Y128" s="117"/>
      <x:c r="Z128" s="117"/>
    </x:row>
    <x:row r="129">
      <x:c r="A129" s="117"/>
      <x:c r="B129" s="117"/>
      <x:c r="C129" s="117"/>
      <x:c r="D129" s="117"/>
      <x:c r="E129" s="117"/>
      <x:c r="F129" s="117"/>
      <x:c r="G129" s="117"/>
      <x:c r="H129" s="117"/>
      <x:c r="I129" s="117"/>
      <x:c r="J129" s="117"/>
      <x:c r="K129" s="117"/>
      <x:c r="L129" s="117"/>
      <x:c r="M129" s="117"/>
      <x:c r="N129" s="117"/>
      <x:c r="O129" s="117"/>
      <x:c r="P129" s="117"/>
      <x:c r="Q129" s="117"/>
      <x:c r="R129" s="117"/>
      <x:c r="S129" s="117"/>
      <x:c r="T129" s="117"/>
      <x:c r="U129" s="117"/>
      <x:c r="V129" s="117"/>
      <x:c r="W129" s="117"/>
      <x:c r="X129" s="117"/>
      <x:c r="Y129" s="117"/>
      <x:c r="Z129" s="117"/>
    </x:row>
    <x:row r="130">
      <x:c r="A130" s="117"/>
      <x:c r="B130" s="117"/>
      <x:c r="C130" s="117"/>
      <x:c r="D130" s="117"/>
      <x:c r="E130" s="117"/>
      <x:c r="F130" s="117"/>
      <x:c r="G130" s="117"/>
      <x:c r="H130" s="117"/>
      <x:c r="I130" s="117"/>
      <x:c r="J130" s="117"/>
      <x:c r="K130" s="117"/>
      <x:c r="L130" s="117"/>
      <x:c r="M130" s="117"/>
      <x:c r="N130" s="117"/>
      <x:c r="O130" s="117"/>
      <x:c r="P130" s="117"/>
      <x:c r="Q130" s="117"/>
      <x:c r="R130" s="117"/>
      <x:c r="S130" s="117"/>
      <x:c r="T130" s="117"/>
      <x:c r="U130" s="117"/>
      <x:c r="V130" s="117"/>
      <x:c r="W130" s="117"/>
      <x:c r="X130" s="117"/>
      <x:c r="Y130" s="117"/>
      <x:c r="Z130" s="117"/>
    </x:row>
    <x:row r="131">
      <x:c r="A131" s="117"/>
      <x:c r="B131" s="117"/>
      <x:c r="C131" s="117"/>
      <x:c r="D131" s="117"/>
      <x:c r="E131" s="117"/>
      <x:c r="F131" s="117"/>
      <x:c r="G131" s="117"/>
      <x:c r="H131" s="117"/>
      <x:c r="I131" s="117"/>
      <x:c r="J131" s="117"/>
      <x:c r="K131" s="117"/>
      <x:c r="L131" s="117"/>
      <x:c r="M131" s="117"/>
      <x:c r="N131" s="117"/>
      <x:c r="O131" s="117"/>
      <x:c r="P131" s="117"/>
      <x:c r="Q131" s="117"/>
      <x:c r="R131" s="117"/>
      <x:c r="S131" s="117"/>
      <x:c r="T131" s="117"/>
      <x:c r="U131" s="117"/>
      <x:c r="V131" s="117"/>
      <x:c r="W131" s="117"/>
      <x:c r="X131" s="117"/>
      <x:c r="Y131" s="117"/>
      <x:c r="Z131" s="117"/>
    </x:row>
    <x:row r="132">
      <x:c r="A132" s="117"/>
      <x:c r="B132" s="117"/>
      <x:c r="C132" s="117"/>
      <x:c r="D132" s="117"/>
      <x:c r="E132" s="117"/>
      <x:c r="F132" s="117"/>
      <x:c r="G132" s="117"/>
      <x:c r="H132" s="117"/>
      <x:c r="I132" s="117"/>
      <x:c r="J132" s="117"/>
      <x:c r="K132" s="117"/>
      <x:c r="L132" s="117"/>
      <x:c r="M132" s="117"/>
      <x:c r="N132" s="117"/>
      <x:c r="O132" s="117"/>
      <x:c r="P132" s="117"/>
      <x:c r="Q132" s="117"/>
      <x:c r="R132" s="117"/>
      <x:c r="S132" s="117"/>
      <x:c r="T132" s="117"/>
      <x:c r="U132" s="117"/>
      <x:c r="V132" s="117"/>
      <x:c r="W132" s="117"/>
      <x:c r="X132" s="117"/>
      <x:c r="Y132" s="117"/>
      <x:c r="Z132" s="117"/>
    </x:row>
    <x:row r="133">
      <x:c r="A133" s="117"/>
      <x:c r="B133" s="117"/>
      <x:c r="C133" s="117"/>
      <x:c r="D133" s="117"/>
      <x:c r="E133" s="117"/>
      <x:c r="F133" s="117"/>
      <x:c r="G133" s="117"/>
      <x:c r="H133" s="117"/>
      <x:c r="I133" s="117"/>
      <x:c r="J133" s="117"/>
      <x:c r="K133" s="117"/>
      <x:c r="L133" s="117"/>
      <x:c r="M133" s="117"/>
      <x:c r="N133" s="117"/>
      <x:c r="O133" s="117"/>
      <x:c r="P133" s="117"/>
      <x:c r="Q133" s="117"/>
      <x:c r="R133" s="117"/>
      <x:c r="S133" s="117"/>
      <x:c r="T133" s="117"/>
      <x:c r="U133" s="117"/>
      <x:c r="V133" s="117"/>
      <x:c r="W133" s="117"/>
      <x:c r="X133" s="117"/>
      <x:c r="Y133" s="117"/>
      <x:c r="Z133" s="117"/>
    </x:row>
    <x:row r="134">
      <x:c r="A134" s="117"/>
      <x:c r="B134" s="117"/>
      <x:c r="C134" s="117"/>
      <x:c r="D134" s="117"/>
      <x:c r="E134" s="117"/>
      <x:c r="F134" s="117"/>
      <x:c r="G134" s="117"/>
      <x:c r="H134" s="117"/>
      <x:c r="I134" s="117"/>
      <x:c r="J134" s="117"/>
      <x:c r="K134" s="117"/>
      <x:c r="L134" s="117"/>
      <x:c r="M134" s="117"/>
      <x:c r="N134" s="117"/>
      <x:c r="O134" s="117"/>
      <x:c r="P134" s="117"/>
      <x:c r="Q134" s="117"/>
      <x:c r="R134" s="117"/>
      <x:c r="S134" s="117"/>
      <x:c r="T134" s="117"/>
      <x:c r="U134" s="117"/>
      <x:c r="V134" s="117"/>
      <x:c r="W134" s="117"/>
      <x:c r="X134" s="117"/>
      <x:c r="Y134" s="117"/>
      <x:c r="Z134" s="117"/>
    </x:row>
    <x:row r="135">
      <x:c r="A135" s="117"/>
      <x:c r="B135" s="117"/>
      <x:c r="C135" s="117"/>
      <x:c r="D135" s="117"/>
      <x:c r="E135" s="117"/>
      <x:c r="F135" s="117"/>
      <x:c r="G135" s="117"/>
      <x:c r="H135" s="117"/>
      <x:c r="I135" s="117"/>
      <x:c r="J135" s="117"/>
      <x:c r="K135" s="117"/>
      <x:c r="L135" s="117"/>
      <x:c r="M135" s="117"/>
      <x:c r="N135" s="117"/>
      <x:c r="O135" s="117"/>
      <x:c r="P135" s="117"/>
      <x:c r="Q135" s="117"/>
      <x:c r="R135" s="117"/>
      <x:c r="S135" s="117"/>
      <x:c r="T135" s="117"/>
      <x:c r="U135" s="117"/>
      <x:c r="V135" s="117"/>
      <x:c r="W135" s="117"/>
      <x:c r="X135" s="117"/>
      <x:c r="Y135" s="117"/>
      <x:c r="Z135" s="117"/>
    </x:row>
    <x:row r="136">
      <x:c r="A136" s="117"/>
      <x:c r="B136" s="117"/>
      <x:c r="C136" s="117"/>
      <x:c r="D136" s="117"/>
      <x:c r="E136" s="117"/>
      <x:c r="F136" s="117"/>
      <x:c r="G136" s="117"/>
      <x:c r="H136" s="117"/>
      <x:c r="I136" s="117"/>
      <x:c r="J136" s="117"/>
      <x:c r="K136" s="117"/>
      <x:c r="L136" s="117"/>
      <x:c r="M136" s="117"/>
      <x:c r="N136" s="117"/>
      <x:c r="O136" s="117"/>
      <x:c r="P136" s="117"/>
      <x:c r="Q136" s="117"/>
      <x:c r="R136" s="117"/>
      <x:c r="S136" s="117"/>
      <x:c r="T136" s="117"/>
      <x:c r="U136" s="117"/>
      <x:c r="V136" s="117"/>
      <x:c r="W136" s="117"/>
      <x:c r="X136" s="117"/>
      <x:c r="Y136" s="117"/>
      <x:c r="Z136" s="117"/>
    </x:row>
    <x:row r="137">
      <x:c r="A137" s="117"/>
      <x:c r="B137" s="117"/>
      <x:c r="C137" s="117"/>
      <x:c r="D137" s="117"/>
      <x:c r="E137" s="117"/>
      <x:c r="F137" s="117"/>
      <x:c r="G137" s="117"/>
      <x:c r="H137" s="117"/>
      <x:c r="I137" s="117"/>
      <x:c r="J137" s="117"/>
      <x:c r="K137" s="117"/>
      <x:c r="L137" s="117"/>
      <x:c r="M137" s="117"/>
      <x:c r="N137" s="117"/>
      <x:c r="O137" s="117"/>
      <x:c r="P137" s="117"/>
      <x:c r="Q137" s="117"/>
      <x:c r="R137" s="117"/>
      <x:c r="S137" s="117"/>
      <x:c r="T137" s="117"/>
      <x:c r="U137" s="117"/>
      <x:c r="V137" s="117"/>
      <x:c r="W137" s="117"/>
      <x:c r="X137" s="117"/>
      <x:c r="Y137" s="117"/>
      <x:c r="Z137" s="117"/>
    </x:row>
    <x:row r="138">
      <x:c r="A138" s="117"/>
      <x:c r="B138" s="117"/>
      <x:c r="C138" s="117"/>
      <x:c r="D138" s="117"/>
      <x:c r="E138" s="117"/>
      <x:c r="F138" s="117"/>
      <x:c r="G138" s="117"/>
      <x:c r="H138" s="117"/>
      <x:c r="I138" s="117"/>
      <x:c r="J138" s="117"/>
      <x:c r="K138" s="117"/>
      <x:c r="L138" s="117"/>
      <x:c r="M138" s="117"/>
      <x:c r="N138" s="117"/>
      <x:c r="O138" s="117"/>
      <x:c r="P138" s="117"/>
      <x:c r="Q138" s="117"/>
      <x:c r="R138" s="117"/>
      <x:c r="S138" s="117"/>
      <x:c r="T138" s="117"/>
      <x:c r="U138" s="117"/>
      <x:c r="V138" s="117"/>
      <x:c r="W138" s="117"/>
      <x:c r="X138" s="117"/>
      <x:c r="Y138" s="117"/>
      <x:c r="Z138" s="117"/>
    </x:row>
    <x:row r="139">
      <x:c r="A139" s="117"/>
      <x:c r="B139" s="117"/>
      <x:c r="C139" s="117"/>
      <x:c r="D139" s="117"/>
      <x:c r="E139" s="117"/>
      <x:c r="F139" s="117"/>
      <x:c r="G139" s="117"/>
      <x:c r="H139" s="117"/>
      <x:c r="I139" s="117"/>
      <x:c r="J139" s="117"/>
      <x:c r="K139" s="117"/>
      <x:c r="L139" s="117"/>
      <x:c r="M139" s="117"/>
      <x:c r="N139" s="117"/>
      <x:c r="O139" s="117"/>
      <x:c r="P139" s="117"/>
      <x:c r="Q139" s="117"/>
      <x:c r="R139" s="117"/>
      <x:c r="S139" s="117"/>
      <x:c r="T139" s="117"/>
      <x:c r="U139" s="117"/>
      <x:c r="V139" s="117"/>
      <x:c r="W139" s="117"/>
      <x:c r="X139" s="117"/>
      <x:c r="Y139" s="117"/>
      <x:c r="Z139" s="117"/>
    </x:row>
    <x:row r="140">
      <x:c r="A140" s="117"/>
      <x:c r="B140" s="117"/>
      <x:c r="C140" s="117"/>
      <x:c r="D140" s="117"/>
      <x:c r="E140" s="117"/>
      <x:c r="F140" s="117"/>
      <x:c r="G140" s="117"/>
      <x:c r="H140" s="117"/>
      <x:c r="I140" s="117"/>
      <x:c r="J140" s="117"/>
      <x:c r="K140" s="117"/>
      <x:c r="L140" s="117"/>
      <x:c r="M140" s="117"/>
      <x:c r="N140" s="117"/>
      <x:c r="O140" s="117"/>
      <x:c r="P140" s="117"/>
      <x:c r="Q140" s="117"/>
      <x:c r="R140" s="117"/>
      <x:c r="S140" s="117"/>
      <x:c r="T140" s="117"/>
      <x:c r="U140" s="117"/>
      <x:c r="V140" s="117"/>
      <x:c r="W140" s="117"/>
      <x:c r="X140" s="117"/>
      <x:c r="Y140" s="117"/>
      <x:c r="Z140" s="117"/>
    </x:row>
    <x:row r="141">
      <x:c r="A141" s="117"/>
      <x:c r="B141" s="117"/>
      <x:c r="C141" s="117"/>
      <x:c r="D141" s="117"/>
      <x:c r="E141" s="117"/>
      <x:c r="F141" s="117"/>
      <x:c r="G141" s="117"/>
      <x:c r="H141" s="117"/>
      <x:c r="I141" s="117"/>
      <x:c r="J141" s="117"/>
      <x:c r="K141" s="117"/>
      <x:c r="L141" s="117"/>
      <x:c r="M141" s="117"/>
      <x:c r="N141" s="117"/>
      <x:c r="O141" s="117"/>
      <x:c r="P141" s="117"/>
      <x:c r="Q141" s="117"/>
      <x:c r="R141" s="117"/>
      <x:c r="S141" s="117"/>
      <x:c r="T141" s="117"/>
      <x:c r="U141" s="117"/>
      <x:c r="V141" s="117"/>
      <x:c r="W141" s="117"/>
      <x:c r="X141" s="117"/>
      <x:c r="Y141" s="117"/>
      <x:c r="Z141" s="117"/>
    </x:row>
    <x:row r="142">
      <x:c r="A142" s="117"/>
      <x:c r="B142" s="117"/>
      <x:c r="C142" s="117"/>
      <x:c r="D142" s="117"/>
      <x:c r="E142" s="117"/>
      <x:c r="F142" s="117"/>
      <x:c r="G142" s="117"/>
      <x:c r="H142" s="117"/>
      <x:c r="I142" s="117"/>
      <x:c r="J142" s="117"/>
      <x:c r="K142" s="117"/>
      <x:c r="L142" s="117"/>
      <x:c r="M142" s="117"/>
      <x:c r="N142" s="117"/>
      <x:c r="O142" s="117"/>
      <x:c r="P142" s="117"/>
      <x:c r="Q142" s="117"/>
      <x:c r="R142" s="117"/>
      <x:c r="S142" s="117"/>
      <x:c r="T142" s="117"/>
      <x:c r="U142" s="117"/>
      <x:c r="V142" s="117"/>
      <x:c r="W142" s="117"/>
      <x:c r="X142" s="117"/>
      <x:c r="Y142" s="117"/>
      <x:c r="Z142" s="117"/>
    </x:row>
    <x:row r="143">
      <x:c r="A143" s="117"/>
      <x:c r="B143" s="117"/>
      <x:c r="C143" s="117"/>
      <x:c r="D143" s="117"/>
      <x:c r="E143" s="117"/>
      <x:c r="F143" s="117"/>
      <x:c r="G143" s="117"/>
      <x:c r="H143" s="117"/>
      <x:c r="I143" s="117"/>
      <x:c r="J143" s="117"/>
      <x:c r="K143" s="117"/>
      <x:c r="L143" s="117"/>
      <x:c r="M143" s="117"/>
      <x:c r="N143" s="117"/>
      <x:c r="O143" s="117"/>
      <x:c r="P143" s="117"/>
      <x:c r="Q143" s="117"/>
      <x:c r="R143" s="117"/>
      <x:c r="S143" s="117"/>
      <x:c r="T143" s="117"/>
      <x:c r="U143" s="117"/>
      <x:c r="V143" s="117"/>
      <x:c r="W143" s="117"/>
      <x:c r="X143" s="117"/>
      <x:c r="Y143" s="117"/>
      <x:c r="Z143" s="117"/>
    </x:row>
    <x:row r="144">
      <x:c r="A144" s="117"/>
      <x:c r="B144" s="117"/>
      <x:c r="C144" s="117"/>
      <x:c r="D144" s="117"/>
      <x:c r="E144" s="117"/>
      <x:c r="F144" s="117"/>
      <x:c r="G144" s="117"/>
      <x:c r="H144" s="117"/>
      <x:c r="I144" s="117"/>
      <x:c r="J144" s="117"/>
      <x:c r="K144" s="117"/>
      <x:c r="L144" s="117"/>
      <x:c r="M144" s="117"/>
      <x:c r="N144" s="117"/>
      <x:c r="O144" s="117"/>
      <x:c r="P144" s="117"/>
      <x:c r="Q144" s="117"/>
      <x:c r="R144" s="117"/>
      <x:c r="S144" s="117"/>
      <x:c r="T144" s="117"/>
      <x:c r="U144" s="117"/>
      <x:c r="V144" s="117"/>
      <x:c r="W144" s="117"/>
      <x:c r="X144" s="117"/>
      <x:c r="Y144" s="117"/>
      <x:c r="Z144" s="117"/>
    </x:row>
    <x:row r="145">
      <x:c r="A145" s="117"/>
      <x:c r="B145" s="117"/>
      <x:c r="C145" s="117"/>
      <x:c r="D145" s="117"/>
      <x:c r="E145" s="117"/>
      <x:c r="F145" s="117"/>
      <x:c r="G145" s="117"/>
      <x:c r="H145" s="117"/>
      <x:c r="I145" s="117"/>
      <x:c r="J145" s="117"/>
      <x:c r="K145" s="117"/>
      <x:c r="L145" s="117"/>
      <x:c r="M145" s="117"/>
      <x:c r="N145" s="117"/>
      <x:c r="O145" s="117"/>
      <x:c r="P145" s="117"/>
      <x:c r="Q145" s="117"/>
      <x:c r="R145" s="117"/>
      <x:c r="S145" s="117"/>
      <x:c r="T145" s="117"/>
      <x:c r="U145" s="117"/>
      <x:c r="V145" s="117"/>
      <x:c r="W145" s="117"/>
      <x:c r="X145" s="117"/>
      <x:c r="Y145" s="117"/>
      <x:c r="Z145" s="117"/>
    </x:row>
    <x:row r="146">
      <x:c r="A146" s="117"/>
      <x:c r="B146" s="117"/>
      <x:c r="C146" s="117"/>
      <x:c r="D146" s="117"/>
      <x:c r="E146" s="117"/>
      <x:c r="F146" s="117"/>
      <x:c r="G146" s="117"/>
      <x:c r="H146" s="117"/>
      <x:c r="I146" s="117"/>
      <x:c r="J146" s="117"/>
      <x:c r="K146" s="117"/>
      <x:c r="L146" s="117"/>
      <x:c r="M146" s="117"/>
      <x:c r="N146" s="117"/>
      <x:c r="O146" s="117"/>
      <x:c r="P146" s="117"/>
      <x:c r="Q146" s="117"/>
      <x:c r="R146" s="117"/>
      <x:c r="S146" s="117"/>
      <x:c r="T146" s="117"/>
      <x:c r="U146" s="117"/>
      <x:c r="V146" s="117"/>
      <x:c r="W146" s="117"/>
      <x:c r="X146" s="117"/>
      <x:c r="Y146" s="117"/>
      <x:c r="Z146" s="117"/>
    </x:row>
    <x:row r="147">
      <x:c r="A147" s="117"/>
      <x:c r="B147" s="117"/>
      <x:c r="C147" s="117"/>
      <x:c r="D147" s="117"/>
      <x:c r="E147" s="117"/>
      <x:c r="F147" s="117"/>
      <x:c r="G147" s="117"/>
      <x:c r="H147" s="117"/>
      <x:c r="I147" s="117"/>
      <x:c r="J147" s="117"/>
      <x:c r="K147" s="117"/>
      <x:c r="L147" s="117"/>
      <x:c r="M147" s="117"/>
      <x:c r="N147" s="117"/>
      <x:c r="O147" s="117"/>
      <x:c r="P147" s="117"/>
      <x:c r="Q147" s="117"/>
      <x:c r="R147" s="117"/>
      <x:c r="S147" s="117"/>
      <x:c r="T147" s="117"/>
      <x:c r="U147" s="117"/>
      <x:c r="V147" s="117"/>
      <x:c r="W147" s="117"/>
      <x:c r="X147" s="117"/>
      <x:c r="Y147" s="117"/>
      <x:c r="Z147" s="117"/>
    </x:row>
    <x:row r="148">
      <x:c r="A148" s="117"/>
      <x:c r="B148" s="117"/>
      <x:c r="C148" s="117"/>
      <x:c r="D148" s="117"/>
      <x:c r="E148" s="117"/>
      <x:c r="F148" s="117"/>
      <x:c r="G148" s="117"/>
      <x:c r="H148" s="117"/>
      <x:c r="I148" s="117"/>
      <x:c r="J148" s="117"/>
      <x:c r="K148" s="117"/>
      <x:c r="L148" s="117"/>
      <x:c r="M148" s="117"/>
      <x:c r="N148" s="117"/>
      <x:c r="O148" s="117"/>
      <x:c r="P148" s="117"/>
      <x:c r="Q148" s="117"/>
      <x:c r="R148" s="117"/>
      <x:c r="S148" s="117"/>
      <x:c r="T148" s="117"/>
      <x:c r="U148" s="117"/>
      <x:c r="V148" s="117"/>
      <x:c r="W148" s="117"/>
      <x:c r="X148" s="117"/>
      <x:c r="Y148" s="117"/>
      <x:c r="Z148" s="117"/>
    </x:row>
    <x:row r="149">
      <x:c r="A149" s="117"/>
      <x:c r="B149" s="117"/>
      <x:c r="C149" s="117"/>
      <x:c r="D149" s="117"/>
      <x:c r="E149" s="117"/>
      <x:c r="F149" s="117"/>
      <x:c r="G149" s="117"/>
      <x:c r="H149" s="117"/>
      <x:c r="I149" s="117"/>
      <x:c r="J149" s="117"/>
      <x:c r="K149" s="117"/>
      <x:c r="L149" s="117"/>
      <x:c r="M149" s="117"/>
      <x:c r="N149" s="117"/>
      <x:c r="O149" s="117"/>
      <x:c r="P149" s="117"/>
      <x:c r="Q149" s="117"/>
      <x:c r="R149" s="117"/>
      <x:c r="S149" s="117"/>
      <x:c r="T149" s="117"/>
      <x:c r="U149" s="117"/>
      <x:c r="V149" s="117"/>
      <x:c r="W149" s="117"/>
      <x:c r="X149" s="117"/>
      <x:c r="Y149" s="117"/>
      <x:c r="Z149" s="117"/>
    </x:row>
    <x:row r="150">
      <x:c r="A150" s="117"/>
      <x:c r="B150" s="117"/>
      <x:c r="C150" s="117"/>
      <x:c r="D150" s="117"/>
      <x:c r="E150" s="117"/>
      <x:c r="F150" s="117"/>
      <x:c r="G150" s="117"/>
      <x:c r="H150" s="117"/>
      <x:c r="I150" s="117"/>
      <x:c r="J150" s="117"/>
      <x:c r="K150" s="117"/>
      <x:c r="L150" s="117"/>
      <x:c r="M150" s="117"/>
      <x:c r="N150" s="117"/>
      <x:c r="O150" s="117"/>
      <x:c r="P150" s="117"/>
      <x:c r="Q150" s="117"/>
      <x:c r="R150" s="117"/>
      <x:c r="S150" s="117"/>
      <x:c r="T150" s="117"/>
      <x:c r="U150" s="117"/>
      <x:c r="V150" s="117"/>
      <x:c r="W150" s="117"/>
      <x:c r="X150" s="117"/>
      <x:c r="Y150" s="117"/>
      <x:c r="Z150" s="117"/>
    </x:row>
    <x:row r="151">
      <x:c r="A151" s="117"/>
      <x:c r="B151" s="117"/>
      <x:c r="C151" s="117"/>
      <x:c r="D151" s="117"/>
      <x:c r="E151" s="117"/>
      <x:c r="F151" s="117"/>
      <x:c r="G151" s="117"/>
      <x:c r="H151" s="117"/>
      <x:c r="I151" s="117"/>
      <x:c r="J151" s="117"/>
      <x:c r="K151" s="117"/>
      <x:c r="L151" s="117"/>
      <x:c r="M151" s="117"/>
      <x:c r="N151" s="117"/>
      <x:c r="O151" s="117"/>
      <x:c r="P151" s="117"/>
      <x:c r="Q151" s="117"/>
      <x:c r="R151" s="117"/>
      <x:c r="S151" s="117"/>
      <x:c r="T151" s="117"/>
      <x:c r="U151" s="117"/>
      <x:c r="V151" s="117"/>
      <x:c r="W151" s="117"/>
      <x:c r="X151" s="117"/>
      <x:c r="Y151" s="117"/>
      <x:c r="Z151" s="117"/>
    </x:row>
    <x:row r="152">
      <x:c r="A152" s="117"/>
      <x:c r="B152" s="117"/>
      <x:c r="C152" s="117"/>
      <x:c r="D152" s="117"/>
      <x:c r="E152" s="117"/>
      <x:c r="F152" s="117"/>
      <x:c r="G152" s="117"/>
      <x:c r="H152" s="117"/>
      <x:c r="I152" s="117"/>
      <x:c r="J152" s="117"/>
      <x:c r="K152" s="117"/>
      <x:c r="L152" s="117"/>
      <x:c r="M152" s="117"/>
      <x:c r="N152" s="117"/>
      <x:c r="O152" s="117"/>
      <x:c r="P152" s="117"/>
      <x:c r="Q152" s="117"/>
      <x:c r="R152" s="117"/>
      <x:c r="S152" s="117"/>
      <x:c r="T152" s="117"/>
      <x:c r="U152" s="117"/>
      <x:c r="V152" s="117"/>
      <x:c r="W152" s="117"/>
      <x:c r="X152" s="117"/>
      <x:c r="Y152" s="117"/>
      <x:c r="Z152" s="117"/>
    </x:row>
    <x:row r="153">
      <x:c r="A153" s="117"/>
      <x:c r="B153" s="117"/>
      <x:c r="C153" s="117"/>
      <x:c r="D153" s="117"/>
      <x:c r="E153" s="117"/>
      <x:c r="F153" s="117"/>
      <x:c r="G153" s="117"/>
      <x:c r="H153" s="117"/>
      <x:c r="I153" s="117"/>
      <x:c r="J153" s="117"/>
      <x:c r="K153" s="117"/>
      <x:c r="L153" s="117"/>
      <x:c r="M153" s="117"/>
      <x:c r="N153" s="117"/>
      <x:c r="O153" s="117"/>
      <x:c r="P153" s="117"/>
      <x:c r="Q153" s="117"/>
      <x:c r="R153" s="117"/>
      <x:c r="S153" s="117"/>
      <x:c r="T153" s="117"/>
      <x:c r="U153" s="117"/>
      <x:c r="V153" s="117"/>
      <x:c r="W153" s="117"/>
      <x:c r="X153" s="117"/>
      <x:c r="Y153" s="117"/>
      <x:c r="Z153" s="117"/>
    </x:row>
    <x:row r="154">
      <x:c r="A154" s="117"/>
      <x:c r="B154" s="117"/>
      <x:c r="C154" s="117"/>
      <x:c r="D154" s="117"/>
      <x:c r="E154" s="117"/>
      <x:c r="F154" s="117"/>
      <x:c r="G154" s="117"/>
      <x:c r="H154" s="117"/>
      <x:c r="I154" s="117"/>
      <x:c r="J154" s="117"/>
      <x:c r="K154" s="117"/>
      <x:c r="L154" s="117"/>
      <x:c r="M154" s="117"/>
      <x:c r="N154" s="117"/>
      <x:c r="O154" s="117"/>
      <x:c r="P154" s="117"/>
      <x:c r="Q154" s="117"/>
      <x:c r="R154" s="117"/>
      <x:c r="S154" s="117"/>
      <x:c r="T154" s="117"/>
      <x:c r="U154" s="117"/>
      <x:c r="V154" s="117"/>
      <x:c r="W154" s="117"/>
      <x:c r="X154" s="117"/>
      <x:c r="Y154" s="117"/>
      <x:c r="Z154" s="117"/>
    </x:row>
    <x:row r="155">
      <x:c r="A155" s="117"/>
      <x:c r="B155" s="117"/>
      <x:c r="C155" s="117"/>
      <x:c r="D155" s="117"/>
      <x:c r="E155" s="117"/>
      <x:c r="F155" s="117"/>
      <x:c r="G155" s="117"/>
      <x:c r="H155" s="117"/>
      <x:c r="I155" s="117"/>
      <x:c r="J155" s="117"/>
      <x:c r="K155" s="117"/>
      <x:c r="L155" s="117"/>
      <x:c r="M155" s="117"/>
      <x:c r="N155" s="117"/>
      <x:c r="O155" s="117"/>
      <x:c r="P155" s="117"/>
      <x:c r="Q155" s="117"/>
      <x:c r="R155" s="117"/>
      <x:c r="S155" s="117"/>
      <x:c r="T155" s="117"/>
      <x:c r="U155" s="117"/>
      <x:c r="V155" s="117"/>
      <x:c r="W155" s="117"/>
      <x:c r="X155" s="117"/>
      <x:c r="Y155" s="117"/>
      <x:c r="Z155" s="117"/>
    </x:row>
    <x:row r="156">
      <x:c r="A156" s="117"/>
      <x:c r="B156" s="117"/>
      <x:c r="C156" s="117"/>
      <x:c r="D156" s="117"/>
      <x:c r="E156" s="117"/>
      <x:c r="F156" s="117"/>
      <x:c r="G156" s="117"/>
      <x:c r="H156" s="117"/>
      <x:c r="I156" s="117"/>
      <x:c r="J156" s="117"/>
      <x:c r="K156" s="117"/>
      <x:c r="L156" s="117"/>
      <x:c r="M156" s="117"/>
      <x:c r="N156" s="117"/>
      <x:c r="O156" s="117"/>
      <x:c r="P156" s="117"/>
      <x:c r="Q156" s="117"/>
      <x:c r="R156" s="117"/>
      <x:c r="S156" s="117"/>
      <x:c r="T156" s="117"/>
      <x:c r="U156" s="117"/>
      <x:c r="V156" s="117"/>
      <x:c r="W156" s="117"/>
      <x:c r="X156" s="117"/>
      <x:c r="Y156" s="117"/>
      <x:c r="Z156" s="117"/>
    </x:row>
    <x:row r="157">
      <x:c r="A157" s="117"/>
      <x:c r="B157" s="117"/>
      <x:c r="C157" s="117"/>
      <x:c r="D157" s="117"/>
      <x:c r="E157" s="117"/>
      <x:c r="F157" s="117"/>
      <x:c r="G157" s="117"/>
      <x:c r="H157" s="117"/>
      <x:c r="I157" s="117"/>
      <x:c r="J157" s="117"/>
      <x:c r="K157" s="117"/>
      <x:c r="L157" s="117"/>
      <x:c r="M157" s="117"/>
      <x:c r="N157" s="117"/>
      <x:c r="O157" s="117"/>
      <x:c r="P157" s="117"/>
      <x:c r="Q157" s="117"/>
      <x:c r="R157" s="117"/>
      <x:c r="S157" s="117"/>
      <x:c r="T157" s="117"/>
      <x:c r="U157" s="117"/>
      <x:c r="V157" s="117"/>
      <x:c r="W157" s="117"/>
      <x:c r="X157" s="117"/>
      <x:c r="Y157" s="117"/>
      <x:c r="Z157" s="117"/>
    </x:row>
    <x:row r="158">
      <x:c r="A158" s="117"/>
      <x:c r="B158" s="117"/>
      <x:c r="C158" s="117"/>
      <x:c r="D158" s="117"/>
      <x:c r="E158" s="117"/>
      <x:c r="F158" s="117"/>
      <x:c r="G158" s="117"/>
      <x:c r="H158" s="117"/>
      <x:c r="I158" s="117"/>
      <x:c r="J158" s="117"/>
      <x:c r="K158" s="117"/>
      <x:c r="L158" s="117"/>
      <x:c r="M158" s="117"/>
      <x:c r="N158" s="117"/>
      <x:c r="O158" s="117"/>
      <x:c r="P158" s="117"/>
      <x:c r="Q158" s="117"/>
      <x:c r="R158" s="117"/>
      <x:c r="S158" s="117"/>
      <x:c r="T158" s="117"/>
      <x:c r="U158" s="117"/>
      <x:c r="V158" s="117"/>
      <x:c r="W158" s="117"/>
      <x:c r="X158" s="117"/>
      <x:c r="Y158" s="117"/>
      <x:c r="Z158" s="117"/>
    </x:row>
    <x:row r="159">
      <x:c r="A159" s="117"/>
      <x:c r="B159" s="117"/>
      <x:c r="C159" s="117"/>
      <x:c r="D159" s="117"/>
      <x:c r="E159" s="117"/>
      <x:c r="F159" s="117"/>
      <x:c r="G159" s="117"/>
      <x:c r="H159" s="117"/>
      <x:c r="I159" s="117"/>
      <x:c r="J159" s="117"/>
      <x:c r="K159" s="117"/>
      <x:c r="L159" s="117"/>
      <x:c r="M159" s="117"/>
      <x:c r="N159" s="117"/>
      <x:c r="O159" s="117"/>
      <x:c r="P159" s="117"/>
      <x:c r="Q159" s="117"/>
      <x:c r="R159" s="117"/>
      <x:c r="S159" s="117"/>
      <x:c r="T159" s="117"/>
      <x:c r="U159" s="117"/>
      <x:c r="V159" s="117"/>
      <x:c r="W159" s="117"/>
      <x:c r="X159" s="117"/>
      <x:c r="Y159" s="117"/>
      <x:c r="Z159" s="117"/>
    </x:row>
    <x:row r="160">
      <x:c r="A160" s="117"/>
      <x:c r="B160" s="117"/>
      <x:c r="C160" s="117"/>
      <x:c r="D160" s="117"/>
      <x:c r="E160" s="117"/>
      <x:c r="F160" s="117"/>
      <x:c r="G160" s="117"/>
      <x:c r="H160" s="117"/>
      <x:c r="I160" s="117"/>
      <x:c r="J160" s="117"/>
      <x:c r="K160" s="117"/>
      <x:c r="L160" s="117"/>
      <x:c r="M160" s="117"/>
      <x:c r="N160" s="117"/>
      <x:c r="O160" s="117"/>
      <x:c r="P160" s="117"/>
      <x:c r="Q160" s="117"/>
      <x:c r="R160" s="117"/>
      <x:c r="S160" s="117"/>
      <x:c r="T160" s="117"/>
      <x:c r="U160" s="117"/>
      <x:c r="V160" s="117"/>
      <x:c r="W160" s="117"/>
      <x:c r="X160" s="117"/>
      <x:c r="Y160" s="117"/>
      <x:c r="Z160" s="117"/>
    </x:row>
    <x:row r="161">
      <x:c r="A161" s="117"/>
      <x:c r="B161" s="117"/>
      <x:c r="C161" s="117"/>
      <x:c r="D161" s="117"/>
      <x:c r="E161" s="117"/>
      <x:c r="F161" s="117"/>
      <x:c r="G161" s="117"/>
      <x:c r="H161" s="117"/>
      <x:c r="I161" s="117"/>
      <x:c r="J161" s="117"/>
      <x:c r="K161" s="117"/>
      <x:c r="L161" s="117"/>
      <x:c r="M161" s="117"/>
      <x:c r="N161" s="117"/>
      <x:c r="O161" s="117"/>
      <x:c r="P161" s="117"/>
      <x:c r="Q161" s="117"/>
      <x:c r="R161" s="117"/>
      <x:c r="S161" s="117"/>
      <x:c r="T161" s="117"/>
      <x:c r="U161" s="117"/>
      <x:c r="V161" s="117"/>
      <x:c r="W161" s="117"/>
      <x:c r="X161" s="117"/>
      <x:c r="Y161" s="117"/>
      <x:c r="Z161" s="117"/>
    </x:row>
    <x:row r="162">
      <x:c r="A162" s="117"/>
      <x:c r="B162" s="117"/>
      <x:c r="C162" s="117"/>
      <x:c r="D162" s="117"/>
      <x:c r="E162" s="117"/>
      <x:c r="F162" s="117"/>
      <x:c r="G162" s="117"/>
      <x:c r="H162" s="117"/>
      <x:c r="I162" s="117"/>
      <x:c r="J162" s="117"/>
      <x:c r="K162" s="117"/>
      <x:c r="L162" s="117"/>
      <x:c r="M162" s="117"/>
      <x:c r="N162" s="117"/>
      <x:c r="O162" s="117"/>
      <x:c r="P162" s="117"/>
      <x:c r="Q162" s="117"/>
      <x:c r="R162" s="117"/>
      <x:c r="S162" s="117"/>
      <x:c r="T162" s="117"/>
      <x:c r="U162" s="117"/>
      <x:c r="V162" s="117"/>
      <x:c r="W162" s="117"/>
      <x:c r="X162" s="117"/>
      <x:c r="Y162" s="117"/>
      <x:c r="Z162" s="117"/>
    </x:row>
    <x:row r="163">
      <x:c r="A163" s="117"/>
      <x:c r="B163" s="117"/>
      <x:c r="C163" s="117"/>
      <x:c r="D163" s="117"/>
      <x:c r="E163" s="117"/>
      <x:c r="F163" s="117"/>
      <x:c r="G163" s="117"/>
      <x:c r="H163" s="117"/>
      <x:c r="I163" s="117"/>
      <x:c r="J163" s="117"/>
      <x:c r="K163" s="117"/>
      <x:c r="L163" s="117"/>
      <x:c r="M163" s="117"/>
      <x:c r="N163" s="117"/>
      <x:c r="O163" s="117"/>
      <x:c r="P163" s="117"/>
      <x:c r="Q163" s="117"/>
      <x:c r="R163" s="117"/>
      <x:c r="S163" s="117"/>
      <x:c r="T163" s="117"/>
      <x:c r="U163" s="117"/>
      <x:c r="V163" s="117"/>
      <x:c r="W163" s="117"/>
      <x:c r="X163" s="117"/>
      <x:c r="Y163" s="117"/>
      <x:c r="Z163" s="117"/>
    </x:row>
    <x:row r="164">
      <x:c r="A164" s="117"/>
      <x:c r="B164" s="117"/>
      <x:c r="C164" s="117"/>
      <x:c r="D164" s="117"/>
      <x:c r="E164" s="117"/>
      <x:c r="F164" s="117"/>
      <x:c r="G164" s="117"/>
      <x:c r="H164" s="117"/>
      <x:c r="I164" s="117"/>
      <x:c r="J164" s="117"/>
      <x:c r="K164" s="117"/>
      <x:c r="L164" s="117"/>
      <x:c r="M164" s="117"/>
      <x:c r="N164" s="117"/>
      <x:c r="O164" s="117"/>
      <x:c r="P164" s="117"/>
      <x:c r="Q164" s="117"/>
      <x:c r="R164" s="117"/>
      <x:c r="S164" s="117"/>
      <x:c r="T164" s="117"/>
      <x:c r="U164" s="117"/>
      <x:c r="V164" s="117"/>
      <x:c r="W164" s="117"/>
      <x:c r="X164" s="117"/>
      <x:c r="Y164" s="117"/>
      <x:c r="Z164" s="117"/>
    </x:row>
    <x:row r="165">
      <x:c r="A165" s="117"/>
      <x:c r="B165" s="117"/>
      <x:c r="C165" s="117"/>
      <x:c r="D165" s="117"/>
      <x:c r="E165" s="117"/>
      <x:c r="F165" s="117"/>
      <x:c r="G165" s="117"/>
      <x:c r="H165" s="117"/>
      <x:c r="I165" s="117"/>
      <x:c r="J165" s="117"/>
      <x:c r="K165" s="117"/>
      <x:c r="L165" s="117"/>
      <x:c r="M165" s="117"/>
      <x:c r="N165" s="117"/>
      <x:c r="O165" s="117"/>
      <x:c r="P165" s="117"/>
      <x:c r="Q165" s="117"/>
      <x:c r="R165" s="117"/>
      <x:c r="S165" s="117"/>
      <x:c r="T165" s="117"/>
      <x:c r="U165" s="117"/>
      <x:c r="V165" s="117"/>
      <x:c r="W165" s="117"/>
      <x:c r="X165" s="117"/>
      <x:c r="Y165" s="117"/>
      <x:c r="Z165" s="117"/>
    </x:row>
    <x:row r="166">
      <x:c r="A166" s="117"/>
      <x:c r="B166" s="117"/>
      <x:c r="C166" s="117"/>
      <x:c r="D166" s="117"/>
      <x:c r="E166" s="117"/>
      <x:c r="F166" s="117"/>
      <x:c r="G166" s="117"/>
      <x:c r="H166" s="117"/>
      <x:c r="I166" s="117"/>
      <x:c r="J166" s="117"/>
      <x:c r="K166" s="117"/>
      <x:c r="L166" s="117"/>
      <x:c r="M166" s="117"/>
      <x:c r="N166" s="117"/>
      <x:c r="O166" s="117"/>
      <x:c r="P166" s="117"/>
      <x:c r="Q166" s="117"/>
      <x:c r="R166" s="117"/>
      <x:c r="S166" s="117"/>
      <x:c r="T166" s="117"/>
      <x:c r="U166" s="117"/>
      <x:c r="V166" s="117"/>
      <x:c r="W166" s="117"/>
      <x:c r="X166" s="117"/>
      <x:c r="Y166" s="117"/>
      <x:c r="Z166" s="117"/>
    </x:row>
    <x:row r="167">
      <x:c r="A167" s="117"/>
      <x:c r="B167" s="117"/>
      <x:c r="C167" s="117"/>
      <x:c r="D167" s="117"/>
      <x:c r="E167" s="117"/>
      <x:c r="F167" s="117"/>
      <x:c r="G167" s="117"/>
      <x:c r="H167" s="117"/>
      <x:c r="I167" s="117"/>
      <x:c r="J167" s="117"/>
      <x:c r="K167" s="117"/>
      <x:c r="L167" s="117"/>
      <x:c r="M167" s="117"/>
      <x:c r="N167" s="117"/>
      <x:c r="O167" s="117"/>
      <x:c r="P167" s="117"/>
      <x:c r="Q167" s="117"/>
      <x:c r="R167" s="117"/>
      <x:c r="S167" s="117"/>
      <x:c r="T167" s="117"/>
      <x:c r="U167" s="117"/>
      <x:c r="V167" s="117"/>
      <x:c r="W167" s="117"/>
      <x:c r="X167" s="117"/>
      <x:c r="Y167" s="117"/>
      <x:c r="Z167" s="117"/>
    </x:row>
    <x:row r="168">
      <x:c r="A168" s="117"/>
      <x:c r="B168" s="117"/>
      <x:c r="C168" s="117"/>
      <x:c r="D168" s="117"/>
      <x:c r="E168" s="117"/>
      <x:c r="F168" s="117"/>
      <x:c r="G168" s="117"/>
      <x:c r="H168" s="117"/>
      <x:c r="I168" s="117"/>
      <x:c r="J168" s="117"/>
      <x:c r="K168" s="117"/>
      <x:c r="L168" s="117"/>
      <x:c r="M168" s="117"/>
      <x:c r="N168" s="117"/>
      <x:c r="O168" s="117"/>
      <x:c r="P168" s="117"/>
      <x:c r="Q168" s="117"/>
      <x:c r="R168" s="117"/>
      <x:c r="S168" s="117"/>
      <x:c r="T168" s="117"/>
      <x:c r="U168" s="117"/>
      <x:c r="V168" s="117"/>
      <x:c r="W168" s="117"/>
      <x:c r="X168" s="117"/>
      <x:c r="Y168" s="117"/>
      <x:c r="Z168" s="117"/>
    </x:row>
    <x:row r="169">
      <x:c r="A169" s="117"/>
      <x:c r="B169" s="117"/>
      <x:c r="C169" s="117"/>
      <x:c r="D169" s="117"/>
      <x:c r="E169" s="117"/>
      <x:c r="F169" s="117"/>
      <x:c r="G169" s="117"/>
      <x:c r="H169" s="117"/>
      <x:c r="I169" s="117"/>
      <x:c r="J169" s="117"/>
      <x:c r="K169" s="117"/>
      <x:c r="L169" s="117"/>
      <x:c r="M169" s="117"/>
      <x:c r="N169" s="117"/>
      <x:c r="O169" s="117"/>
      <x:c r="P169" s="117"/>
      <x:c r="Q169" s="117"/>
      <x:c r="R169" s="117"/>
      <x:c r="S169" s="117"/>
      <x:c r="T169" s="117"/>
      <x:c r="U169" s="117"/>
      <x:c r="V169" s="117"/>
      <x:c r="W169" s="117"/>
      <x:c r="X169" s="117"/>
      <x:c r="Y169" s="117"/>
      <x:c r="Z169" s="117"/>
    </x:row>
    <x:row r="170">
      <x:c r="A170" s="117"/>
      <x:c r="B170" s="117"/>
      <x:c r="C170" s="117"/>
      <x:c r="D170" s="117"/>
      <x:c r="E170" s="117"/>
      <x:c r="F170" s="117"/>
      <x:c r="G170" s="117"/>
      <x:c r="H170" s="117"/>
      <x:c r="I170" s="117"/>
      <x:c r="J170" s="117"/>
      <x:c r="K170" s="117"/>
      <x:c r="L170" s="117"/>
      <x:c r="M170" s="117"/>
      <x:c r="N170" s="117"/>
      <x:c r="O170" s="117"/>
      <x:c r="P170" s="117"/>
      <x:c r="Q170" s="117"/>
      <x:c r="R170" s="117"/>
      <x:c r="S170" s="117"/>
      <x:c r="T170" s="117"/>
      <x:c r="U170" s="117"/>
      <x:c r="V170" s="117"/>
      <x:c r="W170" s="117"/>
      <x:c r="X170" s="117"/>
      <x:c r="Y170" s="117"/>
      <x:c r="Z170" s="117"/>
    </x:row>
    <x:row r="171">
      <x:c r="A171" s="117"/>
      <x:c r="B171" s="117"/>
      <x:c r="C171" s="117"/>
      <x:c r="D171" s="117"/>
      <x:c r="E171" s="117"/>
      <x:c r="F171" s="117"/>
      <x:c r="G171" s="117"/>
      <x:c r="H171" s="117"/>
      <x:c r="I171" s="117"/>
      <x:c r="J171" s="117"/>
      <x:c r="K171" s="117"/>
      <x:c r="L171" s="117"/>
      <x:c r="M171" s="117"/>
      <x:c r="N171" s="117"/>
      <x:c r="O171" s="117"/>
      <x:c r="P171" s="117"/>
      <x:c r="Q171" s="117"/>
      <x:c r="R171" s="117"/>
      <x:c r="S171" s="117"/>
      <x:c r="T171" s="117"/>
      <x:c r="U171" s="117"/>
      <x:c r="V171" s="117"/>
      <x:c r="W171" s="117"/>
      <x:c r="X171" s="117"/>
      <x:c r="Y171" s="117"/>
      <x:c r="Z171" s="117"/>
    </x:row>
    <x:row r="172">
      <x:c r="A172" s="117"/>
      <x:c r="B172" s="117"/>
      <x:c r="C172" s="117"/>
      <x:c r="D172" s="117"/>
      <x:c r="E172" s="117"/>
      <x:c r="F172" s="117"/>
      <x:c r="G172" s="117"/>
      <x:c r="H172" s="117"/>
      <x:c r="I172" s="117"/>
      <x:c r="J172" s="117"/>
      <x:c r="K172" s="117"/>
      <x:c r="L172" s="117"/>
      <x:c r="M172" s="117"/>
      <x:c r="N172" s="117"/>
      <x:c r="O172" s="117"/>
      <x:c r="P172" s="117"/>
      <x:c r="Q172" s="117"/>
      <x:c r="R172" s="117"/>
      <x:c r="S172" s="117"/>
      <x:c r="T172" s="117"/>
      <x:c r="U172" s="117"/>
      <x:c r="V172" s="117"/>
      <x:c r="W172" s="117"/>
      <x:c r="X172" s="117"/>
      <x:c r="Y172" s="117"/>
      <x:c r="Z172" s="117"/>
    </x:row>
    <x:row r="173">
      <x:c r="A173" s="117"/>
      <x:c r="B173" s="117"/>
      <x:c r="C173" s="117"/>
      <x:c r="D173" s="117"/>
      <x:c r="E173" s="117"/>
      <x:c r="F173" s="117"/>
      <x:c r="G173" s="117"/>
      <x:c r="H173" s="117"/>
      <x:c r="I173" s="117"/>
      <x:c r="J173" s="117"/>
      <x:c r="K173" s="117"/>
      <x:c r="L173" s="117"/>
      <x:c r="M173" s="117"/>
      <x:c r="N173" s="117"/>
      <x:c r="O173" s="117"/>
      <x:c r="P173" s="117"/>
      <x:c r="Q173" s="117"/>
      <x:c r="R173" s="117"/>
      <x:c r="S173" s="117"/>
      <x:c r="T173" s="117"/>
      <x:c r="U173" s="117"/>
      <x:c r="V173" s="117"/>
      <x:c r="W173" s="117"/>
      <x:c r="X173" s="117"/>
      <x:c r="Y173" s="117"/>
      <x:c r="Z173" s="117"/>
    </x:row>
    <x:row r="174">
      <x:c r="A174" s="117"/>
      <x:c r="B174" s="117"/>
      <x:c r="C174" s="117"/>
      <x:c r="D174" s="117"/>
      <x:c r="E174" s="117"/>
      <x:c r="F174" s="117"/>
      <x:c r="G174" s="117"/>
      <x:c r="H174" s="117"/>
      <x:c r="I174" s="117"/>
      <x:c r="J174" s="117"/>
      <x:c r="K174" s="117"/>
      <x:c r="L174" s="117"/>
      <x:c r="M174" s="117"/>
      <x:c r="N174" s="117"/>
      <x:c r="O174" s="117"/>
      <x:c r="P174" s="117"/>
      <x:c r="Q174" s="117"/>
      <x:c r="R174" s="117"/>
      <x:c r="S174" s="117"/>
      <x:c r="T174" s="117"/>
      <x:c r="U174" s="117"/>
      <x:c r="V174" s="117"/>
      <x:c r="W174" s="117"/>
      <x:c r="X174" s="117"/>
      <x:c r="Y174" s="117"/>
      <x:c r="Z174" s="117"/>
    </x:row>
    <x:row r="175">
      <x:c r="A175" s="117"/>
      <x:c r="B175" s="117"/>
      <x:c r="C175" s="117"/>
      <x:c r="D175" s="117"/>
      <x:c r="E175" s="117"/>
      <x:c r="F175" s="117"/>
      <x:c r="G175" s="117"/>
      <x:c r="H175" s="117"/>
      <x:c r="I175" s="117"/>
      <x:c r="J175" s="117"/>
      <x:c r="K175" s="117"/>
      <x:c r="L175" s="117"/>
      <x:c r="M175" s="117"/>
      <x:c r="N175" s="117"/>
      <x:c r="O175" s="117"/>
      <x:c r="P175" s="117"/>
      <x:c r="Q175" s="117"/>
      <x:c r="R175" s="117"/>
      <x:c r="S175" s="117"/>
      <x:c r="T175" s="117"/>
      <x:c r="U175" s="117"/>
      <x:c r="V175" s="117"/>
      <x:c r="W175" s="117"/>
      <x:c r="X175" s="117"/>
      <x:c r="Y175" s="117"/>
      <x:c r="Z175" s="117"/>
    </x:row>
    <x:row r="176">
      <x:c r="A176" s="117"/>
      <x:c r="B176" s="117"/>
      <x:c r="C176" s="117"/>
      <x:c r="D176" s="117"/>
      <x:c r="E176" s="117"/>
      <x:c r="F176" s="117"/>
      <x:c r="G176" s="117"/>
      <x:c r="H176" s="117"/>
      <x:c r="I176" s="117"/>
      <x:c r="J176" s="117"/>
      <x:c r="K176" s="117"/>
      <x:c r="L176" s="117"/>
      <x:c r="M176" s="117"/>
      <x:c r="N176" s="117"/>
      <x:c r="O176" s="117"/>
      <x:c r="P176" s="117"/>
      <x:c r="Q176" s="117"/>
      <x:c r="R176" s="117"/>
      <x:c r="S176" s="117"/>
      <x:c r="T176" s="117"/>
      <x:c r="U176" s="117"/>
      <x:c r="V176" s="117"/>
      <x:c r="W176" s="117"/>
      <x:c r="X176" s="117"/>
      <x:c r="Y176" s="117"/>
      <x:c r="Z176" s="117"/>
    </x:row>
    <x:row r="177">
      <x:c r="A177" s="117"/>
      <x:c r="B177" s="117"/>
      <x:c r="C177" s="117"/>
      <x:c r="D177" s="117"/>
      <x:c r="E177" s="117"/>
      <x:c r="F177" s="117"/>
      <x:c r="G177" s="117"/>
      <x:c r="H177" s="117"/>
      <x:c r="I177" s="117"/>
      <x:c r="J177" s="117"/>
      <x:c r="K177" s="117"/>
      <x:c r="L177" s="117"/>
      <x:c r="M177" s="117"/>
      <x:c r="N177" s="117"/>
      <x:c r="O177" s="117"/>
      <x:c r="P177" s="117"/>
      <x:c r="Q177" s="117"/>
      <x:c r="R177" s="117"/>
      <x:c r="S177" s="117"/>
      <x:c r="T177" s="117"/>
      <x:c r="U177" s="117"/>
      <x:c r="V177" s="117"/>
      <x:c r="W177" s="117"/>
      <x:c r="X177" s="117"/>
      <x:c r="Y177" s="117"/>
      <x:c r="Z177" s="117"/>
    </x:row>
    <x:row r="178">
      <x:c r="A178" s="117"/>
      <x:c r="B178" s="117"/>
      <x:c r="C178" s="117"/>
      <x:c r="D178" s="117"/>
      <x:c r="E178" s="117"/>
      <x:c r="F178" s="117"/>
      <x:c r="G178" s="117"/>
      <x:c r="H178" s="117"/>
      <x:c r="I178" s="117"/>
      <x:c r="J178" s="117"/>
      <x:c r="K178" s="117"/>
      <x:c r="L178" s="117"/>
      <x:c r="M178" s="117"/>
      <x:c r="N178" s="117"/>
      <x:c r="O178" s="117"/>
      <x:c r="P178" s="117"/>
      <x:c r="Q178" s="117"/>
      <x:c r="R178" s="117"/>
      <x:c r="S178" s="117"/>
      <x:c r="T178" s="117"/>
      <x:c r="U178" s="117"/>
      <x:c r="V178" s="117"/>
      <x:c r="W178" s="117"/>
      <x:c r="X178" s="117"/>
      <x:c r="Y178" s="117"/>
      <x:c r="Z178" s="117"/>
    </x:row>
    <x:row r="179">
      <x:c r="A179" s="117"/>
      <x:c r="B179" s="117"/>
      <x:c r="C179" s="117"/>
      <x:c r="D179" s="117"/>
      <x:c r="E179" s="117"/>
      <x:c r="F179" s="117"/>
      <x:c r="G179" s="117"/>
      <x:c r="H179" s="117"/>
      <x:c r="I179" s="117"/>
      <x:c r="J179" s="117"/>
      <x:c r="K179" s="117"/>
      <x:c r="L179" s="117"/>
      <x:c r="M179" s="117"/>
      <x:c r="N179" s="117"/>
      <x:c r="O179" s="117"/>
      <x:c r="P179" s="117"/>
      <x:c r="Q179" s="117"/>
      <x:c r="R179" s="117"/>
      <x:c r="S179" s="117"/>
      <x:c r="T179" s="117"/>
      <x:c r="U179" s="117"/>
      <x:c r="V179" s="117"/>
      <x:c r="W179" s="117"/>
      <x:c r="X179" s="117"/>
      <x:c r="Y179" s="117"/>
      <x:c r="Z179" s="117"/>
    </x:row>
    <x:row r="180">
      <x:c r="A180" s="117"/>
      <x:c r="B180" s="117"/>
      <x:c r="C180" s="117"/>
      <x:c r="D180" s="117"/>
      <x:c r="E180" s="117"/>
      <x:c r="F180" s="117"/>
      <x:c r="G180" s="117"/>
      <x:c r="H180" s="117"/>
      <x:c r="I180" s="117"/>
      <x:c r="J180" s="117"/>
      <x:c r="K180" s="117"/>
      <x:c r="L180" s="117"/>
      <x:c r="M180" s="117"/>
      <x:c r="N180" s="117"/>
      <x:c r="O180" s="117"/>
      <x:c r="P180" s="117"/>
      <x:c r="Q180" s="117"/>
      <x:c r="R180" s="117"/>
      <x:c r="S180" s="117"/>
      <x:c r="T180" s="117"/>
      <x:c r="U180" s="117"/>
      <x:c r="V180" s="117"/>
      <x:c r="W180" s="117"/>
      <x:c r="X180" s="117"/>
      <x:c r="Y180" s="117"/>
      <x:c r="Z180" s="117"/>
    </x:row>
    <x:row r="181">
      <x:c r="A181" s="117"/>
      <x:c r="B181" s="117"/>
      <x:c r="C181" s="117"/>
      <x:c r="D181" s="117"/>
      <x:c r="E181" s="117"/>
      <x:c r="F181" s="117"/>
      <x:c r="G181" s="117"/>
      <x:c r="H181" s="117"/>
      <x:c r="I181" s="117"/>
      <x:c r="J181" s="117"/>
      <x:c r="K181" s="117"/>
      <x:c r="L181" s="117"/>
      <x:c r="M181" s="117"/>
      <x:c r="N181" s="117"/>
      <x:c r="O181" s="117"/>
      <x:c r="P181" s="117"/>
      <x:c r="Q181" s="117"/>
      <x:c r="R181" s="117"/>
      <x:c r="S181" s="117"/>
      <x:c r="T181" s="117"/>
      <x:c r="U181" s="117"/>
      <x:c r="V181" s="117"/>
      <x:c r="W181" s="117"/>
      <x:c r="X181" s="117"/>
      <x:c r="Y181" s="117"/>
      <x:c r="Z181" s="117"/>
    </x:row>
    <x:row r="182">
      <x:c r="A182" s="117"/>
      <x:c r="B182" s="117"/>
      <x:c r="C182" s="117"/>
      <x:c r="D182" s="117"/>
      <x:c r="E182" s="117"/>
      <x:c r="F182" s="117"/>
      <x:c r="G182" s="117"/>
      <x:c r="H182" s="117"/>
      <x:c r="I182" s="117"/>
      <x:c r="J182" s="117"/>
      <x:c r="K182" s="117"/>
      <x:c r="L182" s="117"/>
      <x:c r="M182" s="117"/>
      <x:c r="N182" s="117"/>
      <x:c r="O182" s="117"/>
      <x:c r="P182" s="117"/>
      <x:c r="Q182" s="117"/>
      <x:c r="R182" s="117"/>
      <x:c r="S182" s="117"/>
      <x:c r="T182" s="117"/>
      <x:c r="U182" s="117"/>
      <x:c r="V182" s="117"/>
      <x:c r="W182" s="117"/>
      <x:c r="X182" s="117"/>
      <x:c r="Y182" s="117"/>
      <x:c r="Z182" s="117"/>
    </x:row>
    <x:row r="183">
      <x:c r="A183" s="117"/>
      <x:c r="B183" s="117"/>
      <x:c r="C183" s="117"/>
      <x:c r="D183" s="117"/>
      <x:c r="E183" s="117"/>
      <x:c r="F183" s="117"/>
      <x:c r="G183" s="117"/>
      <x:c r="H183" s="117"/>
      <x:c r="I183" s="117"/>
      <x:c r="J183" s="117"/>
      <x:c r="K183" s="117"/>
      <x:c r="L183" s="117"/>
      <x:c r="M183" s="117"/>
      <x:c r="N183" s="117"/>
      <x:c r="O183" s="117"/>
      <x:c r="P183" s="117"/>
      <x:c r="Q183" s="117"/>
      <x:c r="R183" s="117"/>
      <x:c r="S183" s="117"/>
      <x:c r="T183" s="117"/>
      <x:c r="U183" s="117"/>
      <x:c r="V183" s="117"/>
      <x:c r="W183" s="117"/>
      <x:c r="X183" s="117"/>
      <x:c r="Y183" s="117"/>
      <x:c r="Z183" s="117"/>
    </x:row>
    <x:row r="184">
      <x:c r="A184" s="117"/>
      <x:c r="B184" s="117"/>
      <x:c r="C184" s="117"/>
      <x:c r="D184" s="117"/>
      <x:c r="E184" s="117"/>
      <x:c r="F184" s="117"/>
      <x:c r="G184" s="117"/>
      <x:c r="H184" s="117"/>
      <x:c r="I184" s="117"/>
      <x:c r="J184" s="117"/>
      <x:c r="K184" s="117"/>
      <x:c r="L184" s="117"/>
      <x:c r="M184" s="117"/>
      <x:c r="N184" s="117"/>
      <x:c r="O184" s="117"/>
      <x:c r="P184" s="117"/>
      <x:c r="Q184" s="117"/>
      <x:c r="R184" s="117"/>
      <x:c r="S184" s="117"/>
      <x:c r="T184" s="117"/>
      <x:c r="U184" s="117"/>
      <x:c r="V184" s="117"/>
      <x:c r="W184" s="117"/>
      <x:c r="X184" s="117"/>
      <x:c r="Y184" s="117"/>
      <x:c r="Z184" s="117"/>
    </x:row>
    <x:row r="185">
      <x:c r="A185" s="117"/>
      <x:c r="B185" s="117"/>
      <x:c r="C185" s="117"/>
      <x:c r="D185" s="117"/>
      <x:c r="E185" s="117"/>
      <x:c r="F185" s="117"/>
      <x:c r="G185" s="117"/>
      <x:c r="H185" s="117"/>
      <x:c r="I185" s="117"/>
      <x:c r="J185" s="117"/>
      <x:c r="K185" s="117"/>
      <x:c r="L185" s="117"/>
      <x:c r="M185" s="117"/>
      <x:c r="N185" s="117"/>
      <x:c r="O185" s="117"/>
      <x:c r="P185" s="117"/>
      <x:c r="Q185" s="117"/>
      <x:c r="R185" s="117"/>
      <x:c r="S185" s="117"/>
      <x:c r="T185" s="117"/>
      <x:c r="U185" s="117"/>
      <x:c r="V185" s="117"/>
      <x:c r="W185" s="117"/>
      <x:c r="X185" s="117"/>
      <x:c r="Y185" s="117"/>
      <x:c r="Z185" s="117"/>
    </x:row>
    <x:row r="186">
      <x:c r="A186" s="117"/>
      <x:c r="B186" s="117"/>
      <x:c r="C186" s="117"/>
      <x:c r="D186" s="117"/>
      <x:c r="E186" s="117"/>
      <x:c r="F186" s="117"/>
      <x:c r="G186" s="117"/>
      <x:c r="H186" s="117"/>
      <x:c r="I186" s="117"/>
      <x:c r="J186" s="117"/>
      <x:c r="K186" s="117"/>
      <x:c r="L186" s="117"/>
      <x:c r="M186" s="117"/>
      <x:c r="N186" s="117"/>
      <x:c r="O186" s="117"/>
      <x:c r="P186" s="117"/>
      <x:c r="Q186" s="117"/>
      <x:c r="R186" s="117"/>
      <x:c r="S186" s="117"/>
      <x:c r="T186" s="117"/>
      <x:c r="U186" s="117"/>
      <x:c r="V186" s="117"/>
      <x:c r="W186" s="117"/>
      <x:c r="X186" s="117"/>
      <x:c r="Y186" s="117"/>
      <x:c r="Z186" s="117"/>
    </x:row>
    <x:row r="187">
      <x:c r="A187" s="117"/>
      <x:c r="B187" s="117"/>
      <x:c r="C187" s="117"/>
      <x:c r="D187" s="117"/>
      <x:c r="E187" s="117"/>
      <x:c r="F187" s="117"/>
      <x:c r="G187" s="117"/>
      <x:c r="H187" s="117"/>
      <x:c r="I187" s="117"/>
      <x:c r="J187" s="117"/>
      <x:c r="K187" s="117"/>
      <x:c r="L187" s="117"/>
      <x:c r="M187" s="117"/>
      <x:c r="N187" s="117"/>
      <x:c r="O187" s="117"/>
      <x:c r="P187" s="117"/>
      <x:c r="Q187" s="117"/>
      <x:c r="R187" s="117"/>
      <x:c r="S187" s="117"/>
      <x:c r="T187" s="117"/>
      <x:c r="U187" s="117"/>
      <x:c r="V187" s="117"/>
      <x:c r="W187" s="117"/>
      <x:c r="X187" s="117"/>
      <x:c r="Y187" s="117"/>
      <x:c r="Z187" s="117"/>
    </x:row>
    <x:row r="188">
      <x:c r="A188" s="117"/>
      <x:c r="B188" s="117"/>
      <x:c r="C188" s="117"/>
      <x:c r="D188" s="117"/>
      <x:c r="E188" s="117"/>
      <x:c r="F188" s="117"/>
      <x:c r="G188" s="117"/>
      <x:c r="H188" s="117"/>
      <x:c r="I188" s="117"/>
      <x:c r="J188" s="117"/>
      <x:c r="K188" s="117"/>
      <x:c r="L188" s="117"/>
      <x:c r="M188" s="117"/>
      <x:c r="N188" s="117"/>
      <x:c r="O188" s="117"/>
      <x:c r="P188" s="117"/>
      <x:c r="Q188" s="117"/>
      <x:c r="R188" s="117"/>
      <x:c r="S188" s="117"/>
      <x:c r="T188" s="117"/>
      <x:c r="U188" s="117"/>
      <x:c r="V188" s="117"/>
      <x:c r="W188" s="117"/>
      <x:c r="X188" s="117"/>
      <x:c r="Y188" s="117"/>
      <x:c r="Z188" s="117"/>
    </x:row>
    <x:row r="189">
      <x:c r="A189" s="117"/>
      <x:c r="B189" s="117"/>
      <x:c r="C189" s="117"/>
      <x:c r="D189" s="117"/>
      <x:c r="E189" s="117"/>
      <x:c r="F189" s="117"/>
      <x:c r="G189" s="117"/>
      <x:c r="H189" s="117"/>
      <x:c r="I189" s="117"/>
      <x:c r="J189" s="117"/>
      <x:c r="K189" s="117"/>
      <x:c r="L189" s="117"/>
      <x:c r="M189" s="117"/>
      <x:c r="N189" s="117"/>
      <x:c r="O189" s="117"/>
      <x:c r="P189" s="117"/>
      <x:c r="Q189" s="117"/>
      <x:c r="R189" s="117"/>
      <x:c r="S189" s="117"/>
      <x:c r="T189" s="117"/>
      <x:c r="U189" s="117"/>
      <x:c r="V189" s="117"/>
      <x:c r="W189" s="117"/>
      <x:c r="X189" s="117"/>
      <x:c r="Y189" s="117"/>
      <x:c r="Z189" s="117"/>
    </x:row>
    <x:row r="190">
      <x:c r="A190" s="117"/>
      <x:c r="B190" s="117"/>
      <x:c r="C190" s="117"/>
      <x:c r="D190" s="117"/>
      <x:c r="E190" s="117"/>
      <x:c r="F190" s="117"/>
      <x:c r="G190" s="117"/>
      <x:c r="H190" s="117"/>
      <x:c r="I190" s="117"/>
      <x:c r="J190" s="117"/>
      <x:c r="K190" s="117"/>
      <x:c r="L190" s="117"/>
      <x:c r="M190" s="117"/>
      <x:c r="N190" s="117"/>
      <x:c r="O190" s="117"/>
      <x:c r="P190" s="117"/>
      <x:c r="Q190" s="117"/>
      <x:c r="R190" s="117"/>
      <x:c r="S190" s="117"/>
      <x:c r="T190" s="117"/>
      <x:c r="U190" s="117"/>
      <x:c r="V190" s="117"/>
      <x:c r="W190" s="117"/>
      <x:c r="X190" s="117"/>
      <x:c r="Y190" s="117"/>
      <x:c r="Z190" s="117"/>
    </x:row>
    <x:row r="191">
      <x:c r="A191" s="117"/>
      <x:c r="B191" s="117"/>
      <x:c r="C191" s="117"/>
      <x:c r="D191" s="117"/>
      <x:c r="E191" s="117"/>
      <x:c r="F191" s="117"/>
      <x:c r="G191" s="117"/>
      <x:c r="H191" s="117"/>
      <x:c r="I191" s="117"/>
      <x:c r="J191" s="117"/>
      <x:c r="K191" s="117"/>
      <x:c r="L191" s="117"/>
      <x:c r="M191" s="117"/>
      <x:c r="N191" s="117"/>
      <x:c r="O191" s="117"/>
      <x:c r="P191" s="117"/>
      <x:c r="Q191" s="117"/>
      <x:c r="R191" s="117"/>
      <x:c r="S191" s="117"/>
      <x:c r="T191" s="117"/>
      <x:c r="U191" s="117"/>
      <x:c r="V191" s="117"/>
      <x:c r="W191" s="117"/>
      <x:c r="X191" s="117"/>
      <x:c r="Y191" s="117"/>
      <x:c r="Z191" s="117"/>
    </x:row>
    <x:row r="192">
      <x:c r="A192" s="117"/>
      <x:c r="B192" s="117"/>
      <x:c r="C192" s="117"/>
      <x:c r="D192" s="117"/>
      <x:c r="E192" s="117"/>
      <x:c r="F192" s="117"/>
      <x:c r="G192" s="117"/>
      <x:c r="H192" s="117"/>
      <x:c r="I192" s="117"/>
      <x:c r="J192" s="117"/>
      <x:c r="K192" s="117"/>
      <x:c r="L192" s="117"/>
      <x:c r="M192" s="117"/>
      <x:c r="N192" s="117"/>
      <x:c r="O192" s="117"/>
      <x:c r="P192" s="117"/>
      <x:c r="Q192" s="117"/>
      <x:c r="R192" s="117"/>
      <x:c r="S192" s="117"/>
      <x:c r="T192" s="117"/>
      <x:c r="U192" s="117"/>
      <x:c r="V192" s="117"/>
      <x:c r="W192" s="117"/>
      <x:c r="X192" s="117"/>
      <x:c r="Y192" s="117"/>
      <x:c r="Z192" s="117"/>
    </x:row>
    <x:row r="193">
      <x:c r="A193" s="117"/>
      <x:c r="B193" s="117"/>
      <x:c r="C193" s="117"/>
      <x:c r="D193" s="117"/>
      <x:c r="E193" s="117"/>
      <x:c r="F193" s="117"/>
      <x:c r="G193" s="117"/>
      <x:c r="H193" s="117"/>
      <x:c r="I193" s="117"/>
      <x:c r="J193" s="117"/>
      <x:c r="K193" s="117"/>
      <x:c r="L193" s="117"/>
      <x:c r="M193" s="117"/>
      <x:c r="N193" s="117"/>
      <x:c r="O193" s="117"/>
      <x:c r="P193" s="117"/>
      <x:c r="Q193" s="117"/>
      <x:c r="R193" s="117"/>
      <x:c r="S193" s="117"/>
      <x:c r="T193" s="117"/>
      <x:c r="U193" s="117"/>
      <x:c r="V193" s="117"/>
      <x:c r="W193" s="117"/>
      <x:c r="X193" s="117"/>
      <x:c r="Y193" s="117"/>
      <x:c r="Z193" s="117"/>
    </x:row>
    <x:row r="194">
      <x:c r="A194" s="117"/>
      <x:c r="B194" s="117"/>
      <x:c r="C194" s="117"/>
      <x:c r="D194" s="117"/>
      <x:c r="E194" s="117"/>
      <x:c r="F194" s="117"/>
      <x:c r="G194" s="117"/>
      <x:c r="H194" s="117"/>
      <x:c r="I194" s="117"/>
      <x:c r="J194" s="117"/>
      <x:c r="K194" s="117"/>
      <x:c r="L194" s="117"/>
      <x:c r="M194" s="117"/>
      <x:c r="N194" s="117"/>
      <x:c r="O194" s="117"/>
      <x:c r="P194" s="117"/>
      <x:c r="Q194" s="117"/>
      <x:c r="R194" s="117"/>
      <x:c r="S194" s="117"/>
      <x:c r="T194" s="117"/>
      <x:c r="U194" s="117"/>
      <x:c r="V194" s="117"/>
      <x:c r="W194" s="117"/>
      <x:c r="X194" s="117"/>
      <x:c r="Y194" s="117"/>
      <x:c r="Z194" s="117"/>
    </x:row>
    <x:row r="195">
      <x:c r="A195" s="117"/>
      <x:c r="B195" s="117"/>
      <x:c r="C195" s="117"/>
      <x:c r="D195" s="117"/>
      <x:c r="E195" s="117"/>
      <x:c r="F195" s="117"/>
      <x:c r="G195" s="117"/>
      <x:c r="H195" s="117"/>
      <x:c r="I195" s="117"/>
      <x:c r="J195" s="117"/>
      <x:c r="K195" s="117"/>
      <x:c r="L195" s="117"/>
      <x:c r="M195" s="117"/>
      <x:c r="N195" s="117"/>
      <x:c r="O195" s="117"/>
      <x:c r="P195" s="117"/>
      <x:c r="Q195" s="117"/>
      <x:c r="R195" s="117"/>
      <x:c r="S195" s="117"/>
      <x:c r="T195" s="117"/>
      <x:c r="U195" s="117"/>
      <x:c r="V195" s="117"/>
      <x:c r="W195" s="117"/>
      <x:c r="X195" s="117"/>
      <x:c r="Y195" s="117"/>
      <x:c r="Z195" s="117"/>
    </x:row>
    <x:row r="196">
      <x:c r="A196" s="117"/>
      <x:c r="B196" s="117"/>
      <x:c r="C196" s="117"/>
      <x:c r="D196" s="117"/>
      <x:c r="E196" s="117"/>
      <x:c r="F196" s="117"/>
      <x:c r="G196" s="117"/>
      <x:c r="H196" s="117"/>
      <x:c r="I196" s="117"/>
      <x:c r="J196" s="117"/>
      <x:c r="K196" s="117"/>
      <x:c r="L196" s="117"/>
      <x:c r="M196" s="117"/>
      <x:c r="N196" s="117"/>
      <x:c r="O196" s="117"/>
      <x:c r="P196" s="117"/>
      <x:c r="Q196" s="117"/>
      <x:c r="R196" s="117"/>
      <x:c r="S196" s="117"/>
      <x:c r="T196" s="117"/>
      <x:c r="U196" s="117"/>
      <x:c r="V196" s="117"/>
      <x:c r="W196" s="117"/>
      <x:c r="X196" s="117"/>
      <x:c r="Y196" s="117"/>
      <x:c r="Z196" s="117"/>
    </x:row>
    <x:row r="197">
      <x:c r="A197" s="117"/>
      <x:c r="B197" s="117"/>
      <x:c r="C197" s="117"/>
      <x:c r="D197" s="117"/>
      <x:c r="E197" s="117"/>
      <x:c r="F197" s="117"/>
      <x:c r="G197" s="117"/>
      <x:c r="H197" s="117"/>
      <x:c r="I197" s="117"/>
      <x:c r="J197" s="117"/>
      <x:c r="K197" s="117"/>
      <x:c r="L197" s="117"/>
      <x:c r="M197" s="117"/>
      <x:c r="N197" s="117"/>
      <x:c r="O197" s="117"/>
      <x:c r="P197" s="117"/>
      <x:c r="Q197" s="117"/>
      <x:c r="R197" s="117"/>
      <x:c r="S197" s="117"/>
      <x:c r="T197" s="117"/>
      <x:c r="U197" s="117"/>
      <x:c r="V197" s="117"/>
      <x:c r="W197" s="117"/>
      <x:c r="X197" s="117"/>
      <x:c r="Y197" s="117"/>
      <x:c r="Z197" s="117"/>
    </x:row>
    <x:row r="198">
      <x:c r="A198" s="117"/>
      <x:c r="B198" s="117"/>
      <x:c r="C198" s="117"/>
      <x:c r="D198" s="117"/>
      <x:c r="E198" s="117"/>
      <x:c r="F198" s="117"/>
      <x:c r="G198" s="117"/>
      <x:c r="H198" s="117"/>
      <x:c r="I198" s="117"/>
      <x:c r="J198" s="117"/>
      <x:c r="K198" s="117"/>
      <x:c r="L198" s="117"/>
      <x:c r="M198" s="117"/>
      <x:c r="N198" s="117"/>
      <x:c r="O198" s="117"/>
      <x:c r="P198" s="117"/>
      <x:c r="Q198" s="117"/>
      <x:c r="R198" s="117"/>
      <x:c r="S198" s="117"/>
      <x:c r="T198" s="117"/>
      <x:c r="U198" s="117"/>
      <x:c r="V198" s="117"/>
      <x:c r="W198" s="117"/>
      <x:c r="X198" s="117"/>
      <x:c r="Y198" s="117"/>
      <x:c r="Z198" s="117"/>
    </x:row>
    <x:row r="199">
      <x:c r="A199" s="117"/>
      <x:c r="B199" s="117"/>
      <x:c r="C199" s="117"/>
      <x:c r="D199" s="117"/>
      <x:c r="E199" s="117"/>
      <x:c r="F199" s="117"/>
      <x:c r="G199" s="117"/>
      <x:c r="H199" s="117"/>
      <x:c r="I199" s="117"/>
      <x:c r="J199" s="117"/>
      <x:c r="K199" s="117"/>
      <x:c r="L199" s="117"/>
      <x:c r="M199" s="117"/>
      <x:c r="N199" s="117"/>
      <x:c r="O199" s="117"/>
      <x:c r="P199" s="117"/>
      <x:c r="Q199" s="117"/>
      <x:c r="R199" s="117"/>
      <x:c r="S199" s="117"/>
      <x:c r="T199" s="117"/>
      <x:c r="U199" s="117"/>
      <x:c r="V199" s="117"/>
      <x:c r="W199" s="117"/>
      <x:c r="X199" s="117"/>
      <x:c r="Y199" s="117"/>
      <x:c r="Z199" s="117"/>
    </x:row>
    <x:row r="200">
      <x:c r="A200" s="117"/>
      <x:c r="B200" s="117"/>
      <x:c r="C200" s="117"/>
      <x:c r="D200" s="117"/>
      <x:c r="E200" s="117"/>
      <x:c r="F200" s="117"/>
      <x:c r="G200" s="117"/>
      <x:c r="H200" s="117"/>
      <x:c r="I200" s="117"/>
      <x:c r="J200" s="117"/>
      <x:c r="K200" s="117"/>
      <x:c r="L200" s="117"/>
      <x:c r="M200" s="117"/>
      <x:c r="N200" s="117"/>
      <x:c r="O200" s="117"/>
      <x:c r="P200" s="117"/>
      <x:c r="Q200" s="117"/>
      <x:c r="R200" s="117"/>
      <x:c r="S200" s="117"/>
      <x:c r="T200" s="117"/>
      <x:c r="U200" s="117"/>
      <x:c r="V200" s="117"/>
      <x:c r="W200" s="117"/>
      <x:c r="X200" s="117"/>
      <x:c r="Y200" s="117"/>
      <x:c r="Z200" s="117"/>
    </x:row>
  </x:sheetData>
  <x:mergeCells>
    <x:mergeCell ref="A1:K1"/>
    <x:mergeCell ref="A2:K2"/>
  </x:mergeCells>
  <x:pageMargins left="0.7" right="0.7" top="0.75" bottom="0.75" header="0.3" footer="0.3"/>
</x:worksheet>
</file>

<file path=xl/worksheets/sheet13.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s>
  <x:sheetData>
    <x:row r="1" ht="28" customHeight="1">
      <x:c r="A1" s="116" t="str">
        <x:v>12_改訂履歴</x:v>
      </x:c>
      <x:c r="B1" s="116"/>
      <x:c r="C1" s="116"/>
      <x:c r="D1" s="116"/>
      <x:c r="E1" s="116"/>
      <x:c r="F1" s="116"/>
      <x:c r="G1" s="116"/>
      <x:c r="H1" s="117"/>
      <x:c r="I1" s="117"/>
      <x:c r="J1" s="117"/>
      <x:c r="K1" s="117"/>
      <x:c r="L1" s="117"/>
      <x:c r="M1" s="117"/>
      <x:c r="N1" s="117"/>
      <x:c r="O1" s="117"/>
      <x:c r="P1" s="117"/>
      <x:c r="Q1" s="117"/>
      <x:c r="R1" s="117"/>
      <x:c r="S1" s="117"/>
      <x:c r="T1" s="117"/>
      <x:c r="U1" s="117"/>
      <x:c r="V1" s="117"/>
      <x:c r="W1" s="117"/>
      <x:c r="X1" s="117"/>
      <x:c r="Y1" s="117"/>
      <x:c r="Z1" s="117"/>
    </x:row>
    <x:row r="2" ht="34" customHeight="1">
      <x:c r="A2" s="118" t="str">
        <x:v>Version0.1 初期構造。08の逆算結果に従い次工程で詳細化。</x:v>
      </x:c>
      <x:c r="B2" s="118"/>
      <x:c r="C2" s="118"/>
      <x:c r="D2" s="118"/>
      <x:c r="E2" s="118"/>
      <x:c r="F2" s="118"/>
      <x:c r="G2" s="118"/>
      <x:c r="H2" s="117"/>
      <x:c r="I2" s="117"/>
      <x:c r="J2" s="117"/>
      <x:c r="K2" s="117"/>
      <x:c r="L2" s="117"/>
      <x:c r="M2" s="117"/>
      <x:c r="N2" s="117"/>
      <x:c r="O2" s="117"/>
      <x:c r="P2" s="117"/>
      <x:c r="Q2" s="117"/>
      <x:c r="R2" s="117"/>
      <x:c r="S2" s="117"/>
      <x:c r="T2" s="117"/>
      <x:c r="U2" s="117"/>
      <x:c r="V2" s="117"/>
      <x:c r="W2" s="117"/>
      <x:c r="X2" s="117"/>
      <x:c r="Y2" s="117"/>
      <x:c r="Z2" s="117"/>
    </x:row>
    <x:row r="3">
      <x:c r="A3" s="117"/>
      <x:c r="B3" s="117"/>
      <x:c r="C3" s="117"/>
      <x:c r="D3" s="117"/>
      <x:c r="E3" s="117"/>
      <x:c r="F3" s="117"/>
      <x:c r="G3" s="117"/>
      <x:c r="H3" s="117"/>
      <x:c r="I3" s="117"/>
      <x:c r="J3" s="117"/>
      <x:c r="K3" s="117"/>
      <x:c r="L3" s="117"/>
      <x:c r="M3" s="117"/>
      <x:c r="N3" s="117"/>
      <x:c r="O3" s="117"/>
      <x:c r="P3" s="117"/>
      <x:c r="Q3" s="117"/>
      <x:c r="R3" s="117"/>
      <x:c r="S3" s="117"/>
      <x:c r="T3" s="117"/>
      <x:c r="U3" s="117"/>
      <x:c r="V3" s="117"/>
      <x:c r="W3" s="117"/>
      <x:c r="X3" s="117"/>
      <x:c r="Y3" s="117"/>
      <x:c r="Z3" s="117"/>
    </x:row>
    <x:row r="4" ht="34" customHeight="1">
      <x:c r="A4" s="119" t="str">
        <x:v>Version</x:v>
      </x:c>
      <x:c r="B4" s="126" t="str">
        <x:v>日付</x:v>
      </x:c>
      <x:c r="C4" s="126" t="str">
        <x:v>対象シート</x:v>
      </x:c>
      <x:c r="D4" s="126" t="str">
        <x:v>変更内容</x:v>
      </x:c>
      <x:c r="E4" s="126" t="str">
        <x:v>変更理由</x:v>
      </x:c>
      <x:c r="F4" s="126" t="str">
        <x:v>作成者</x:v>
      </x:c>
      <x:c r="G4" s="120" t="str">
        <x:v>承認状態</x:v>
      </x:c>
      <x:c r="H4" s="117"/>
      <x:c r="I4" s="117"/>
      <x:c r="J4" s="117"/>
      <x:c r="K4" s="117"/>
      <x:c r="L4" s="117"/>
      <x:c r="M4" s="117"/>
      <x:c r="N4" s="117"/>
      <x:c r="O4" s="117"/>
      <x:c r="P4" s="117"/>
      <x:c r="Q4" s="117"/>
      <x:c r="R4" s="117"/>
      <x:c r="S4" s="117"/>
      <x:c r="T4" s="117"/>
      <x:c r="U4" s="117"/>
      <x:c r="V4" s="117"/>
      <x:c r="W4" s="117"/>
      <x:c r="X4" s="117"/>
      <x:c r="Y4" s="117"/>
      <x:c r="Z4" s="117"/>
    </x:row>
    <x:row r="5">
      <x:c r="A5" s="2949" t="str">
        <x:v>0.1</x:v>
      </x:c>
      <x:c r="B5" s="2950" t="str">
        <x:v>2026-07-26</x:v>
      </x:c>
      <x:c r="C5" s="2950" t="str">
        <x:v>全体</x:v>
      </x:c>
      <x:c r="D5" s="2950" t="str">
        <x:v>08_レポート可変項目定義を起点とする初期設計台帳を作成</x:v>
      </x:c>
      <x:c r="E5" s="2950" t="str">
        <x:v>正式進行方針の承認</x:v>
      </x:c>
      <x:c r="F5" s="2950" t="str">
        <x:v>OpenAI</x:v>
      </x:c>
      <x:c r="G5" s="2951" t="str">
        <x:v>作成</x:v>
      </x:c>
      <x:c r="H5" s="117"/>
      <x:c r="I5" s="117"/>
      <x:c r="J5" s="117"/>
      <x:c r="K5" s="117"/>
      <x:c r="L5" s="117"/>
      <x:c r="M5" s="117"/>
      <x:c r="N5" s="117"/>
      <x:c r="O5" s="117"/>
      <x:c r="P5" s="117"/>
      <x:c r="Q5" s="117"/>
      <x:c r="R5" s="117"/>
      <x:c r="S5" s="117"/>
      <x:c r="T5" s="117"/>
      <x:c r="U5" s="117"/>
      <x:c r="V5" s="117"/>
      <x:c r="W5" s="117"/>
      <x:c r="X5" s="117"/>
      <x:c r="Y5" s="117"/>
      <x:c r="Z5" s="117"/>
    </x:row>
    <x:row r="6">
      <x:c r="A6" s="2952" t="str">
        <x:v>0.2</x:v>
      </x:c>
      <x:c r="B6" s="1521" t="str">
        <x:v>2026-07-26</x:v>
      </x:c>
      <x:c r="C6" s="1521" t="str">
        <x:v>01～07,10,11</x:v>
      </x:c>
      <x:c r="D6" s="1521" t="str">
        <x:v>Decision Guardrail、EDI、DRI、EPIの質問票・選択肢・採点・Evidence・整合性・コメントコードを具体化</x:v>
      </x:c>
      <x:c r="E6" s="1521" t="str">
        <x:v>ユーザー承認後の詳細設計</x:v>
      </x:c>
      <x:c r="F6" s="1521" t="str">
        <x:v>OpenAI</x:v>
      </x:c>
      <x:c r="G6" s="2953" t="str">
        <x:v>レビュー待ち</x:v>
      </x:c>
      <x:c r="H6" s="117"/>
      <x:c r="I6" s="117"/>
      <x:c r="J6" s="117"/>
      <x:c r="K6" s="117"/>
      <x:c r="L6" s="117"/>
      <x:c r="M6" s="117"/>
      <x:c r="N6" s="117"/>
      <x:c r="O6" s="117"/>
      <x:c r="P6" s="117"/>
      <x:c r="Q6" s="117"/>
      <x:c r="R6" s="117"/>
      <x:c r="S6" s="117"/>
      <x:c r="T6" s="117"/>
      <x:c r="U6" s="117"/>
      <x:c r="V6" s="117"/>
      <x:c r="W6" s="117"/>
      <x:c r="X6" s="117"/>
      <x:c r="Y6" s="117"/>
      <x:c r="Z6" s="117"/>
    </x:row>
    <x:row r="7">
      <x:c r="A7" s="2952" t="str">
        <x:v>0.3</x:v>
      </x:c>
      <x:c r="B7" s="1521" t="str">
        <x:v>2026-07-26</x:v>
      </x:c>
      <x:c r="C7" s="1521" t="str">
        <x:v>00,03,04,08,13</x:v>
      </x:c>
      <x:c r="D7" s="1521" t="str">
        <x:v>EDI・DRI・EPI正式算定式、評価帯、Guardrail表示順位、TOP5順位付けロジックを確定</x:v>
      </x:c>
      <x:c r="E7" s="1521" t="str">
        <x:v>ユーザー指示に基づくロジックFreeze</x:v>
      </x:c>
      <x:c r="F7" s="1521" t="str">
        <x:v>OpenAI</x:v>
      </x:c>
      <x:c r="G7" s="2953" t="str">
        <x:v>凍結候補</x:v>
      </x:c>
      <x:c r="H7" s="117"/>
      <x:c r="I7" s="117"/>
      <x:c r="J7" s="117"/>
      <x:c r="K7" s="117"/>
      <x:c r="L7" s="117"/>
      <x:c r="M7" s="117"/>
      <x:c r="N7" s="117"/>
      <x:c r="O7" s="117"/>
      <x:c r="P7" s="117"/>
      <x:c r="Q7" s="117"/>
      <x:c r="R7" s="117"/>
      <x:c r="S7" s="117"/>
      <x:c r="T7" s="117"/>
      <x:c r="U7" s="117"/>
      <x:c r="V7" s="117"/>
      <x:c r="W7" s="117"/>
      <x:c r="X7" s="117"/>
      <x:c r="Y7" s="117"/>
      <x:c r="Z7" s="117"/>
    </x:row>
    <x:row r="8">
      <x:c r="A8" s="2952" t="str">
        <x:v>0.4</x:v>
      </x:c>
      <x:c r="B8" s="1521" t="str">
        <x:v>2026-07-26</x:v>
      </x:c>
      <x:c r="C8" s="1521" t="str">
        <x:v>00,05,07,08,10,14</x:v>
      </x:c>
      <x:c r="D8" s="1521" t="str">
        <x:v>診断信頼度・情報充足率の正式算定式、コメント選択順、AI整文ルール、レポート出力制御を定義</x:v>
      </x:c>
      <x:c r="E8" s="1521" t="str">
        <x:v>Version0.3の次工程として診断品質・文章生成仕様を具体化</x:v>
      </x:c>
      <x:c r="F8" s="1521" t="str">
        <x:v>OpenAI</x:v>
      </x:c>
      <x:c r="G8" s="2953" t="str">
        <x:v>レビュー待ち</x:v>
      </x:c>
      <x:c r="H8" s="117"/>
      <x:c r="I8" s="117"/>
      <x:c r="J8" s="117"/>
      <x:c r="K8" s="117"/>
      <x:c r="L8" s="117"/>
      <x:c r="M8" s="117"/>
      <x:c r="N8" s="117"/>
      <x:c r="O8" s="117"/>
      <x:c r="P8" s="117"/>
      <x:c r="Q8" s="117"/>
      <x:c r="R8" s="117"/>
      <x:c r="S8" s="117"/>
      <x:c r="T8" s="117"/>
      <x:c r="U8" s="117"/>
      <x:c r="V8" s="117"/>
      <x:c r="W8" s="117"/>
      <x:c r="X8" s="117"/>
      <x:c r="Y8" s="117"/>
      <x:c r="Z8" s="117"/>
    </x:row>
    <x:row r="9">
      <x:c r="A9" s="2952" t="str">
        <x:v>0.5</x:v>
      </x:c>
      <x:c r="B9" s="1521" t="str">
        <x:v>2026-07-26</x:v>
      </x:c>
      <x:c r="C9" s="1521" t="str">
        <x:v>07,12,15,16,17</x:v>
      </x:c>
      <x:c r="D9" s="1521" t="str">
        <x:v>主要課題のL0～L3コメントコードを充足し、テスト入力とA3レポート出力前の自動生成サンプルを作成</x:v>
      </x:c>
      <x:c r="E9" s="1521" t="str">
        <x:v>Version0.4の次工程として文章エンジンの実出力確認を実施</x:v>
      </x:c>
      <x:c r="F9" s="1521" t="str">
        <x:v>OpenAI</x:v>
      </x:c>
      <x:c r="G9" s="2953" t="str">
        <x:v>レビュー待ち</x:v>
      </x:c>
      <x:c r="H9" s="117"/>
      <x:c r="I9" s="117"/>
      <x:c r="J9" s="117"/>
      <x:c r="K9" s="117"/>
      <x:c r="L9" s="117"/>
      <x:c r="M9" s="117"/>
      <x:c r="N9" s="117"/>
      <x:c r="O9" s="117"/>
      <x:c r="P9" s="117"/>
      <x:c r="Q9" s="117"/>
      <x:c r="R9" s="117"/>
      <x:c r="S9" s="117"/>
      <x:c r="T9" s="117"/>
      <x:c r="U9" s="117"/>
      <x:c r="V9" s="117"/>
      <x:c r="W9" s="117"/>
      <x:c r="X9" s="117"/>
      <x:c r="Y9" s="117"/>
      <x:c r="Z9" s="117"/>
    </x:row>
    <x:row r="10">
      <x:c r="A10" s="2952" t="str">
        <x:v>0.6</x:v>
      </x:c>
      <x:c r="B10" s="1521" t="str">
        <x:v>2026-07-26</x:v>
      </x:c>
      <x:c r="C10" s="1521" t="str">
        <x:v>00,12,18,19</x:v>
      </x:c>
      <x:c r="D10" s="1521" t="str">
        <x:v>TC-Aの診断結果をA3横2ページの正式レポートレイアウトへ配置し、表示量・カード数・文章長を調整</x:v>
      </x:c>
      <x:c r="E10" s="1521" t="str">
        <x:v>Version0.5の自動生成結果を実際の成果物形式で検証</x:v>
      </x:c>
      <x:c r="F10" s="1521" t="str">
        <x:v>OpenAI</x:v>
      </x:c>
      <x:c r="G10" s="2953" t="str">
        <x:v>レビュー待ち</x:v>
      </x:c>
      <x:c r="H10" s="117"/>
      <x:c r="I10" s="117"/>
      <x:c r="J10" s="117"/>
      <x:c r="K10" s="117"/>
      <x:c r="L10" s="117"/>
      <x:c r="M10" s="117"/>
      <x:c r="N10" s="117"/>
      <x:c r="O10" s="117"/>
      <x:c r="P10" s="117"/>
      <x:c r="Q10" s="117"/>
      <x:c r="R10" s="117"/>
      <x:c r="S10" s="117"/>
      <x:c r="T10" s="117"/>
      <x:c r="U10" s="117"/>
      <x:c r="V10" s="117"/>
      <x:c r="W10" s="117"/>
      <x:c r="X10" s="117"/>
      <x:c r="Y10" s="117"/>
      <x:c r="Z10" s="117"/>
    </x:row>
    <x:row r="11">
      <x:c r="A11" s="2952" t="str">
        <x:v>0.7</x:v>
      </x:c>
      <x:c r="B11" s="1521" t="str">
        <x:v>2026-07-26</x:v>
      </x:c>
      <x:c r="C11" s="1521" t="str">
        <x:v>00,12,20,21,22,23,24</x:v>
      </x:c>
      <x:c r="D11" s="1521" t="str">
        <x:v>LP画面遷移、UI項目、システム処理、データ/API、受入テスト仕様を作成</x:v>
      </x:c>
      <x:c r="E11" s="1521" t="str">
        <x:v>A3レポート基準確定後のシステム・開発仕様化</x:v>
      </x:c>
      <x:c r="F11" s="1521" t="str">
        <x:v>OpenAI</x:v>
      </x:c>
      <x:c r="G11" s="2953" t="str">
        <x:v>レビュー待ち</x:v>
      </x:c>
      <x:c r="H11" s="117"/>
      <x:c r="I11" s="117"/>
      <x:c r="J11" s="117"/>
      <x:c r="K11" s="117"/>
      <x:c r="L11" s="117"/>
      <x:c r="M11" s="117"/>
      <x:c r="N11" s="117"/>
      <x:c r="O11" s="117"/>
      <x:c r="P11" s="117"/>
      <x:c r="Q11" s="117"/>
      <x:c r="R11" s="117"/>
      <x:c r="S11" s="117"/>
      <x:c r="T11" s="117"/>
      <x:c r="U11" s="117"/>
      <x:c r="V11" s="117"/>
      <x:c r="W11" s="117"/>
      <x:c r="X11" s="117"/>
      <x:c r="Y11" s="117"/>
      <x:c r="Z11" s="117"/>
    </x:row>
    <x:row r="12">
      <x:c r="A12" s="2952" t="str">
        <x:v>0.8</x:v>
      </x:c>
      <x:c r="B12" s="1521" t="str">
        <x:v>2026-07-26</x:v>
      </x:c>
      <x:c r="C12" s="1521" t="str">
        <x:v>00,12,25,26,27,28,29</x:v>
      </x:c>
      <x:c r="D12" s="1521" t="str">
        <x:v>開発会社向けRFP回答様式、見積内訳、提案評価、段階開発ロードマップ、リスク管理を作成</x:v>
      </x:c>
      <x:c r="E12" s="1521" t="str">
        <x:v>Version0.7を実際の提案依頼・選定・発注判断へ展開</x:v>
      </x:c>
      <x:c r="F12" s="1521" t="str">
        <x:v>OpenAI</x:v>
      </x:c>
      <x:c r="G12" s="2953" t="str">
        <x:v>レビュー待ち</x:v>
      </x:c>
      <x:c r="H12" s="117"/>
      <x:c r="I12" s="117"/>
      <x:c r="J12" s="117"/>
      <x:c r="K12" s="117"/>
      <x:c r="L12" s="117"/>
      <x:c r="M12" s="117"/>
      <x:c r="N12" s="117"/>
      <x:c r="O12" s="117"/>
      <x:c r="P12" s="117"/>
      <x:c r="Q12" s="117"/>
      <x:c r="R12" s="117"/>
      <x:c r="S12" s="117"/>
      <x:c r="T12" s="117"/>
      <x:c r="U12" s="117"/>
      <x:c r="V12" s="117"/>
      <x:c r="W12" s="117"/>
      <x:c r="X12" s="117"/>
      <x:c r="Y12" s="117"/>
      <x:c r="Z12" s="117"/>
    </x:row>
    <x:row r="13">
      <x:c r="A13" s="2952" t="str">
        <x:v>0.9</x:v>
      </x:c>
      <x:c r="B13" s="1521" t="str">
        <x:v>2026-07-26</x:v>
      </x:c>
      <x:c r="C13" s="1521" t="str">
        <x:v>00,12,30,31,32,33,34,35,36</x:v>
      </x:c>
      <x:c r="D13" s="1521" t="str">
        <x:v>社内決裁、パイロットKPI、RACI、変更管理、ベンダーQ&amp;A、契約チェック、リリース判定を作成</x:v>
      </x:c>
      <x:c r="E13" s="1521" t="str">
        <x:v>RFP・選定後の発注、開発統制、限定公開、事業継続判断へ展開</x:v>
      </x:c>
      <x:c r="F13" s="1521" t="str">
        <x:v>OpenAI</x:v>
      </x:c>
      <x:c r="G13" s="2953" t="str">
        <x:v>レビュー待ち</x:v>
      </x:c>
      <x:c r="H13" s="117"/>
      <x:c r="I13" s="117"/>
      <x:c r="J13" s="117"/>
      <x:c r="K13" s="117"/>
      <x:c r="L13" s="117"/>
      <x:c r="M13" s="117"/>
      <x:c r="N13" s="117"/>
      <x:c r="O13" s="117"/>
      <x:c r="P13" s="117"/>
      <x:c r="Q13" s="117"/>
      <x:c r="R13" s="117"/>
      <x:c r="S13" s="117"/>
      <x:c r="T13" s="117"/>
      <x:c r="U13" s="117"/>
      <x:c r="V13" s="117"/>
      <x:c r="W13" s="117"/>
      <x:c r="X13" s="117"/>
      <x:c r="Y13" s="117"/>
      <x:c r="Z13" s="117"/>
    </x:row>
    <x:row r="14">
      <x:c r="A14" s="2952" t="str">
        <x:v>1.0</x:v>
      </x:c>
      <x:c r="B14" s="1521" t="str">
        <x:v>2026-07-26</x:v>
      </x:c>
      <x:c r="C14" s="1521" t="str">
        <x:v>00,12,37,38,39,40,41</x:v>
      </x:c>
      <x:c r="D14" s="1521" t="str">
        <x:v>成果物マスター、Baseline/Freeze、開発バックログ、要件トレーサビリティ、Version1.0ステータスを作成</x:v>
      </x:c>
      <x:c r="E14" s="1521" t="str">
        <x:v>設計・RFP・発注・運用体系をVersion1.0 Baselineとして確立</x:v>
      </x:c>
      <x:c r="F14" s="1521" t="str">
        <x:v>OpenAI</x:v>
      </x:c>
      <x:c r="G14" s="2953" t="str">
        <x:v>Baseline</x:v>
      </x:c>
      <x:c r="H14" s="117"/>
      <x:c r="I14" s="117"/>
      <x:c r="J14" s="117"/>
      <x:c r="K14" s="117"/>
      <x:c r="L14" s="117"/>
      <x:c r="M14" s="117"/>
      <x:c r="N14" s="117"/>
      <x:c r="O14" s="117"/>
      <x:c r="P14" s="117"/>
      <x:c r="Q14" s="117"/>
      <x:c r="R14" s="117"/>
      <x:c r="S14" s="117"/>
      <x:c r="T14" s="117"/>
      <x:c r="U14" s="117"/>
      <x:c r="V14" s="117"/>
      <x:c r="W14" s="117"/>
      <x:c r="X14" s="117"/>
      <x:c r="Y14" s="117"/>
      <x:c r="Z14" s="117"/>
    </x:row>
    <x:row r="15">
      <x:c r="A15" s="2952" t="str">
        <x:v>1.1</x:v>
      </x:c>
      <x:c r="B15" s="1521" t="str">
        <x:v>2026-07-26</x:v>
      </x:c>
      <x:c r="C15" s="1521" t="str">
        <x:v>00,12,37,38,41,42～47</x:v>
      </x:c>
      <x:c r="D15" s="1521" t="str">
        <x:v>外部開発前提を停止し、ノーコード・ローコード内製、メール要求後の個別対応、通常営業秘密としての情報管理、AIエージェント協業へ改訂</x:v>
      </x:c>
      <x:c r="E15" s="1521" t="str">
        <x:v>総合インサイト営業のリードメニューとして月数件からスモールスタート</x:v>
      </x:c>
      <x:c r="F15" s="1521" t="str">
        <x:v>OpenAI</x:v>
      </x:c>
      <x:c r="G15" s="2953" t="str">
        <x:v>Baseline改訂</x:v>
      </x:c>
      <x:c r="H15" s="117"/>
      <x:c r="I15" s="117"/>
      <x:c r="J15" s="117"/>
      <x:c r="K15" s="117"/>
      <x:c r="L15" s="117"/>
      <x:c r="M15" s="117"/>
      <x:c r="N15" s="117"/>
      <x:c r="O15" s="117"/>
      <x:c r="P15" s="117"/>
      <x:c r="Q15" s="117"/>
      <x:c r="R15" s="117"/>
      <x:c r="S15" s="117"/>
      <x:c r="T15" s="117"/>
      <x:c r="U15" s="117"/>
      <x:c r="V15" s="117"/>
      <x:c r="W15" s="117"/>
      <x:c r="X15" s="117"/>
      <x:c r="Y15" s="117"/>
      <x:c r="Z15" s="117"/>
    </x:row>
    <x:row r="16">
      <x:c r="A16" s="2952" t="str">
        <x:v>1.2</x:v>
      </x:c>
      <x:c r="B16" s="1521" t="str">
        <x:v>2026-07-26</x:v>
      </x:c>
      <x:c r="C16" s="1521" t="str">
        <x:v>00,12,37,38,44～46,48～50</x:v>
      </x:c>
      <x:c r="D16" s="1521" t="str">
        <x:v>公開フォームと顧客資料提出を分離。確認済みAIサービスへの顧客資料投入を、目的・権限・記録・削除の統制下で許可</x:v>
      </x:c>
      <x:c r="E16" s="1521" t="str">
        <x:v>フォームは診断回答と連絡先、資料は通常営業の個別経路で受領</x:v>
      </x:c>
      <x:c r="F16" s="1521" t="str">
        <x:v>OpenAI</x:v>
      </x:c>
      <x:c r="G16" s="2953" t="str">
        <x:v>Baseline改訂</x:v>
      </x:c>
      <x:c r="H16" s="117"/>
      <x:c r="I16" s="117"/>
      <x:c r="J16" s="117"/>
      <x:c r="K16" s="117"/>
      <x:c r="L16" s="117"/>
      <x:c r="M16" s="117"/>
      <x:c r="N16" s="117"/>
      <x:c r="O16" s="117"/>
      <x:c r="P16" s="117"/>
      <x:c r="Q16" s="117"/>
      <x:c r="R16" s="117"/>
      <x:c r="S16" s="117"/>
      <x:c r="T16" s="117"/>
      <x:c r="U16" s="117"/>
      <x:c r="V16" s="117"/>
      <x:c r="W16" s="117"/>
      <x:c r="X16" s="117"/>
      <x:c r="Y16" s="117"/>
      <x:c r="Z16" s="117"/>
    </x:row>
    <x:row r="17">
      <x:c r="A17" s="2952" t="str">
        <x:v>1.3</x:v>
      </x:c>
      <x:c r="B17" s="1521" t="str">
        <x:v>2026-07-26</x:v>
      </x:c>
      <x:c r="C17" s="1521" t="str">
        <x:v>00,12,37,38,47,51～55</x:v>
      </x:c>
      <x:c r="D17" s="1521" t="str">
        <x:v>Stage0情シス確認票、Stage1社内MVP実装仕様、データ項目、運用台帳、受入テストを作成</x:v>
      </x:c>
      <x:c r="E17" s="1521" t="str">
        <x:v>追加費用ゼロの内製構成を確認し、公開Web前に社内入力版を実装・検証</x:v>
      </x:c>
      <x:c r="F17" s="1521" t="str">
        <x:v>OpenAI</x:v>
      </x:c>
      <x:c r="G17" s="2953" t="str">
        <x:v>Stage0開始版</x:v>
      </x:c>
      <x:c r="H17" s="117"/>
      <x:c r="I17" s="117"/>
      <x:c r="J17" s="117"/>
      <x:c r="K17" s="117"/>
      <x:c r="L17" s="117"/>
      <x:c r="M17" s="117"/>
      <x:c r="N17" s="117"/>
      <x:c r="O17" s="117"/>
      <x:c r="P17" s="117"/>
      <x:c r="Q17" s="117"/>
      <x:c r="R17" s="117"/>
      <x:c r="S17" s="117"/>
      <x:c r="T17" s="117"/>
      <x:c r="U17" s="117"/>
      <x:c r="V17" s="117"/>
      <x:c r="W17" s="117"/>
      <x:c r="X17" s="117"/>
      <x:c r="Y17" s="117"/>
      <x:c r="Z17" s="117"/>
    </x:row>
    <x:row r="18">
      <x:c r="A18" s="2952" t="str">
        <x:v>1.4</x:v>
      </x:c>
      <x:c r="B18" s="1521" t="str">
        <x:v>2026-07-26</x:v>
      </x:c>
      <x:c r="C18" s="1521" t="str">
        <x:v>00,12,37,38,47,52,55,56</x:v>
      </x:c>
      <x:c r="D18" s="1521" t="str">
        <x:v>公開Webを先行構築・公開し、一般受付は期間外として停止。模擬案件3件とS項目合格後に受付を開始する順序へ変更</x:v>
      </x:c>
      <x:c r="E18" s="1521" t="str">
        <x:v>Web構築と社内MVPを並行し、受付開始のみGate管理</x:v>
      </x:c>
      <x:c r="F18" s="1521" t="str">
        <x:v>OpenAI</x:v>
      </x:c>
      <x:c r="G18" s="2953" t="str">
        <x:v>Baseline改訂</x:v>
      </x:c>
      <x:c r="H18" s="117"/>
      <x:c r="I18" s="117"/>
      <x:c r="J18" s="117"/>
      <x:c r="K18" s="117"/>
      <x:c r="L18" s="117"/>
      <x:c r="M18" s="117"/>
      <x:c r="N18" s="117"/>
      <x:c r="O18" s="117"/>
      <x:c r="P18" s="117"/>
      <x:c r="Q18" s="117"/>
      <x:c r="R18" s="117"/>
      <x:c r="S18" s="117"/>
      <x:c r="T18" s="117"/>
      <x:c r="U18" s="117"/>
      <x:c r="V18" s="117"/>
      <x:c r="W18" s="117"/>
      <x:c r="X18" s="117"/>
      <x:c r="Y18" s="117"/>
      <x:c r="Z18" s="117"/>
    </x:row>
    <x:row r="19">
      <x:c r="A19" s="2952" t="str">
        <x:v>1.5</x:v>
      </x:c>
      <x:c r="B19" s="1521" t="str">
        <x:v>2026-07-26</x:v>
      </x:c>
      <x:c r="C19" s="1521" t="str">
        <x:v>00,12,37,38,57～61</x:v>
      </x:c>
      <x:c r="D19" s="1521" t="str">
        <x:v>Stage1AのLPページ仕様、公開フォーム項目、Web・メール文面、Web変更作業指示、Web受入テストを作成</x:v>
      </x:c>
      <x:c r="E19" s="1521" t="str">
        <x:v>公開Web先行構築を実作業へ移せる仕様パッケージとして具体化</x:v>
      </x:c>
      <x:c r="F19" s="1521" t="str">
        <x:v>OpenAI</x:v>
      </x:c>
      <x:c r="G19" s="2953" t="str">
        <x:v>Stage1A実装準備版</x:v>
      </x:c>
      <x:c r="H19" s="117"/>
      <x:c r="I19" s="117"/>
      <x:c r="J19" s="117"/>
      <x:c r="K19" s="117"/>
      <x:c r="L19" s="117"/>
      <x:c r="M19" s="117"/>
      <x:c r="N19" s="117"/>
      <x:c r="O19" s="117"/>
      <x:c r="P19" s="117"/>
      <x:c r="Q19" s="117"/>
      <x:c r="R19" s="117"/>
      <x:c r="S19" s="117"/>
      <x:c r="T19" s="117"/>
      <x:c r="U19" s="117"/>
      <x:c r="V19" s="117"/>
      <x:c r="W19" s="117"/>
      <x:c r="X19" s="117"/>
      <x:c r="Y19" s="117"/>
      <x:c r="Z19" s="117"/>
    </x:row>
    <x:row r="20">
      <x:c r="A20" s="2952" t="str">
        <x:v>1.6</x:v>
      </x:c>
      <x:c r="B20" s="1521" t="str">
        <x:v>2026-07-26</x:v>
      </x:c>
      <x:c r="C20" s="1521" t="str">
        <x:v>00,12,37,38,47,51,60,62,63</x:v>
      </x:c>
      <x:c r="D20" s="1521" t="str">
        <x:v>Energy Doctorを独立サブドメインLPで開始し、既存公式サイトとは関連サイトとして相互リンクする構成へ変更</x:v>
      </x:c>
      <x:c r="E20" s="1521" t="str">
        <x:v>第一候補URLをenergy-doctor.sawa-em.co.jpとし、既存サイト改修はリンク追加のみ</x:v>
      </x:c>
      <x:c r="F20" s="1521" t="str">
        <x:v>OpenAI</x:v>
      </x:c>
      <x:c r="G20" s="2953" t="str">
        <x:v>公開構成Baseline改訂</x:v>
      </x:c>
      <x:c r="H20" s="117"/>
      <x:c r="I20" s="117"/>
      <x:c r="J20" s="117"/>
      <x:c r="K20" s="117"/>
      <x:c r="L20" s="117"/>
      <x:c r="M20" s="117"/>
      <x:c r="N20" s="117"/>
      <x:c r="O20" s="117"/>
      <x:c r="P20" s="117"/>
      <x:c r="Q20" s="117"/>
      <x:c r="R20" s="117"/>
      <x:c r="S20" s="117"/>
      <x:c r="T20" s="117"/>
      <x:c r="U20" s="117"/>
      <x:c r="V20" s="117"/>
      <x:c r="W20" s="117"/>
      <x:c r="X20" s="117"/>
      <x:c r="Y20" s="117"/>
      <x:c r="Z20" s="117"/>
    </x:row>
    <x:row r="21">
      <x:c r="A21" s="2952" t="str">
        <x:v>1.7</x:v>
      </x:c>
      <x:c r="B21" s="1521" t="str">
        <x:v>2026-07-26</x:v>
      </x:c>
      <x:c r="C21" s="1521" t="str">
        <x:v>00,12,37,38,51,63,64</x:v>
      </x:c>
      <x:c r="D21" s="1521" t="str">
        <x:v>サブドメイン確認を白紙質問方式から事業側仮決定案に対する情シス確認・承認方式へ変更し、情シス提示書を追加</x:v>
      </x:c>
      <x:c r="E21" s="1521" t="str">
        <x:v>DNS・SSL・LP公開基盤を仮確定してから技術確認する進め方を採用</x:v>
      </x:c>
      <x:c r="F21" s="1521" t="str">
        <x:v>OpenAI</x:v>
      </x:c>
      <x:c r="G21" s="2953" t="str">
        <x:v>Stage0仮決定提示版</x:v>
      </x:c>
      <x:c r="H21" s="117"/>
      <x:c r="I21" s="117"/>
      <x:c r="J21" s="117"/>
      <x:c r="K21" s="117"/>
      <x:c r="L21" s="117"/>
      <x:c r="M21" s="117"/>
      <x:c r="N21" s="117"/>
      <x:c r="O21" s="117"/>
      <x:c r="P21" s="117"/>
      <x:c r="Q21" s="117"/>
      <x:c r="R21" s="117"/>
      <x:c r="S21" s="117"/>
      <x:c r="T21" s="117"/>
      <x:c r="U21" s="117"/>
      <x:c r="V21" s="117"/>
      <x:c r="W21" s="117"/>
      <x:c r="X21" s="117"/>
      <x:c r="Y21" s="117"/>
      <x:c r="Z21" s="117"/>
    </x:row>
    <x:row r="22">
      <x:c r="A22" s="2952" t="str">
        <x:v>1.8</x:v>
      </x:c>
      <x:c r="B22" s="1521" t="str">
        <x:v>2026-07-26</x:v>
      </x:c>
      <x:c r="C22" s="1521" t="str">
        <x:v>00,12,37,38,65～67</x:v>
      </x:c>
      <x:c r="D22" s="1521" t="str">
        <x:v>57_LPページ仕様を基に、PC・スマホのLPワイヤーフレーム、Web掲載文章完成稿、実装注記を作成</x:v>
      </x:c>
      <x:c r="E22" s="1521" t="str">
        <x:v>情シス・LP担当へ画面と文章をそのまま提示できるStage1A制作仕様へ具体化</x:v>
      </x:c>
      <x:c r="F22" s="1521" t="str">
        <x:v>OpenAI</x:v>
      </x:c>
      <x:c r="G22" s="2953" t="str">
        <x:v>LPワイヤー・コピー確定案</x:v>
      </x:c>
      <x:c r="H22" s="117"/>
      <x:c r="I22" s="117"/>
      <x:c r="J22" s="117"/>
      <x:c r="K22" s="117"/>
      <x:c r="L22" s="117"/>
      <x:c r="M22" s="117"/>
      <x:c r="N22" s="117"/>
      <x:c r="O22" s="117"/>
      <x:c r="P22" s="117"/>
      <x:c r="Q22" s="117"/>
      <x:c r="R22" s="117"/>
      <x:c r="S22" s="117"/>
      <x:c r="T22" s="117"/>
      <x:c r="U22" s="117"/>
      <x:c r="V22" s="117"/>
      <x:c r="W22" s="117"/>
      <x:c r="X22" s="117"/>
      <x:c r="Y22" s="117"/>
      <x:c r="Z22" s="117"/>
    </x:row>
    <x:row r="23">
      <x:c r="A23" s="2952" t="str">
        <x:v>1.9</x:v>
      </x:c>
      <x:c r="B23" s="1521" t="str">
        <x:v>2026-07-26</x:v>
      </x:c>
      <x:c r="C23" s="1521" t="str">
        <x:v>00,12,37,38,68～71</x:v>
      </x:c>
      <x:c r="D23" s="1521" t="str">
        <x:v>公開フォーム最小質問セット、LP掲載A3サンプル仕様、社内レビュー票、情シス・LP制作引渡しパッケージを作成</x:v>
      </x:c>
      <x:c r="E23" s="1521" t="str">
        <x:v>ワイヤーフレーム・完成稿から制作着手に必要な質問・サンプル・承認・引渡しまで具体化</x:v>
      </x:c>
      <x:c r="F23" s="1521" t="str">
        <x:v>OpenAI</x:v>
      </x:c>
      <x:c r="G23" s="2953" t="str">
        <x:v>LP制作引渡し準備版</x:v>
      </x:c>
      <x:c r="H23" s="117"/>
      <x:c r="I23" s="117"/>
      <x:c r="J23" s="117"/>
      <x:c r="K23" s="117"/>
      <x:c r="L23" s="117"/>
      <x:c r="M23" s="117"/>
      <x:c r="N23" s="117"/>
      <x:c r="O23" s="117"/>
      <x:c r="P23" s="117"/>
      <x:c r="Q23" s="117"/>
      <x:c r="R23" s="117"/>
      <x:c r="S23" s="117"/>
      <x:c r="T23" s="117"/>
      <x:c r="U23" s="117"/>
      <x:c r="V23" s="117"/>
      <x:c r="W23" s="117"/>
      <x:c r="X23" s="117"/>
      <x:c r="Y23" s="117"/>
      <x:c r="Z23" s="117"/>
    </x:row>
    <x:row r="24">
      <x:c r="A24" s="2952" t="str">
        <x:v>2.0</x:v>
      </x:c>
      <x:c r="B24" s="1521" t="str">
        <x:v>2026-07-26</x:v>
      </x:c>
      <x:c r="C24" s="1521" t="str">
        <x:v>00,12,37,38,64,70,71</x:v>
      </x:c>
      <x:c r="D24" s="1521" t="str">
        <x:v>社内レビュー会議と一括提示イベントを廃止し、山元氏による直接承認・直接進行、情シスへの個別確認方式へ変更</x:v>
      </x:c>
      <x:c r="E24" s="1521" t="str">
        <x:v>責任者兼LP担当が意思決定と制作進行を一元管理</x:v>
      </x:c>
      <x:c r="F24" s="1521" t="str">
        <x:v>OpenAI</x:v>
      </x:c>
      <x:c r="G24" s="2953" t="str">
        <x:v>責任者直接推進版</x:v>
      </x:c>
      <x:c r="H24" s="117"/>
      <x:c r="I24" s="117"/>
      <x:c r="J24" s="117"/>
      <x:c r="K24" s="117"/>
      <x:c r="L24" s="117"/>
      <x:c r="M24" s="117"/>
      <x:c r="N24" s="117"/>
      <x:c r="O24" s="117"/>
      <x:c r="P24" s="117"/>
      <x:c r="Q24" s="117"/>
      <x:c r="R24" s="117"/>
      <x:c r="S24" s="117"/>
      <x:c r="T24" s="117"/>
      <x:c r="U24" s="117"/>
      <x:c r="V24" s="117"/>
      <x:c r="W24" s="117"/>
      <x:c r="X24" s="117"/>
      <x:c r="Y24" s="117"/>
      <x:c r="Z24" s="117"/>
    </x:row>
    <x:row r="25">
      <x:c r="A25" s="2957" t="str">
        <x:v>2.1</x:v>
      </x:c>
      <x:c r="B25" s="2902" t="str">
        <x:v>2026-07-26</x:v>
      </x:c>
      <x:c r="C25" s="2902" t="str">
        <x:v>00,12,37,38,71～74</x:v>
      </x:c>
      <x:c r="D25" s="2902" t="str">
        <x:v>LP公開基盤を比較し、Cloudflare Pages＋Microsoft Formsを第一候補として仮決定。仮URL先行構築手順を作成</x:v>
      </x:c>
      <x:c r="E25" s="2902" t="str">
        <x:v>追加費用抑制、独立サブドメイン、SSL、Excel連携、AI協業を重視</x:v>
      </x:c>
      <x:c r="F25" s="2902" t="str">
        <x:v>OpenAI</x:v>
      </x:c>
      <x:c r="G25" s="2958" t="str">
        <x:v>公開基盤仮決定版</x:v>
      </x:c>
      <x:c r="H25" s="117"/>
      <x:c r="I25" s="117"/>
      <x:c r="J25" s="117"/>
      <x:c r="K25" s="117"/>
      <x:c r="L25" s="117"/>
      <x:c r="M25" s="117"/>
      <x:c r="N25" s="117"/>
      <x:c r="O25" s="117"/>
      <x:c r="P25" s="117"/>
      <x:c r="Q25" s="117"/>
      <x:c r="R25" s="117"/>
      <x:c r="S25" s="117"/>
      <x:c r="T25" s="117"/>
      <x:c r="U25" s="117"/>
      <x:c r="V25" s="117"/>
      <x:c r="W25" s="117"/>
      <x:c r="X25" s="117"/>
      <x:c r="Y25" s="117"/>
      <x:c r="Z25" s="117"/>
    </x:row>
    <x:row r="26">
      <x:c r="A26" s="2954" t="str">
        <x:v>2.2</x:v>
      </x:c>
      <x:c r="B26" s="2955" t="str">
        <x:v>2026-07-26</x:v>
      </x:c>
      <x:c r="C26" s="2955" t="str">
        <x:v>00,12,37,71,74～76</x:v>
      </x:c>
      <x:c r="D26" s="2955" t="str">
        <x:v>LP HTML/CSS/JSプロトタイプv0.1、受付状態切替、Microsoft Forms実装CSV・仕様書を作成</x:v>
      </x:c>
      <x:c r="E26" s="2955" t="str">
        <x:v>仮URLへのDirect UploadとForms手入力が可能な制作物へ進行</x:v>
      </x:c>
      <x:c r="F26" s="2955" t="str">
        <x:v>OpenAI</x:v>
      </x:c>
      <x:c r="G26" s="2956" t="str">
        <x:v>LP初版制作版</x:v>
      </x:c>
      <x:c r="H26" s="117"/>
      <x:c r="I26" s="117"/>
      <x:c r="J26" s="117"/>
      <x:c r="K26" s="117"/>
      <x:c r="L26" s="117"/>
      <x:c r="M26" s="117"/>
      <x:c r="N26" s="117"/>
      <x:c r="O26" s="117"/>
      <x:c r="P26" s="117"/>
      <x:c r="Q26" s="117"/>
      <x:c r="R26" s="117"/>
      <x:c r="S26" s="117"/>
      <x:c r="T26" s="117"/>
      <x:c r="U26" s="117"/>
      <x:c r="V26" s="117"/>
      <x:c r="W26" s="117"/>
      <x:c r="X26" s="117"/>
      <x:c r="Y26" s="117"/>
      <x:c r="Z26" s="117"/>
    </x:row>
    <x:row r="27" ht="72" customHeight="1">
      <x:c r="A27" s="2364" t="str">
        <x:v>2.3</x:v>
      </x:c>
      <x:c r="B27" s="2364" t="str">
        <x:v>2026-09-02</x:v>
      </x:c>
      <x:c r="C27" s="2364" t="str">
        <x:v>12,13,37,38,53,68,77,78</x:v>
      </x:c>
      <x:c r="D27" s="2364" t="str">
        <x:v>S社承認済みED-DI-002〜005を設計正本へ反映。WQ-Q Traceability管理表、公開Web診断のUnknown集約・情報充足率・Web_EDI位置付け・要確認事項/Guardrail保留方針を追加。</x:v>
      </x:c>
      <x:c r="E27" s="2364" t="str">
        <x:v>Task1/Task2で得たDesign Issueに対するS社 Design Disposition Decision Record Rev0.1承認</x:v>
      </x:c>
      <x:c r="F27" s="2364" t="str">
        <x:v>OpenAI</x:v>
      </x:c>
      <x:c r="G27" s="2364" t="str">
        <x:v>Approved Disposition反映版</x:v>
      </x:c>
      <x:c r="H27" s="117"/>
      <x:c r="I27" s="117"/>
      <x:c r="J27" s="117"/>
      <x:c r="K27" s="117"/>
      <x:c r="L27" s="117"/>
      <x:c r="M27" s="117"/>
      <x:c r="N27" s="117"/>
      <x:c r="O27" s="117"/>
      <x:c r="P27" s="117"/>
      <x:c r="Q27" s="117"/>
      <x:c r="R27" s="117"/>
      <x:c r="S27" s="117"/>
      <x:c r="T27" s="117"/>
      <x:c r="U27" s="117"/>
      <x:c r="V27" s="117"/>
      <x:c r="W27" s="117"/>
      <x:c r="X27" s="117"/>
      <x:c r="Y27" s="117"/>
      <x:c r="Z27" s="117"/>
    </x:row>
    <x:row r="28" ht="66" customHeight="1">
      <x:c r="A28" s="2364" t="str">
        <x:v>2.3-R1</x:v>
      </x:c>
      <x:c r="B28" s="2364" t="str">
        <x:v>2026-09-02</x:v>
      </x:c>
      <x:c r="C28" s="2364" t="str">
        <x:v>37,79</x:v>
      </x:c>
      <x:c r="D28" s="2364" t="str">
        <x:v>ED-DI-002の正式WQ-Q Traceability確定前に、18問の推奨対応・Unknown処理・Guardrail処理・S社判断欄を備えたCandidate Reviewを追加。</x:v>
      </x:c>
      <x:c r="E28" s="2364" t="str">
        <x:v>S社判断を○／修正／×に簡素化し、実装側による推測マッピングを防止</x:v>
      </x:c>
      <x:c r="F28" s="2364" t="str">
        <x:v>OpenAI</x:v>
      </x:c>
      <x:c r="G28" s="2364" t="str">
        <x:v>S社レビュー待ち</x:v>
      </x:c>
      <x:c r="H28" s="117"/>
      <x:c r="I28" s="117"/>
      <x:c r="J28" s="117"/>
      <x:c r="K28" s="117"/>
      <x:c r="L28" s="117"/>
      <x:c r="M28" s="117"/>
      <x:c r="N28" s="117"/>
      <x:c r="O28" s="117"/>
      <x:c r="P28" s="117"/>
      <x:c r="Q28" s="117"/>
      <x:c r="R28" s="117"/>
      <x:c r="S28" s="117"/>
      <x:c r="T28" s="117"/>
      <x:c r="U28" s="117"/>
      <x:c r="V28" s="117"/>
      <x:c r="W28" s="117"/>
      <x:c r="X28" s="117"/>
      <x:c r="Y28" s="117"/>
      <x:c r="Z28" s="117"/>
    </x:row>
    <x:row r="29">
      <x:c r="A29" s="117" t="str">
        <x:v>2.3-R2</x:v>
      </x:c>
      <x:c r="B29" s="117" t="str">
        <x:v>2026-09-02</x:v>
      </x:c>
      <x:c r="C29" s="117" t="str">
        <x:v>12,13,37,77,78,79</x:v>
      </x:c>
      <x:c r="D29" s="117" t="str">
        <x:v>S社レビュー結果を79へ反映（17件○、WQ-404修正）。WQ-404はQ101/Q103/Q104/Q106/Q108/Q109/Q110/Q112/Q404/Q408へ閉じた対応とし、18問すべてを77正式Traceabilityへ転記。</x:v>
      </x:c>
      <x:c r="E29" s="117" t="str">
        <x:v>ED-DI-002のSource Authority確認完了。公開WQ回答から正式Q個別回答値を自動生成しない統制を維持。</x:v>
      </x:c>
      <x:c r="F29" s="117" t="str">
        <x:v>OpenAI</x:v>
      </x:c>
      <x:c r="G29" s="117" t="str">
        <x:v>Approved / Implementation Pending</x:v>
      </x:c>
      <x:c r="H29" s="117"/>
      <x:c r="I29" s="117"/>
      <x:c r="J29" s="117"/>
      <x:c r="K29" s="117"/>
      <x:c r="L29" s="117"/>
      <x:c r="M29" s="117"/>
      <x:c r="N29" s="117"/>
      <x:c r="O29" s="117"/>
      <x:c r="P29" s="117"/>
      <x:c r="Q29" s="117"/>
      <x:c r="R29" s="117"/>
      <x:c r="S29" s="117"/>
      <x:c r="T29" s="117"/>
      <x:c r="U29" s="117"/>
      <x:c r="V29" s="117"/>
      <x:c r="W29" s="117"/>
      <x:c r="X29" s="117"/>
      <x:c r="Y29" s="117"/>
      <x:c r="Z29" s="117"/>
    </x:row>
    <x:row r="30">
      <x:c r="A30" s="117"/>
      <x:c r="B30" s="117"/>
      <x:c r="C30" s="117"/>
      <x:c r="D30" s="117"/>
      <x:c r="E30" s="117"/>
      <x:c r="F30" s="117"/>
      <x:c r="G30" s="117"/>
      <x:c r="H30" s="117"/>
      <x:c r="I30" s="117"/>
      <x:c r="J30" s="117"/>
      <x:c r="K30" s="117"/>
      <x:c r="L30" s="117"/>
      <x:c r="M30" s="117"/>
      <x:c r="N30" s="117"/>
      <x:c r="O30" s="117"/>
      <x:c r="P30" s="117"/>
      <x:c r="Q30" s="117"/>
      <x:c r="R30" s="117"/>
      <x:c r="S30" s="117"/>
      <x:c r="T30" s="117"/>
      <x:c r="U30" s="117"/>
      <x:c r="V30" s="117"/>
      <x:c r="W30" s="117"/>
      <x:c r="X30" s="117"/>
      <x:c r="Y30" s="117"/>
      <x:c r="Z30" s="117"/>
    </x:row>
    <x:row r="31">
      <x:c r="A31" s="117"/>
      <x:c r="B31" s="117"/>
      <x:c r="C31" s="117"/>
      <x:c r="D31" s="117"/>
      <x:c r="E31" s="117"/>
      <x:c r="F31" s="117"/>
      <x:c r="G31" s="117"/>
      <x:c r="H31" s="117"/>
      <x:c r="I31" s="117"/>
      <x:c r="J31" s="117"/>
      <x:c r="K31" s="117"/>
      <x:c r="L31" s="117"/>
      <x:c r="M31" s="117"/>
      <x:c r="N31" s="117"/>
      <x:c r="O31" s="117"/>
      <x:c r="P31" s="117"/>
      <x:c r="Q31" s="117"/>
      <x:c r="R31" s="117"/>
      <x:c r="S31" s="117"/>
      <x:c r="T31" s="117"/>
      <x:c r="U31" s="117"/>
      <x:c r="V31" s="117"/>
      <x:c r="W31" s="117"/>
      <x:c r="X31" s="117"/>
      <x:c r="Y31" s="117"/>
      <x:c r="Z31" s="117"/>
    </x:row>
    <x:row r="32">
      <x:c r="A32" s="117"/>
      <x:c r="B32" s="117"/>
      <x:c r="C32" s="117"/>
      <x:c r="D32" s="117"/>
      <x:c r="E32" s="117"/>
      <x:c r="F32" s="117"/>
      <x:c r="G32" s="117"/>
      <x:c r="H32" s="117"/>
      <x:c r="I32" s="117"/>
      <x:c r="J32" s="117"/>
      <x:c r="K32" s="117"/>
      <x:c r="L32" s="117"/>
      <x:c r="M32" s="117"/>
      <x:c r="N32" s="117"/>
      <x:c r="O32" s="117"/>
      <x:c r="P32" s="117"/>
      <x:c r="Q32" s="117"/>
      <x:c r="R32" s="117"/>
      <x:c r="S32" s="117"/>
      <x:c r="T32" s="117"/>
      <x:c r="U32" s="117"/>
      <x:c r="V32" s="117"/>
      <x:c r="W32" s="117"/>
      <x:c r="X32" s="117"/>
      <x:c r="Y32" s="117"/>
      <x:c r="Z32" s="117"/>
    </x:row>
    <x:row r="33">
      <x:c r="A33" s="117"/>
      <x:c r="B33" s="117"/>
      <x:c r="C33" s="117"/>
      <x:c r="D33" s="117"/>
      <x:c r="E33" s="117"/>
      <x:c r="F33" s="117"/>
      <x:c r="G33" s="117"/>
      <x:c r="H33" s="117"/>
      <x:c r="I33" s="117"/>
      <x:c r="J33" s="117"/>
      <x:c r="K33" s="117"/>
      <x:c r="L33" s="117"/>
      <x:c r="M33" s="117"/>
      <x:c r="N33" s="117"/>
      <x:c r="O33" s="117"/>
      <x:c r="P33" s="117"/>
      <x:c r="Q33" s="117"/>
      <x:c r="R33" s="117"/>
      <x:c r="S33" s="117"/>
      <x:c r="T33" s="117"/>
      <x:c r="U33" s="117"/>
      <x:c r="V33" s="117"/>
      <x:c r="W33" s="117"/>
      <x:c r="X33" s="117"/>
      <x:c r="Y33" s="117"/>
      <x:c r="Z33" s="117"/>
    </x:row>
    <x:row r="34">
      <x:c r="A34" s="117"/>
      <x:c r="B34" s="117"/>
      <x:c r="C34" s="117"/>
      <x:c r="D34" s="117"/>
      <x:c r="E34" s="117"/>
      <x:c r="F34" s="117"/>
      <x:c r="G34" s="117"/>
      <x:c r="H34" s="117"/>
      <x:c r="I34" s="117"/>
      <x:c r="J34" s="117"/>
      <x:c r="K34" s="117"/>
      <x:c r="L34" s="117"/>
      <x:c r="M34" s="117"/>
      <x:c r="N34" s="117"/>
      <x:c r="O34" s="117"/>
      <x:c r="P34" s="117"/>
      <x:c r="Q34" s="117"/>
      <x:c r="R34" s="117"/>
      <x:c r="S34" s="117"/>
      <x:c r="T34" s="117"/>
      <x:c r="U34" s="117"/>
      <x:c r="V34" s="117"/>
      <x:c r="W34" s="117"/>
      <x:c r="X34" s="117"/>
      <x:c r="Y34" s="117"/>
      <x:c r="Z34" s="117"/>
    </x:row>
    <x:row r="35">
      <x:c r="A35" s="117"/>
      <x:c r="B35" s="117"/>
      <x:c r="C35" s="117"/>
      <x:c r="D35" s="117"/>
      <x:c r="E35" s="117"/>
      <x:c r="F35" s="117"/>
      <x:c r="G35" s="117"/>
      <x:c r="H35" s="117"/>
      <x:c r="I35" s="117"/>
      <x:c r="J35" s="117"/>
      <x:c r="K35" s="117"/>
      <x:c r="L35" s="117"/>
      <x:c r="M35" s="117"/>
      <x:c r="N35" s="117"/>
      <x:c r="O35" s="117"/>
      <x:c r="P35" s="117"/>
      <x:c r="Q35" s="117"/>
      <x:c r="R35" s="117"/>
      <x:c r="S35" s="117"/>
      <x:c r="T35" s="117"/>
      <x:c r="U35" s="117"/>
      <x:c r="V35" s="117"/>
      <x:c r="W35" s="117"/>
      <x:c r="X35" s="117"/>
      <x:c r="Y35" s="117"/>
      <x:c r="Z35" s="117"/>
    </x:row>
    <x:row r="36">
      <x:c r="A36" s="117"/>
      <x:c r="B36" s="117"/>
      <x:c r="C36" s="117"/>
      <x:c r="D36" s="117"/>
      <x:c r="E36" s="117"/>
      <x:c r="F36" s="117"/>
      <x:c r="G36" s="117"/>
      <x:c r="H36" s="117"/>
      <x:c r="I36" s="117"/>
      <x:c r="J36" s="117"/>
      <x:c r="K36" s="117"/>
      <x:c r="L36" s="117"/>
      <x:c r="M36" s="117"/>
      <x:c r="N36" s="117"/>
      <x:c r="O36" s="117"/>
      <x:c r="P36" s="117"/>
      <x:c r="Q36" s="117"/>
      <x:c r="R36" s="117"/>
      <x:c r="S36" s="117"/>
      <x:c r="T36" s="117"/>
      <x:c r="U36" s="117"/>
      <x:c r="V36" s="117"/>
      <x:c r="W36" s="117"/>
      <x:c r="X36" s="117"/>
      <x:c r="Y36" s="117"/>
      <x:c r="Z36" s="117"/>
    </x:row>
    <x:row r="37">
      <x:c r="A37" s="117"/>
      <x:c r="B37" s="117"/>
      <x:c r="C37" s="117"/>
      <x:c r="D37" s="117"/>
      <x:c r="E37" s="117"/>
      <x:c r="F37" s="117"/>
      <x:c r="G37" s="117"/>
      <x:c r="H37" s="117"/>
      <x:c r="I37" s="117"/>
      <x:c r="J37" s="117"/>
      <x:c r="K37" s="117"/>
      <x:c r="L37" s="117"/>
      <x:c r="M37" s="117"/>
      <x:c r="N37" s="117"/>
      <x:c r="O37" s="117"/>
      <x:c r="P37" s="117"/>
      <x:c r="Q37" s="117"/>
      <x:c r="R37" s="117"/>
      <x:c r="S37" s="117"/>
      <x:c r="T37" s="117"/>
      <x:c r="U37" s="117"/>
      <x:c r="V37" s="117"/>
      <x:c r="W37" s="117"/>
      <x:c r="X37" s="117"/>
      <x:c r="Y37" s="117"/>
      <x:c r="Z37" s="117"/>
    </x:row>
    <x:row r="38">
      <x:c r="A38" s="117"/>
      <x:c r="B38" s="117"/>
      <x:c r="C38" s="117"/>
      <x:c r="D38" s="117"/>
      <x:c r="E38" s="117"/>
      <x:c r="F38" s="117"/>
      <x:c r="G38" s="117"/>
      <x:c r="H38" s="117"/>
      <x:c r="I38" s="117"/>
      <x:c r="J38" s="117"/>
      <x:c r="K38" s="117"/>
      <x:c r="L38" s="117"/>
      <x:c r="M38" s="117"/>
      <x:c r="N38" s="117"/>
      <x:c r="O38" s="117"/>
      <x:c r="P38" s="117"/>
      <x:c r="Q38" s="117"/>
      <x:c r="R38" s="117"/>
      <x:c r="S38" s="117"/>
      <x:c r="T38" s="117"/>
      <x:c r="U38" s="117"/>
      <x:c r="V38" s="117"/>
      <x:c r="W38" s="117"/>
      <x:c r="X38" s="117"/>
      <x:c r="Y38" s="117"/>
      <x:c r="Z38" s="117"/>
    </x:row>
    <x:row r="39">
      <x:c r="A39" s="117"/>
      <x:c r="B39" s="117"/>
      <x:c r="C39" s="117"/>
      <x:c r="D39" s="117"/>
      <x:c r="E39" s="117"/>
      <x:c r="F39" s="117"/>
      <x:c r="G39" s="117"/>
      <x:c r="H39" s="117"/>
      <x:c r="I39" s="117"/>
      <x:c r="J39" s="117"/>
      <x:c r="K39" s="117"/>
      <x:c r="L39" s="117"/>
      <x:c r="M39" s="117"/>
      <x:c r="N39" s="117"/>
      <x:c r="O39" s="117"/>
      <x:c r="P39" s="117"/>
      <x:c r="Q39" s="117"/>
      <x:c r="R39" s="117"/>
      <x:c r="S39" s="117"/>
      <x:c r="T39" s="117"/>
      <x:c r="U39" s="117"/>
      <x:c r="V39" s="117"/>
      <x:c r="W39" s="117"/>
      <x:c r="X39" s="117"/>
      <x:c r="Y39" s="117"/>
      <x:c r="Z39" s="117"/>
    </x:row>
    <x:row r="40">
      <x:c r="A40" s="117"/>
      <x:c r="B40" s="117"/>
      <x:c r="C40" s="117"/>
      <x:c r="D40" s="117"/>
      <x:c r="E40" s="117"/>
      <x:c r="F40" s="117"/>
      <x:c r="G40" s="117"/>
      <x:c r="H40" s="117"/>
      <x:c r="I40" s="117"/>
      <x:c r="J40" s="117"/>
      <x:c r="K40" s="117"/>
      <x:c r="L40" s="117"/>
      <x:c r="M40" s="117"/>
      <x:c r="N40" s="117"/>
      <x:c r="O40" s="117"/>
      <x:c r="P40" s="117"/>
      <x:c r="Q40" s="117"/>
      <x:c r="R40" s="117"/>
      <x:c r="S40" s="117"/>
      <x:c r="T40" s="117"/>
      <x:c r="U40" s="117"/>
      <x:c r="V40" s="117"/>
      <x:c r="W40" s="117"/>
      <x:c r="X40" s="117"/>
      <x:c r="Y40" s="117"/>
      <x:c r="Z40" s="117"/>
    </x:row>
    <x:row r="41">
      <x:c r="A41" s="117"/>
      <x:c r="B41" s="117"/>
      <x:c r="C41" s="117"/>
      <x:c r="D41" s="117"/>
      <x:c r="E41" s="117"/>
      <x:c r="F41" s="117"/>
      <x:c r="G41" s="117"/>
      <x:c r="H41" s="117"/>
      <x:c r="I41" s="117"/>
      <x:c r="J41" s="117"/>
      <x:c r="K41" s="117"/>
      <x:c r="L41" s="117"/>
      <x:c r="M41" s="117"/>
      <x:c r="N41" s="117"/>
      <x:c r="O41" s="117"/>
      <x:c r="P41" s="117"/>
      <x:c r="Q41" s="117"/>
      <x:c r="R41" s="117"/>
      <x:c r="S41" s="117"/>
      <x:c r="T41" s="117"/>
      <x:c r="U41" s="117"/>
      <x:c r="V41" s="117"/>
      <x:c r="W41" s="117"/>
      <x:c r="X41" s="117"/>
      <x:c r="Y41" s="117"/>
      <x:c r="Z41" s="117"/>
    </x:row>
    <x:row r="42">
      <x:c r="A42" s="117"/>
      <x:c r="B42" s="117"/>
      <x:c r="C42" s="117"/>
      <x:c r="D42" s="117"/>
      <x:c r="E42" s="117"/>
      <x:c r="F42" s="117"/>
      <x:c r="G42" s="117"/>
      <x:c r="H42" s="117"/>
      <x:c r="I42" s="117"/>
      <x:c r="J42" s="117"/>
      <x:c r="K42" s="117"/>
      <x:c r="L42" s="117"/>
      <x:c r="M42" s="117"/>
      <x:c r="N42" s="117"/>
      <x:c r="O42" s="117"/>
      <x:c r="P42" s="117"/>
      <x:c r="Q42" s="117"/>
      <x:c r="R42" s="117"/>
      <x:c r="S42" s="117"/>
      <x:c r="T42" s="117"/>
      <x:c r="U42" s="117"/>
      <x:c r="V42" s="117"/>
      <x:c r="W42" s="117"/>
      <x:c r="X42" s="117"/>
      <x:c r="Y42" s="117"/>
      <x:c r="Z42" s="117"/>
    </x:row>
    <x:row r="43">
      <x:c r="A43" s="117"/>
      <x:c r="B43" s="117"/>
      <x:c r="C43" s="117"/>
      <x:c r="D43" s="117"/>
      <x:c r="E43" s="117"/>
      <x:c r="F43" s="117"/>
      <x:c r="G43" s="117"/>
      <x:c r="H43" s="117"/>
      <x:c r="I43" s="117"/>
      <x:c r="J43" s="117"/>
      <x:c r="K43" s="117"/>
      <x:c r="L43" s="117"/>
      <x:c r="M43" s="117"/>
      <x:c r="N43" s="117"/>
      <x:c r="O43" s="117"/>
      <x:c r="P43" s="117"/>
      <x:c r="Q43" s="117"/>
      <x:c r="R43" s="117"/>
      <x:c r="S43" s="117"/>
      <x:c r="T43" s="117"/>
      <x:c r="U43" s="117"/>
      <x:c r="V43" s="117"/>
      <x:c r="W43" s="117"/>
      <x:c r="X43" s="117"/>
      <x:c r="Y43" s="117"/>
      <x:c r="Z43" s="117"/>
    </x:row>
    <x:row r="44">
      <x:c r="A44" s="117"/>
      <x:c r="B44" s="117"/>
      <x:c r="C44" s="117"/>
      <x:c r="D44" s="117"/>
      <x:c r="E44" s="117"/>
      <x:c r="F44" s="117"/>
      <x:c r="G44" s="117"/>
      <x:c r="H44" s="117"/>
      <x:c r="I44" s="117"/>
      <x:c r="J44" s="117"/>
      <x:c r="K44" s="117"/>
      <x:c r="L44" s="117"/>
      <x:c r="M44" s="117"/>
      <x:c r="N44" s="117"/>
      <x:c r="O44" s="117"/>
      <x:c r="P44" s="117"/>
      <x:c r="Q44" s="117"/>
      <x:c r="R44" s="117"/>
      <x:c r="S44" s="117"/>
      <x:c r="T44" s="117"/>
      <x:c r="U44" s="117"/>
      <x:c r="V44" s="117"/>
      <x:c r="W44" s="117"/>
      <x:c r="X44" s="117"/>
      <x:c r="Y44" s="117"/>
      <x:c r="Z44" s="117"/>
    </x:row>
    <x:row r="45">
      <x:c r="A45" s="117"/>
      <x:c r="B45" s="117"/>
      <x:c r="C45" s="117"/>
      <x:c r="D45" s="117"/>
      <x:c r="E45" s="117"/>
      <x:c r="F45" s="117"/>
      <x:c r="G45" s="117"/>
      <x:c r="H45" s="117"/>
      <x:c r="I45" s="117"/>
      <x:c r="J45" s="117"/>
      <x:c r="K45" s="117"/>
      <x:c r="L45" s="117"/>
      <x:c r="M45" s="117"/>
      <x:c r="N45" s="117"/>
      <x:c r="O45" s="117"/>
      <x:c r="P45" s="117"/>
      <x:c r="Q45" s="117"/>
      <x:c r="R45" s="117"/>
      <x:c r="S45" s="117"/>
      <x:c r="T45" s="117"/>
      <x:c r="U45" s="117"/>
      <x:c r="V45" s="117"/>
      <x:c r="W45" s="117"/>
      <x:c r="X45" s="117"/>
      <x:c r="Y45" s="117"/>
      <x:c r="Z45" s="117"/>
    </x:row>
    <x:row r="46">
      <x:c r="A46" s="117"/>
      <x:c r="B46" s="117"/>
      <x:c r="C46" s="117"/>
      <x:c r="D46" s="117"/>
      <x:c r="E46" s="117"/>
      <x:c r="F46" s="117"/>
      <x:c r="G46" s="117"/>
      <x:c r="H46" s="117"/>
      <x:c r="I46" s="117"/>
      <x:c r="J46" s="117"/>
      <x:c r="K46" s="117"/>
      <x:c r="L46" s="117"/>
      <x:c r="M46" s="117"/>
      <x:c r="N46" s="117"/>
      <x:c r="O46" s="117"/>
      <x:c r="P46" s="117"/>
      <x:c r="Q46" s="117"/>
      <x:c r="R46" s="117"/>
      <x:c r="S46" s="117"/>
      <x:c r="T46" s="117"/>
      <x:c r="U46" s="117"/>
      <x:c r="V46" s="117"/>
      <x:c r="W46" s="117"/>
      <x:c r="X46" s="117"/>
      <x:c r="Y46" s="117"/>
      <x:c r="Z46" s="117"/>
    </x:row>
    <x:row r="47">
      <x:c r="A47" s="117"/>
      <x:c r="B47" s="117"/>
      <x:c r="C47" s="117"/>
      <x:c r="D47" s="117"/>
      <x:c r="E47" s="117"/>
      <x:c r="F47" s="117"/>
      <x:c r="G47" s="117"/>
      <x:c r="H47" s="117"/>
      <x:c r="I47" s="117"/>
      <x:c r="J47" s="117"/>
      <x:c r="K47" s="117"/>
      <x:c r="L47" s="117"/>
      <x:c r="M47" s="117"/>
      <x:c r="N47" s="117"/>
      <x:c r="O47" s="117"/>
      <x:c r="P47" s="117"/>
      <x:c r="Q47" s="117"/>
      <x:c r="R47" s="117"/>
      <x:c r="S47" s="117"/>
      <x:c r="T47" s="117"/>
      <x:c r="U47" s="117"/>
      <x:c r="V47" s="117"/>
      <x:c r="W47" s="117"/>
      <x:c r="X47" s="117"/>
      <x:c r="Y47" s="117"/>
      <x:c r="Z47" s="117"/>
    </x:row>
    <x:row r="48">
      <x:c r="A48" s="117"/>
      <x:c r="B48" s="117"/>
      <x:c r="C48" s="117"/>
      <x:c r="D48" s="117"/>
      <x:c r="E48" s="117"/>
      <x:c r="F48" s="117"/>
      <x:c r="G48" s="117"/>
      <x:c r="H48" s="117"/>
      <x:c r="I48" s="117"/>
      <x:c r="J48" s="117"/>
      <x:c r="K48" s="117"/>
      <x:c r="L48" s="117"/>
      <x:c r="M48" s="117"/>
      <x:c r="N48" s="117"/>
      <x:c r="O48" s="117"/>
      <x:c r="P48" s="117"/>
      <x:c r="Q48" s="117"/>
      <x:c r="R48" s="117"/>
      <x:c r="S48" s="117"/>
      <x:c r="T48" s="117"/>
      <x:c r="U48" s="117"/>
      <x:c r="V48" s="117"/>
      <x:c r="W48" s="117"/>
      <x:c r="X48" s="117"/>
      <x:c r="Y48" s="117"/>
      <x:c r="Z48" s="117"/>
    </x:row>
    <x:row r="49">
      <x:c r="A49" s="117"/>
      <x:c r="B49" s="117"/>
      <x:c r="C49" s="117"/>
      <x:c r="D49" s="117"/>
      <x:c r="E49" s="117"/>
      <x:c r="F49" s="117"/>
      <x:c r="G49" s="117"/>
      <x:c r="H49" s="117"/>
      <x:c r="I49" s="117"/>
      <x:c r="J49" s="117"/>
      <x:c r="K49" s="117"/>
      <x:c r="L49" s="117"/>
      <x:c r="M49" s="117"/>
      <x:c r="N49" s="117"/>
      <x:c r="O49" s="117"/>
      <x:c r="P49" s="117"/>
      <x:c r="Q49" s="117"/>
      <x:c r="R49" s="117"/>
      <x:c r="S49" s="117"/>
      <x:c r="T49" s="117"/>
      <x:c r="U49" s="117"/>
      <x:c r="V49" s="117"/>
      <x:c r="W49" s="117"/>
      <x:c r="X49" s="117"/>
      <x:c r="Y49" s="117"/>
      <x:c r="Z49" s="117"/>
    </x:row>
    <x:row r="50">
      <x:c r="A50" s="117"/>
      <x:c r="B50" s="117"/>
      <x:c r="C50" s="117"/>
      <x:c r="D50" s="117"/>
      <x:c r="E50" s="117"/>
      <x:c r="F50" s="117"/>
      <x:c r="G50" s="117"/>
      <x:c r="H50" s="117"/>
      <x:c r="I50" s="117"/>
      <x:c r="J50" s="117"/>
      <x:c r="K50" s="117"/>
      <x:c r="L50" s="117"/>
      <x:c r="M50" s="117"/>
      <x:c r="N50" s="117"/>
      <x:c r="O50" s="117"/>
      <x:c r="P50" s="117"/>
      <x:c r="Q50" s="117"/>
      <x:c r="R50" s="117"/>
      <x:c r="S50" s="117"/>
      <x:c r="T50" s="117"/>
      <x:c r="U50" s="117"/>
      <x:c r="V50" s="117"/>
      <x:c r="W50" s="117"/>
      <x:c r="X50" s="117"/>
      <x:c r="Y50" s="117"/>
      <x:c r="Z50" s="117"/>
    </x:row>
    <x:row r="51">
      <x:c r="A51" s="117"/>
      <x:c r="B51" s="117"/>
      <x:c r="C51" s="117"/>
      <x:c r="D51" s="117"/>
      <x:c r="E51" s="117"/>
      <x:c r="F51" s="117"/>
      <x:c r="G51" s="117"/>
      <x:c r="H51" s="117"/>
      <x:c r="I51" s="117"/>
      <x:c r="J51" s="117"/>
      <x:c r="K51" s="117"/>
      <x:c r="L51" s="117"/>
      <x:c r="M51" s="117"/>
      <x:c r="N51" s="117"/>
      <x:c r="O51" s="117"/>
      <x:c r="P51" s="117"/>
      <x:c r="Q51" s="117"/>
      <x:c r="R51" s="117"/>
      <x:c r="S51" s="117"/>
      <x:c r="T51" s="117"/>
      <x:c r="U51" s="117"/>
      <x:c r="V51" s="117"/>
      <x:c r="W51" s="117"/>
      <x:c r="X51" s="117"/>
      <x:c r="Y51" s="117"/>
      <x:c r="Z51" s="117"/>
    </x:row>
    <x:row r="52">
      <x:c r="A52" s="117"/>
      <x:c r="B52" s="117"/>
      <x:c r="C52" s="117"/>
      <x:c r="D52" s="117"/>
      <x:c r="E52" s="117"/>
      <x:c r="F52" s="117"/>
      <x:c r="G52" s="117"/>
      <x:c r="H52" s="117"/>
      <x:c r="I52" s="117"/>
      <x:c r="J52" s="117"/>
      <x:c r="K52" s="117"/>
      <x:c r="L52" s="117"/>
      <x:c r="M52" s="117"/>
      <x:c r="N52" s="117"/>
      <x:c r="O52" s="117"/>
      <x:c r="P52" s="117"/>
      <x:c r="Q52" s="117"/>
      <x:c r="R52" s="117"/>
      <x:c r="S52" s="117"/>
      <x:c r="T52" s="117"/>
      <x:c r="U52" s="117"/>
      <x:c r="V52" s="117"/>
      <x:c r="W52" s="117"/>
      <x:c r="X52" s="117"/>
      <x:c r="Y52" s="117"/>
      <x:c r="Z52" s="117"/>
    </x:row>
    <x:row r="53">
      <x:c r="A53" s="117"/>
      <x:c r="B53" s="117"/>
      <x:c r="C53" s="117"/>
      <x:c r="D53" s="117"/>
      <x:c r="E53" s="117"/>
      <x:c r="F53" s="117"/>
      <x:c r="G53" s="117"/>
      <x:c r="H53" s="117"/>
      <x:c r="I53" s="117"/>
      <x:c r="J53" s="117"/>
      <x:c r="K53" s="117"/>
      <x:c r="L53" s="117"/>
      <x:c r="M53" s="117"/>
      <x:c r="N53" s="117"/>
      <x:c r="O53" s="117"/>
      <x:c r="P53" s="117"/>
      <x:c r="Q53" s="117"/>
      <x:c r="R53" s="117"/>
      <x:c r="S53" s="117"/>
      <x:c r="T53" s="117"/>
      <x:c r="U53" s="117"/>
      <x:c r="V53" s="117"/>
      <x:c r="W53" s="117"/>
      <x:c r="X53" s="117"/>
      <x:c r="Y53" s="117"/>
      <x:c r="Z53" s="117"/>
    </x:row>
    <x:row r="54">
      <x:c r="A54" s="117"/>
      <x:c r="B54" s="117"/>
      <x:c r="C54" s="117"/>
      <x:c r="D54" s="117"/>
      <x:c r="E54" s="117"/>
      <x:c r="F54" s="117"/>
      <x:c r="G54" s="117"/>
      <x:c r="H54" s="117"/>
      <x:c r="I54" s="117"/>
      <x:c r="J54" s="117"/>
      <x:c r="K54" s="117"/>
      <x:c r="L54" s="117"/>
      <x:c r="M54" s="117"/>
      <x:c r="N54" s="117"/>
      <x:c r="O54" s="117"/>
      <x:c r="P54" s="117"/>
      <x:c r="Q54" s="117"/>
      <x:c r="R54" s="117"/>
      <x:c r="S54" s="117"/>
      <x:c r="T54" s="117"/>
      <x:c r="U54" s="117"/>
      <x:c r="V54" s="117"/>
      <x:c r="W54" s="117"/>
      <x:c r="X54" s="117"/>
      <x:c r="Y54" s="117"/>
      <x:c r="Z54" s="117"/>
    </x:row>
    <x:row r="55">
      <x:c r="A55" s="117"/>
      <x:c r="B55" s="117"/>
      <x:c r="C55" s="117"/>
      <x:c r="D55" s="117"/>
      <x:c r="E55" s="117"/>
      <x:c r="F55" s="117"/>
      <x:c r="G55" s="117"/>
      <x:c r="H55" s="117"/>
      <x:c r="I55" s="117"/>
      <x:c r="J55" s="117"/>
      <x:c r="K55" s="117"/>
      <x:c r="L55" s="117"/>
      <x:c r="M55" s="117"/>
      <x:c r="N55" s="117"/>
      <x:c r="O55" s="117"/>
      <x:c r="P55" s="117"/>
      <x:c r="Q55" s="117"/>
      <x:c r="R55" s="117"/>
      <x:c r="S55" s="117"/>
      <x:c r="T55" s="117"/>
      <x:c r="U55" s="117"/>
      <x:c r="V55" s="117"/>
      <x:c r="W55" s="117"/>
      <x:c r="X55" s="117"/>
      <x:c r="Y55" s="117"/>
      <x:c r="Z55" s="117"/>
    </x:row>
    <x:row r="56">
      <x:c r="A56" s="117"/>
      <x:c r="B56" s="117"/>
      <x:c r="C56" s="117"/>
      <x:c r="D56" s="117"/>
      <x:c r="E56" s="117"/>
      <x:c r="F56" s="117"/>
      <x:c r="G56" s="117"/>
      <x:c r="H56" s="117"/>
      <x:c r="I56" s="117"/>
      <x:c r="J56" s="117"/>
      <x:c r="K56" s="117"/>
      <x:c r="L56" s="117"/>
      <x:c r="M56" s="117"/>
      <x:c r="N56" s="117"/>
      <x:c r="O56" s="117"/>
      <x:c r="P56" s="117"/>
      <x:c r="Q56" s="117"/>
      <x:c r="R56" s="117"/>
      <x:c r="S56" s="117"/>
      <x:c r="T56" s="117"/>
      <x:c r="U56" s="117"/>
      <x:c r="V56" s="117"/>
      <x:c r="W56" s="117"/>
      <x:c r="X56" s="117"/>
      <x:c r="Y56" s="117"/>
      <x:c r="Z56" s="117"/>
    </x:row>
    <x:row r="57">
      <x:c r="A57" s="117"/>
      <x:c r="B57" s="117"/>
      <x:c r="C57" s="117"/>
      <x:c r="D57" s="117"/>
      <x:c r="E57" s="117"/>
      <x:c r="F57" s="117"/>
      <x:c r="G57" s="117"/>
      <x:c r="H57" s="117"/>
      <x:c r="I57" s="117"/>
      <x:c r="J57" s="117"/>
      <x:c r="K57" s="117"/>
      <x:c r="L57" s="117"/>
      <x:c r="M57" s="117"/>
      <x:c r="N57" s="117"/>
      <x:c r="O57" s="117"/>
      <x:c r="P57" s="117"/>
      <x:c r="Q57" s="117"/>
      <x:c r="R57" s="117"/>
      <x:c r="S57" s="117"/>
      <x:c r="T57" s="117"/>
      <x:c r="U57" s="117"/>
      <x:c r="V57" s="117"/>
      <x:c r="W57" s="117"/>
      <x:c r="X57" s="117"/>
      <x:c r="Y57" s="117"/>
      <x:c r="Z57" s="117"/>
    </x:row>
    <x:row r="58">
      <x:c r="A58" s="117"/>
      <x:c r="B58" s="117"/>
      <x:c r="C58" s="117"/>
      <x:c r="D58" s="117"/>
      <x:c r="E58" s="117"/>
      <x:c r="F58" s="117"/>
      <x:c r="G58" s="117"/>
      <x:c r="H58" s="117"/>
      <x:c r="I58" s="117"/>
      <x:c r="J58" s="117"/>
      <x:c r="K58" s="117"/>
      <x:c r="L58" s="117"/>
      <x:c r="M58" s="117"/>
      <x:c r="N58" s="117"/>
      <x:c r="O58" s="117"/>
      <x:c r="P58" s="117"/>
      <x:c r="Q58" s="117"/>
      <x:c r="R58" s="117"/>
      <x:c r="S58" s="117"/>
      <x:c r="T58" s="117"/>
      <x:c r="U58" s="117"/>
      <x:c r="V58" s="117"/>
      <x:c r="W58" s="117"/>
      <x:c r="X58" s="117"/>
      <x:c r="Y58" s="117"/>
      <x:c r="Z58" s="117"/>
    </x:row>
    <x:row r="59">
      <x:c r="A59" s="117"/>
      <x:c r="B59" s="117"/>
      <x:c r="C59" s="117"/>
      <x:c r="D59" s="117"/>
      <x:c r="E59" s="117"/>
      <x:c r="F59" s="117"/>
      <x:c r="G59" s="117"/>
      <x:c r="H59" s="117"/>
      <x:c r="I59" s="117"/>
      <x:c r="J59" s="117"/>
      <x:c r="K59" s="117"/>
      <x:c r="L59" s="117"/>
      <x:c r="M59" s="117"/>
      <x:c r="N59" s="117"/>
      <x:c r="O59" s="117"/>
      <x:c r="P59" s="117"/>
      <x:c r="Q59" s="117"/>
      <x:c r="R59" s="117"/>
      <x:c r="S59" s="117"/>
      <x:c r="T59" s="117"/>
      <x:c r="U59" s="117"/>
      <x:c r="V59" s="117"/>
      <x:c r="W59" s="117"/>
      <x:c r="X59" s="117"/>
      <x:c r="Y59" s="117"/>
      <x:c r="Z59" s="117"/>
    </x:row>
    <x:row r="60">
      <x:c r="A60" s="117"/>
      <x:c r="B60" s="117"/>
      <x:c r="C60" s="117"/>
      <x:c r="D60" s="117"/>
      <x:c r="E60" s="117"/>
      <x:c r="F60" s="117"/>
      <x:c r="G60" s="117"/>
      <x:c r="H60" s="117"/>
      <x:c r="I60" s="117"/>
      <x:c r="J60" s="117"/>
      <x:c r="K60" s="117"/>
      <x:c r="L60" s="117"/>
      <x:c r="M60" s="117"/>
      <x:c r="N60" s="117"/>
      <x:c r="O60" s="117"/>
      <x:c r="P60" s="117"/>
      <x:c r="Q60" s="117"/>
      <x:c r="R60" s="117"/>
      <x:c r="S60" s="117"/>
      <x:c r="T60" s="117"/>
      <x:c r="U60" s="117"/>
      <x:c r="V60" s="117"/>
      <x:c r="W60" s="117"/>
      <x:c r="X60" s="117"/>
      <x:c r="Y60" s="117"/>
      <x:c r="Z60" s="117"/>
    </x:row>
    <x:row r="61">
      <x:c r="A61" s="117"/>
      <x:c r="B61" s="117"/>
      <x:c r="C61" s="117"/>
      <x:c r="D61" s="117"/>
      <x:c r="E61" s="117"/>
      <x:c r="F61" s="117"/>
      <x:c r="G61" s="117"/>
      <x:c r="H61" s="117"/>
      <x:c r="I61" s="117"/>
      <x:c r="J61" s="117"/>
      <x:c r="K61" s="117"/>
      <x:c r="L61" s="117"/>
      <x:c r="M61" s="117"/>
      <x:c r="N61" s="117"/>
      <x:c r="O61" s="117"/>
      <x:c r="P61" s="117"/>
      <x:c r="Q61" s="117"/>
      <x:c r="R61" s="117"/>
      <x:c r="S61" s="117"/>
      <x:c r="T61" s="117"/>
      <x:c r="U61" s="117"/>
      <x:c r="V61" s="117"/>
      <x:c r="W61" s="117"/>
      <x:c r="X61" s="117"/>
      <x:c r="Y61" s="117"/>
      <x:c r="Z61" s="117"/>
    </x:row>
    <x:row r="62">
      <x:c r="A62" s="117"/>
      <x:c r="B62" s="117"/>
      <x:c r="C62" s="117"/>
      <x:c r="D62" s="117"/>
      <x:c r="E62" s="117"/>
      <x:c r="F62" s="117"/>
      <x:c r="G62" s="117"/>
      <x:c r="H62" s="117"/>
      <x:c r="I62" s="117"/>
      <x:c r="J62" s="117"/>
      <x:c r="K62" s="117"/>
      <x:c r="L62" s="117"/>
      <x:c r="M62" s="117"/>
      <x:c r="N62" s="117"/>
      <x:c r="O62" s="117"/>
      <x:c r="P62" s="117"/>
      <x:c r="Q62" s="117"/>
      <x:c r="R62" s="117"/>
      <x:c r="S62" s="117"/>
      <x:c r="T62" s="117"/>
      <x:c r="U62" s="117"/>
      <x:c r="V62" s="117"/>
      <x:c r="W62" s="117"/>
      <x:c r="X62" s="117"/>
      <x:c r="Y62" s="117"/>
      <x:c r="Z62" s="117"/>
    </x:row>
    <x:row r="63">
      <x:c r="A63" s="117"/>
      <x:c r="B63" s="117"/>
      <x:c r="C63" s="117"/>
      <x:c r="D63" s="117"/>
      <x:c r="E63" s="117"/>
      <x:c r="F63" s="117"/>
      <x:c r="G63" s="117"/>
      <x:c r="H63" s="117"/>
      <x:c r="I63" s="117"/>
      <x:c r="J63" s="117"/>
      <x:c r="K63" s="117"/>
      <x:c r="L63" s="117"/>
      <x:c r="M63" s="117"/>
      <x:c r="N63" s="117"/>
      <x:c r="O63" s="117"/>
      <x:c r="P63" s="117"/>
      <x:c r="Q63" s="117"/>
      <x:c r="R63" s="117"/>
      <x:c r="S63" s="117"/>
      <x:c r="T63" s="117"/>
      <x:c r="U63" s="117"/>
      <x:c r="V63" s="117"/>
      <x:c r="W63" s="117"/>
      <x:c r="X63" s="117"/>
      <x:c r="Y63" s="117"/>
      <x:c r="Z63" s="117"/>
    </x:row>
    <x:row r="64">
      <x:c r="A64" s="117"/>
      <x:c r="B64" s="117"/>
      <x:c r="C64" s="117"/>
      <x:c r="D64" s="117"/>
      <x:c r="E64" s="117"/>
      <x:c r="F64" s="117"/>
      <x:c r="G64" s="117"/>
      <x:c r="H64" s="117"/>
      <x:c r="I64" s="117"/>
      <x:c r="J64" s="117"/>
      <x:c r="K64" s="117"/>
      <x:c r="L64" s="117"/>
      <x:c r="M64" s="117"/>
      <x:c r="N64" s="117"/>
      <x:c r="O64" s="117"/>
      <x:c r="P64" s="117"/>
      <x:c r="Q64" s="117"/>
      <x:c r="R64" s="117"/>
      <x:c r="S64" s="117"/>
      <x:c r="T64" s="117"/>
      <x:c r="U64" s="117"/>
      <x:c r="V64" s="117"/>
      <x:c r="W64" s="117"/>
      <x:c r="X64" s="117"/>
      <x:c r="Y64" s="117"/>
      <x:c r="Z64" s="117"/>
    </x:row>
    <x:row r="65">
      <x:c r="A65" s="117"/>
      <x:c r="B65" s="117"/>
      <x:c r="C65" s="117"/>
      <x:c r="D65" s="117"/>
      <x:c r="E65" s="117"/>
      <x:c r="F65" s="117"/>
      <x:c r="G65" s="117"/>
      <x:c r="H65" s="117"/>
      <x:c r="I65" s="117"/>
      <x:c r="J65" s="117"/>
      <x:c r="K65" s="117"/>
      <x:c r="L65" s="117"/>
      <x:c r="M65" s="117"/>
      <x:c r="N65" s="117"/>
      <x:c r="O65" s="117"/>
      <x:c r="P65" s="117"/>
      <x:c r="Q65" s="117"/>
      <x:c r="R65" s="117"/>
      <x:c r="S65" s="117"/>
      <x:c r="T65" s="117"/>
      <x:c r="U65" s="117"/>
      <x:c r="V65" s="117"/>
      <x:c r="W65" s="117"/>
      <x:c r="X65" s="117"/>
      <x:c r="Y65" s="117"/>
      <x:c r="Z65" s="117"/>
    </x:row>
    <x:row r="66">
      <x:c r="A66" s="117"/>
      <x:c r="B66" s="117"/>
      <x:c r="C66" s="117"/>
      <x:c r="D66" s="117"/>
      <x:c r="E66" s="117"/>
      <x:c r="F66" s="117"/>
      <x:c r="G66" s="117"/>
      <x:c r="H66" s="117"/>
      <x:c r="I66" s="117"/>
      <x:c r="J66" s="117"/>
      <x:c r="K66" s="117"/>
      <x:c r="L66" s="117"/>
      <x:c r="M66" s="117"/>
      <x:c r="N66" s="117"/>
      <x:c r="O66" s="117"/>
      <x:c r="P66" s="117"/>
      <x:c r="Q66" s="117"/>
      <x:c r="R66" s="117"/>
      <x:c r="S66" s="117"/>
      <x:c r="T66" s="117"/>
      <x:c r="U66" s="117"/>
      <x:c r="V66" s="117"/>
      <x:c r="W66" s="117"/>
      <x:c r="X66" s="117"/>
      <x:c r="Y66" s="117"/>
      <x:c r="Z66" s="117"/>
    </x:row>
    <x:row r="67">
      <x:c r="A67" s="117"/>
      <x:c r="B67" s="117"/>
      <x:c r="C67" s="117"/>
      <x:c r="D67" s="117"/>
      <x:c r="E67" s="117"/>
      <x:c r="F67" s="117"/>
      <x:c r="G67" s="117"/>
      <x:c r="H67" s="117"/>
      <x:c r="I67" s="117"/>
      <x:c r="J67" s="117"/>
      <x:c r="K67" s="117"/>
      <x:c r="L67" s="117"/>
      <x:c r="M67" s="117"/>
      <x:c r="N67" s="117"/>
      <x:c r="O67" s="117"/>
      <x:c r="P67" s="117"/>
      <x:c r="Q67" s="117"/>
      <x:c r="R67" s="117"/>
      <x:c r="S67" s="117"/>
      <x:c r="T67" s="117"/>
      <x:c r="U67" s="117"/>
      <x:c r="V67" s="117"/>
      <x:c r="W67" s="117"/>
      <x:c r="X67" s="117"/>
      <x:c r="Y67" s="117"/>
      <x:c r="Z67" s="117"/>
    </x:row>
    <x:row r="68">
      <x:c r="A68" s="117"/>
      <x:c r="B68" s="117"/>
      <x:c r="C68" s="117"/>
      <x:c r="D68" s="117"/>
      <x:c r="E68" s="117"/>
      <x:c r="F68" s="117"/>
      <x:c r="G68" s="117"/>
      <x:c r="H68" s="117"/>
      <x:c r="I68" s="117"/>
      <x:c r="J68" s="117"/>
      <x:c r="K68" s="117"/>
      <x:c r="L68" s="117"/>
      <x:c r="M68" s="117"/>
      <x:c r="N68" s="117"/>
      <x:c r="O68" s="117"/>
      <x:c r="P68" s="117"/>
      <x:c r="Q68" s="117"/>
      <x:c r="R68" s="117"/>
      <x:c r="S68" s="117"/>
      <x:c r="T68" s="117"/>
      <x:c r="U68" s="117"/>
      <x:c r="V68" s="117"/>
      <x:c r="W68" s="117"/>
      <x:c r="X68" s="117"/>
      <x:c r="Y68" s="117"/>
      <x:c r="Z68" s="117"/>
    </x:row>
    <x:row r="69">
      <x:c r="A69" s="117"/>
      <x:c r="B69" s="117"/>
      <x:c r="C69" s="117"/>
      <x:c r="D69" s="117"/>
      <x:c r="E69" s="117"/>
      <x:c r="F69" s="117"/>
      <x:c r="G69" s="117"/>
      <x:c r="H69" s="117"/>
      <x:c r="I69" s="117"/>
      <x:c r="J69" s="117"/>
      <x:c r="K69" s="117"/>
      <x:c r="L69" s="117"/>
      <x:c r="M69" s="117"/>
      <x:c r="N69" s="117"/>
      <x:c r="O69" s="117"/>
      <x:c r="P69" s="117"/>
      <x:c r="Q69" s="117"/>
      <x:c r="R69" s="117"/>
      <x:c r="S69" s="117"/>
      <x:c r="T69" s="117"/>
      <x:c r="U69" s="117"/>
      <x:c r="V69" s="117"/>
      <x:c r="W69" s="117"/>
      <x:c r="X69" s="117"/>
      <x:c r="Y69" s="117"/>
      <x:c r="Z69" s="117"/>
    </x:row>
    <x:row r="70">
      <x:c r="A70" s="117"/>
      <x:c r="B70" s="117"/>
      <x:c r="C70" s="117"/>
      <x:c r="D70" s="117"/>
      <x:c r="E70" s="117"/>
      <x:c r="F70" s="117"/>
      <x:c r="G70" s="117"/>
      <x:c r="H70" s="117"/>
      <x:c r="I70" s="117"/>
      <x:c r="J70" s="117"/>
      <x:c r="K70" s="117"/>
      <x:c r="L70" s="117"/>
      <x:c r="M70" s="117"/>
      <x:c r="N70" s="117"/>
      <x:c r="O70" s="117"/>
      <x:c r="P70" s="117"/>
      <x:c r="Q70" s="117"/>
      <x:c r="R70" s="117"/>
      <x:c r="S70" s="117"/>
      <x:c r="T70" s="117"/>
      <x:c r="U70" s="117"/>
      <x:c r="V70" s="117"/>
      <x:c r="W70" s="117"/>
      <x:c r="X70" s="117"/>
      <x:c r="Y70" s="117"/>
      <x:c r="Z70" s="117"/>
    </x:row>
    <x:row r="71">
      <x:c r="A71" s="117"/>
      <x:c r="B71" s="117"/>
      <x:c r="C71" s="117"/>
      <x:c r="D71" s="117"/>
      <x:c r="E71" s="117"/>
      <x:c r="F71" s="117"/>
      <x:c r="G71" s="117"/>
      <x:c r="H71" s="117"/>
      <x:c r="I71" s="117"/>
      <x:c r="J71" s="117"/>
      <x:c r="K71" s="117"/>
      <x:c r="L71" s="117"/>
      <x:c r="M71" s="117"/>
      <x:c r="N71" s="117"/>
      <x:c r="O71" s="117"/>
      <x:c r="P71" s="117"/>
      <x:c r="Q71" s="117"/>
      <x:c r="R71" s="117"/>
      <x:c r="S71" s="117"/>
      <x:c r="T71" s="117"/>
      <x:c r="U71" s="117"/>
      <x:c r="V71" s="117"/>
      <x:c r="W71" s="117"/>
      <x:c r="X71" s="117"/>
      <x:c r="Y71" s="117"/>
      <x:c r="Z71" s="117"/>
    </x:row>
    <x:row r="72">
      <x:c r="A72" s="117"/>
      <x:c r="B72" s="117"/>
      <x:c r="C72" s="117"/>
      <x:c r="D72" s="117"/>
      <x:c r="E72" s="117"/>
      <x:c r="F72" s="117"/>
      <x:c r="G72" s="117"/>
      <x:c r="H72" s="117"/>
      <x:c r="I72" s="117"/>
      <x:c r="J72" s="117"/>
      <x:c r="K72" s="117"/>
      <x:c r="L72" s="117"/>
      <x:c r="M72" s="117"/>
      <x:c r="N72" s="117"/>
      <x:c r="O72" s="117"/>
      <x:c r="P72" s="117"/>
      <x:c r="Q72" s="117"/>
      <x:c r="R72" s="117"/>
      <x:c r="S72" s="117"/>
      <x:c r="T72" s="117"/>
      <x:c r="U72" s="117"/>
      <x:c r="V72" s="117"/>
      <x:c r="W72" s="117"/>
      <x:c r="X72" s="117"/>
      <x:c r="Y72" s="117"/>
      <x:c r="Z72" s="117"/>
    </x:row>
    <x:row r="73">
      <x:c r="A73" s="117"/>
      <x:c r="B73" s="117"/>
      <x:c r="C73" s="117"/>
      <x:c r="D73" s="117"/>
      <x:c r="E73" s="117"/>
      <x:c r="F73" s="117"/>
      <x:c r="G73" s="117"/>
      <x:c r="H73" s="117"/>
      <x:c r="I73" s="117"/>
      <x:c r="J73" s="117"/>
      <x:c r="K73" s="117"/>
      <x:c r="L73" s="117"/>
      <x:c r="M73" s="117"/>
      <x:c r="N73" s="117"/>
      <x:c r="O73" s="117"/>
      <x:c r="P73" s="117"/>
      <x:c r="Q73" s="117"/>
      <x:c r="R73" s="117"/>
      <x:c r="S73" s="117"/>
      <x:c r="T73" s="117"/>
      <x:c r="U73" s="117"/>
      <x:c r="V73" s="117"/>
      <x:c r="W73" s="117"/>
      <x:c r="X73" s="117"/>
      <x:c r="Y73" s="117"/>
      <x:c r="Z73" s="117"/>
    </x:row>
    <x:row r="74">
      <x:c r="A74" s="117"/>
      <x:c r="B74" s="117"/>
      <x:c r="C74" s="117"/>
      <x:c r="D74" s="117"/>
      <x:c r="E74" s="117"/>
      <x:c r="F74" s="117"/>
      <x:c r="G74" s="117"/>
      <x:c r="H74" s="117"/>
      <x:c r="I74" s="117"/>
      <x:c r="J74" s="117"/>
      <x:c r="K74" s="117"/>
      <x:c r="L74" s="117"/>
      <x:c r="M74" s="117"/>
      <x:c r="N74" s="117"/>
      <x:c r="O74" s="117"/>
      <x:c r="P74" s="117"/>
      <x:c r="Q74" s="117"/>
      <x:c r="R74" s="117"/>
      <x:c r="S74" s="117"/>
      <x:c r="T74" s="117"/>
      <x:c r="U74" s="117"/>
      <x:c r="V74" s="117"/>
      <x:c r="W74" s="117"/>
      <x:c r="X74" s="117"/>
      <x:c r="Y74" s="117"/>
      <x:c r="Z74" s="117"/>
    </x:row>
    <x:row r="75">
      <x:c r="A75" s="117"/>
      <x:c r="B75" s="117"/>
      <x:c r="C75" s="117"/>
      <x:c r="D75" s="117"/>
      <x:c r="E75" s="117"/>
      <x:c r="F75" s="117"/>
      <x:c r="G75" s="117"/>
      <x:c r="H75" s="117"/>
      <x:c r="I75" s="117"/>
      <x:c r="J75" s="117"/>
      <x:c r="K75" s="117"/>
      <x:c r="L75" s="117"/>
      <x:c r="M75" s="117"/>
      <x:c r="N75" s="117"/>
      <x:c r="O75" s="117"/>
      <x:c r="P75" s="117"/>
      <x:c r="Q75" s="117"/>
      <x:c r="R75" s="117"/>
      <x:c r="S75" s="117"/>
      <x:c r="T75" s="117"/>
      <x:c r="U75" s="117"/>
      <x:c r="V75" s="117"/>
      <x:c r="W75" s="117"/>
      <x:c r="X75" s="117"/>
      <x:c r="Y75" s="117"/>
      <x:c r="Z75" s="117"/>
    </x:row>
    <x:row r="76">
      <x:c r="A76" s="117"/>
      <x:c r="B76" s="117"/>
      <x:c r="C76" s="117"/>
      <x:c r="D76" s="117"/>
      <x:c r="E76" s="117"/>
      <x:c r="F76" s="117"/>
      <x:c r="G76" s="117"/>
      <x:c r="H76" s="117"/>
      <x:c r="I76" s="117"/>
      <x:c r="J76" s="117"/>
      <x:c r="K76" s="117"/>
      <x:c r="L76" s="117"/>
      <x:c r="M76" s="117"/>
      <x:c r="N76" s="117"/>
      <x:c r="O76" s="117"/>
      <x:c r="P76" s="117"/>
      <x:c r="Q76" s="117"/>
      <x:c r="R76" s="117"/>
      <x:c r="S76" s="117"/>
      <x:c r="T76" s="117"/>
      <x:c r="U76" s="117"/>
      <x:c r="V76" s="117"/>
      <x:c r="W76" s="117"/>
      <x:c r="X76" s="117"/>
      <x:c r="Y76" s="117"/>
      <x:c r="Z76" s="117"/>
    </x:row>
    <x:row r="77">
      <x:c r="A77" s="117"/>
      <x:c r="B77" s="117"/>
      <x:c r="C77" s="117"/>
      <x:c r="D77" s="117"/>
      <x:c r="E77" s="117"/>
      <x:c r="F77" s="117"/>
      <x:c r="G77" s="117"/>
      <x:c r="H77" s="117"/>
      <x:c r="I77" s="117"/>
      <x:c r="J77" s="117"/>
      <x:c r="K77" s="117"/>
      <x:c r="L77" s="117"/>
      <x:c r="M77" s="117"/>
      <x:c r="N77" s="117"/>
      <x:c r="O77" s="117"/>
      <x:c r="P77" s="117"/>
      <x:c r="Q77" s="117"/>
      <x:c r="R77" s="117"/>
      <x:c r="S77" s="117"/>
      <x:c r="T77" s="117"/>
      <x:c r="U77" s="117"/>
      <x:c r="V77" s="117"/>
      <x:c r="W77" s="117"/>
      <x:c r="X77" s="117"/>
      <x:c r="Y77" s="117"/>
      <x:c r="Z77" s="117"/>
    </x:row>
    <x:row r="78">
      <x:c r="A78" s="117"/>
      <x:c r="B78" s="117"/>
      <x:c r="C78" s="117"/>
      <x:c r="D78" s="117"/>
      <x:c r="E78" s="117"/>
      <x:c r="F78" s="117"/>
      <x:c r="G78" s="117"/>
      <x:c r="H78" s="117"/>
      <x:c r="I78" s="117"/>
      <x:c r="J78" s="117"/>
      <x:c r="K78" s="117"/>
      <x:c r="L78" s="117"/>
      <x:c r="M78" s="117"/>
      <x:c r="N78" s="117"/>
      <x:c r="O78" s="117"/>
      <x:c r="P78" s="117"/>
      <x:c r="Q78" s="117"/>
      <x:c r="R78" s="117"/>
      <x:c r="S78" s="117"/>
      <x:c r="T78" s="117"/>
      <x:c r="U78" s="117"/>
      <x:c r="V78" s="117"/>
      <x:c r="W78" s="117"/>
      <x:c r="X78" s="117"/>
      <x:c r="Y78" s="117"/>
      <x:c r="Z78" s="117"/>
    </x:row>
    <x:row r="79">
      <x:c r="A79" s="117"/>
      <x:c r="B79" s="117"/>
      <x:c r="C79" s="117"/>
      <x:c r="D79" s="117"/>
      <x:c r="E79" s="117"/>
      <x:c r="F79" s="117"/>
      <x:c r="G79" s="117"/>
      <x:c r="H79" s="117"/>
      <x:c r="I79" s="117"/>
      <x:c r="J79" s="117"/>
      <x:c r="K79" s="117"/>
      <x:c r="L79" s="117"/>
      <x:c r="M79" s="117"/>
      <x:c r="N79" s="117"/>
      <x:c r="O79" s="117"/>
      <x:c r="P79" s="117"/>
      <x:c r="Q79" s="117"/>
      <x:c r="R79" s="117"/>
      <x:c r="S79" s="117"/>
      <x:c r="T79" s="117"/>
      <x:c r="U79" s="117"/>
      <x:c r="V79" s="117"/>
      <x:c r="W79" s="117"/>
      <x:c r="X79" s="117"/>
      <x:c r="Y79" s="117"/>
      <x:c r="Z79" s="117"/>
    </x:row>
    <x:row r="80">
      <x:c r="A80" s="117"/>
      <x:c r="B80" s="117"/>
      <x:c r="C80" s="117"/>
      <x:c r="D80" s="117"/>
      <x:c r="E80" s="117"/>
      <x:c r="F80" s="117"/>
      <x:c r="G80" s="117"/>
      <x:c r="H80" s="117"/>
      <x:c r="I80" s="117"/>
      <x:c r="J80" s="117"/>
      <x:c r="K80" s="117"/>
      <x:c r="L80" s="117"/>
      <x:c r="M80" s="117"/>
      <x:c r="N80" s="117"/>
      <x:c r="O80" s="117"/>
      <x:c r="P80" s="117"/>
      <x:c r="Q80" s="117"/>
      <x:c r="R80" s="117"/>
      <x:c r="S80" s="117"/>
      <x:c r="T80" s="117"/>
      <x:c r="U80" s="117"/>
      <x:c r="V80" s="117"/>
      <x:c r="W80" s="117"/>
      <x:c r="X80" s="117"/>
      <x:c r="Y80" s="117"/>
      <x:c r="Z80" s="117"/>
    </x:row>
    <x:row r="81">
      <x:c r="A81" s="117"/>
      <x:c r="B81" s="117"/>
      <x:c r="C81" s="117"/>
      <x:c r="D81" s="117"/>
      <x:c r="E81" s="117"/>
      <x:c r="F81" s="117"/>
      <x:c r="G81" s="117"/>
      <x:c r="H81" s="117"/>
      <x:c r="I81" s="117"/>
      <x:c r="J81" s="117"/>
      <x:c r="K81" s="117"/>
      <x:c r="L81" s="117"/>
      <x:c r="M81" s="117"/>
      <x:c r="N81" s="117"/>
      <x:c r="O81" s="117"/>
      <x:c r="P81" s="117"/>
      <x:c r="Q81" s="117"/>
      <x:c r="R81" s="117"/>
      <x:c r="S81" s="117"/>
      <x:c r="T81" s="117"/>
      <x:c r="U81" s="117"/>
      <x:c r="V81" s="117"/>
      <x:c r="W81" s="117"/>
      <x:c r="X81" s="117"/>
      <x:c r="Y81" s="117"/>
      <x:c r="Z81" s="117"/>
    </x:row>
    <x:row r="82">
      <x:c r="A82" s="117"/>
      <x:c r="B82" s="117"/>
      <x:c r="C82" s="117"/>
      <x:c r="D82" s="117"/>
      <x:c r="E82" s="117"/>
      <x:c r="F82" s="117"/>
      <x:c r="G82" s="117"/>
      <x:c r="H82" s="117"/>
      <x:c r="I82" s="117"/>
      <x:c r="J82" s="117"/>
      <x:c r="K82" s="117"/>
      <x:c r="L82" s="117"/>
      <x:c r="M82" s="117"/>
      <x:c r="N82" s="117"/>
      <x:c r="O82" s="117"/>
      <x:c r="P82" s="117"/>
      <x:c r="Q82" s="117"/>
      <x:c r="R82" s="117"/>
      <x:c r="S82" s="117"/>
      <x:c r="T82" s="117"/>
      <x:c r="U82" s="117"/>
      <x:c r="V82" s="117"/>
      <x:c r="W82" s="117"/>
      <x:c r="X82" s="117"/>
      <x:c r="Y82" s="117"/>
      <x:c r="Z82" s="117"/>
    </x:row>
    <x:row r="83">
      <x:c r="A83" s="117"/>
      <x:c r="B83" s="117"/>
      <x:c r="C83" s="117"/>
      <x:c r="D83" s="117"/>
      <x:c r="E83" s="117"/>
      <x:c r="F83" s="117"/>
      <x:c r="G83" s="117"/>
      <x:c r="H83" s="117"/>
      <x:c r="I83" s="117"/>
      <x:c r="J83" s="117"/>
      <x:c r="K83" s="117"/>
      <x:c r="L83" s="117"/>
      <x:c r="M83" s="117"/>
      <x:c r="N83" s="117"/>
      <x:c r="O83" s="117"/>
      <x:c r="P83" s="117"/>
      <x:c r="Q83" s="117"/>
      <x:c r="R83" s="117"/>
      <x:c r="S83" s="117"/>
      <x:c r="T83" s="117"/>
      <x:c r="U83" s="117"/>
      <x:c r="V83" s="117"/>
      <x:c r="W83" s="117"/>
      <x:c r="X83" s="117"/>
      <x:c r="Y83" s="117"/>
      <x:c r="Z83" s="117"/>
    </x:row>
    <x:row r="84">
      <x:c r="A84" s="117"/>
      <x:c r="B84" s="117"/>
      <x:c r="C84" s="117"/>
      <x:c r="D84" s="117"/>
      <x:c r="E84" s="117"/>
      <x:c r="F84" s="117"/>
      <x:c r="G84" s="117"/>
      <x:c r="H84" s="117"/>
      <x:c r="I84" s="117"/>
      <x:c r="J84" s="117"/>
      <x:c r="K84" s="117"/>
      <x:c r="L84" s="117"/>
      <x:c r="M84" s="117"/>
      <x:c r="N84" s="117"/>
      <x:c r="O84" s="117"/>
      <x:c r="P84" s="117"/>
      <x:c r="Q84" s="117"/>
      <x:c r="R84" s="117"/>
      <x:c r="S84" s="117"/>
      <x:c r="T84" s="117"/>
      <x:c r="U84" s="117"/>
      <x:c r="V84" s="117"/>
      <x:c r="W84" s="117"/>
      <x:c r="X84" s="117"/>
      <x:c r="Y84" s="117"/>
      <x:c r="Z84" s="117"/>
    </x:row>
    <x:row r="85">
      <x:c r="A85" s="117"/>
      <x:c r="B85" s="117"/>
      <x:c r="C85" s="117"/>
      <x:c r="D85" s="117"/>
      <x:c r="E85" s="117"/>
      <x:c r="F85" s="117"/>
      <x:c r="G85" s="117"/>
      <x:c r="H85" s="117"/>
      <x:c r="I85" s="117"/>
      <x:c r="J85" s="117"/>
      <x:c r="K85" s="117"/>
      <x:c r="L85" s="117"/>
      <x:c r="M85" s="117"/>
      <x:c r="N85" s="117"/>
      <x:c r="O85" s="117"/>
      <x:c r="P85" s="117"/>
      <x:c r="Q85" s="117"/>
      <x:c r="R85" s="117"/>
      <x:c r="S85" s="117"/>
      <x:c r="T85" s="117"/>
      <x:c r="U85" s="117"/>
      <x:c r="V85" s="117"/>
      <x:c r="W85" s="117"/>
      <x:c r="X85" s="117"/>
      <x:c r="Y85" s="117"/>
      <x:c r="Z85" s="117"/>
    </x:row>
    <x:row r="86">
      <x:c r="A86" s="117"/>
      <x:c r="B86" s="117"/>
      <x:c r="C86" s="117"/>
      <x:c r="D86" s="117"/>
      <x:c r="E86" s="117"/>
      <x:c r="F86" s="117"/>
      <x:c r="G86" s="117"/>
      <x:c r="H86" s="117"/>
      <x:c r="I86" s="117"/>
      <x:c r="J86" s="117"/>
      <x:c r="K86" s="117"/>
      <x:c r="L86" s="117"/>
      <x:c r="M86" s="117"/>
      <x:c r="N86" s="117"/>
      <x:c r="O86" s="117"/>
      <x:c r="P86" s="117"/>
      <x:c r="Q86" s="117"/>
      <x:c r="R86" s="117"/>
      <x:c r="S86" s="117"/>
      <x:c r="T86" s="117"/>
      <x:c r="U86" s="117"/>
      <x:c r="V86" s="117"/>
      <x:c r="W86" s="117"/>
      <x:c r="X86" s="117"/>
      <x:c r="Y86" s="117"/>
      <x:c r="Z86" s="117"/>
    </x:row>
    <x:row r="87">
      <x:c r="A87" s="117"/>
      <x:c r="B87" s="117"/>
      <x:c r="C87" s="117"/>
      <x:c r="D87" s="117"/>
      <x:c r="E87" s="117"/>
      <x:c r="F87" s="117"/>
      <x:c r="G87" s="117"/>
      <x:c r="H87" s="117"/>
      <x:c r="I87" s="117"/>
      <x:c r="J87" s="117"/>
      <x:c r="K87" s="117"/>
      <x:c r="L87" s="117"/>
      <x:c r="M87" s="117"/>
      <x:c r="N87" s="117"/>
      <x:c r="O87" s="117"/>
      <x:c r="P87" s="117"/>
      <x:c r="Q87" s="117"/>
      <x:c r="R87" s="117"/>
      <x:c r="S87" s="117"/>
      <x:c r="T87" s="117"/>
      <x:c r="U87" s="117"/>
      <x:c r="V87" s="117"/>
      <x:c r="W87" s="117"/>
      <x:c r="X87" s="117"/>
      <x:c r="Y87" s="117"/>
      <x:c r="Z87" s="117"/>
    </x:row>
    <x:row r="88">
      <x:c r="A88" s="117"/>
      <x:c r="B88" s="117"/>
      <x:c r="C88" s="117"/>
      <x:c r="D88" s="117"/>
      <x:c r="E88" s="117"/>
      <x:c r="F88" s="117"/>
      <x:c r="G88" s="117"/>
      <x:c r="H88" s="117"/>
      <x:c r="I88" s="117"/>
      <x:c r="J88" s="117"/>
      <x:c r="K88" s="117"/>
      <x:c r="L88" s="117"/>
      <x:c r="M88" s="117"/>
      <x:c r="N88" s="117"/>
      <x:c r="O88" s="117"/>
      <x:c r="P88" s="117"/>
      <x:c r="Q88" s="117"/>
      <x:c r="R88" s="117"/>
      <x:c r="S88" s="117"/>
      <x:c r="T88" s="117"/>
      <x:c r="U88" s="117"/>
      <x:c r="V88" s="117"/>
      <x:c r="W88" s="117"/>
      <x:c r="X88" s="117"/>
      <x:c r="Y88" s="117"/>
      <x:c r="Z88" s="117"/>
    </x:row>
    <x:row r="89">
      <x:c r="A89" s="117"/>
      <x:c r="B89" s="117"/>
      <x:c r="C89" s="117"/>
      <x:c r="D89" s="117"/>
      <x:c r="E89" s="117"/>
      <x:c r="F89" s="117"/>
      <x:c r="G89" s="117"/>
      <x:c r="H89" s="117"/>
      <x:c r="I89" s="117"/>
      <x:c r="J89" s="117"/>
      <x:c r="K89" s="117"/>
      <x:c r="L89" s="117"/>
      <x:c r="M89" s="117"/>
      <x:c r="N89" s="117"/>
      <x:c r="O89" s="117"/>
      <x:c r="P89" s="117"/>
      <x:c r="Q89" s="117"/>
      <x:c r="R89" s="117"/>
      <x:c r="S89" s="117"/>
      <x:c r="T89" s="117"/>
      <x:c r="U89" s="117"/>
      <x:c r="V89" s="117"/>
      <x:c r="W89" s="117"/>
      <x:c r="X89" s="117"/>
      <x:c r="Y89" s="117"/>
      <x:c r="Z89" s="117"/>
    </x:row>
    <x:row r="90">
      <x:c r="A90" s="117"/>
      <x:c r="B90" s="117"/>
      <x:c r="C90" s="117"/>
      <x:c r="D90" s="117"/>
      <x:c r="E90" s="117"/>
      <x:c r="F90" s="117"/>
      <x:c r="G90" s="117"/>
      <x:c r="H90" s="117"/>
      <x:c r="I90" s="117"/>
      <x:c r="J90" s="117"/>
      <x:c r="K90" s="117"/>
      <x:c r="L90" s="117"/>
      <x:c r="M90" s="117"/>
      <x:c r="N90" s="117"/>
      <x:c r="O90" s="117"/>
      <x:c r="P90" s="117"/>
      <x:c r="Q90" s="117"/>
      <x:c r="R90" s="117"/>
      <x:c r="S90" s="117"/>
      <x:c r="T90" s="117"/>
      <x:c r="U90" s="117"/>
      <x:c r="V90" s="117"/>
      <x:c r="W90" s="117"/>
      <x:c r="X90" s="117"/>
      <x:c r="Y90" s="117"/>
      <x:c r="Z90" s="117"/>
    </x:row>
    <x:row r="91">
      <x:c r="A91" s="117"/>
      <x:c r="B91" s="117"/>
      <x:c r="C91" s="117"/>
      <x:c r="D91" s="117"/>
      <x:c r="E91" s="117"/>
      <x:c r="F91" s="117"/>
      <x:c r="G91" s="117"/>
      <x:c r="H91" s="117"/>
      <x:c r="I91" s="117"/>
      <x:c r="J91" s="117"/>
      <x:c r="K91" s="117"/>
      <x:c r="L91" s="117"/>
      <x:c r="M91" s="117"/>
      <x:c r="N91" s="117"/>
      <x:c r="O91" s="117"/>
      <x:c r="P91" s="117"/>
      <x:c r="Q91" s="117"/>
      <x:c r="R91" s="117"/>
      <x:c r="S91" s="117"/>
      <x:c r="T91" s="117"/>
      <x:c r="U91" s="117"/>
      <x:c r="V91" s="117"/>
      <x:c r="W91" s="117"/>
      <x:c r="X91" s="117"/>
      <x:c r="Y91" s="117"/>
      <x:c r="Z91" s="117"/>
    </x:row>
    <x:row r="92">
      <x:c r="A92" s="117"/>
      <x:c r="B92" s="117"/>
      <x:c r="C92" s="117"/>
      <x:c r="D92" s="117"/>
      <x:c r="E92" s="117"/>
      <x:c r="F92" s="117"/>
      <x:c r="G92" s="117"/>
      <x:c r="H92" s="117"/>
      <x:c r="I92" s="117"/>
      <x:c r="J92" s="117"/>
      <x:c r="K92" s="117"/>
      <x:c r="L92" s="117"/>
      <x:c r="M92" s="117"/>
      <x:c r="N92" s="117"/>
      <x:c r="O92" s="117"/>
      <x:c r="P92" s="117"/>
      <x:c r="Q92" s="117"/>
      <x:c r="R92" s="117"/>
      <x:c r="S92" s="117"/>
      <x:c r="T92" s="117"/>
      <x:c r="U92" s="117"/>
      <x:c r="V92" s="117"/>
      <x:c r="W92" s="117"/>
      <x:c r="X92" s="117"/>
      <x:c r="Y92" s="117"/>
      <x:c r="Z92" s="117"/>
    </x:row>
    <x:row r="93">
      <x:c r="A93" s="117"/>
      <x:c r="B93" s="117"/>
      <x:c r="C93" s="117"/>
      <x:c r="D93" s="117"/>
      <x:c r="E93" s="117"/>
      <x:c r="F93" s="117"/>
      <x:c r="G93" s="117"/>
      <x:c r="H93" s="117"/>
      <x:c r="I93" s="117"/>
      <x:c r="J93" s="117"/>
      <x:c r="K93" s="117"/>
      <x:c r="L93" s="117"/>
      <x:c r="M93" s="117"/>
      <x:c r="N93" s="117"/>
      <x:c r="O93" s="117"/>
      <x:c r="P93" s="117"/>
      <x:c r="Q93" s="117"/>
      <x:c r="R93" s="117"/>
      <x:c r="S93" s="117"/>
      <x:c r="T93" s="117"/>
      <x:c r="U93" s="117"/>
      <x:c r="V93" s="117"/>
      <x:c r="W93" s="117"/>
      <x:c r="X93" s="117"/>
      <x:c r="Y93" s="117"/>
      <x:c r="Z93" s="117"/>
    </x:row>
    <x:row r="94">
      <x:c r="A94" s="117"/>
      <x:c r="B94" s="117"/>
      <x:c r="C94" s="117"/>
      <x:c r="D94" s="117"/>
      <x:c r="E94" s="117"/>
      <x:c r="F94" s="117"/>
      <x:c r="G94" s="117"/>
      <x:c r="H94" s="117"/>
      <x:c r="I94" s="117"/>
      <x:c r="J94" s="117"/>
      <x:c r="K94" s="117"/>
      <x:c r="L94" s="117"/>
      <x:c r="M94" s="117"/>
      <x:c r="N94" s="117"/>
      <x:c r="O94" s="117"/>
      <x:c r="P94" s="117"/>
      <x:c r="Q94" s="117"/>
      <x:c r="R94" s="117"/>
      <x:c r="S94" s="117"/>
      <x:c r="T94" s="117"/>
      <x:c r="U94" s="117"/>
      <x:c r="V94" s="117"/>
      <x:c r="W94" s="117"/>
      <x:c r="X94" s="117"/>
      <x:c r="Y94" s="117"/>
      <x:c r="Z94" s="117"/>
    </x:row>
    <x:row r="95">
      <x:c r="A95" s="117"/>
      <x:c r="B95" s="117"/>
      <x:c r="C95" s="117"/>
      <x:c r="D95" s="117"/>
      <x:c r="E95" s="117"/>
      <x:c r="F95" s="117"/>
      <x:c r="G95" s="117"/>
      <x:c r="H95" s="117"/>
      <x:c r="I95" s="117"/>
      <x:c r="J95" s="117"/>
      <x:c r="K95" s="117"/>
      <x:c r="L95" s="117"/>
      <x:c r="M95" s="117"/>
      <x:c r="N95" s="117"/>
      <x:c r="O95" s="117"/>
      <x:c r="P95" s="117"/>
      <x:c r="Q95" s="117"/>
      <x:c r="R95" s="117"/>
      <x:c r="S95" s="117"/>
      <x:c r="T95" s="117"/>
      <x:c r="U95" s="117"/>
      <x:c r="V95" s="117"/>
      <x:c r="W95" s="117"/>
      <x:c r="X95" s="117"/>
      <x:c r="Y95" s="117"/>
      <x:c r="Z95" s="117"/>
    </x:row>
    <x:row r="96">
      <x:c r="A96" s="117"/>
      <x:c r="B96" s="117"/>
      <x:c r="C96" s="117"/>
      <x:c r="D96" s="117"/>
      <x:c r="E96" s="117"/>
      <x:c r="F96" s="117"/>
      <x:c r="G96" s="117"/>
      <x:c r="H96" s="117"/>
      <x:c r="I96" s="117"/>
      <x:c r="J96" s="117"/>
      <x:c r="K96" s="117"/>
      <x:c r="L96" s="117"/>
      <x:c r="M96" s="117"/>
      <x:c r="N96" s="117"/>
      <x:c r="O96" s="117"/>
      <x:c r="P96" s="117"/>
      <x:c r="Q96" s="117"/>
      <x:c r="R96" s="117"/>
      <x:c r="S96" s="117"/>
      <x:c r="T96" s="117"/>
      <x:c r="U96" s="117"/>
      <x:c r="V96" s="117"/>
      <x:c r="W96" s="117"/>
      <x:c r="X96" s="117"/>
      <x:c r="Y96" s="117"/>
      <x:c r="Z96" s="117"/>
    </x:row>
    <x:row r="97">
      <x:c r="A97" s="117"/>
      <x:c r="B97" s="117"/>
      <x:c r="C97" s="117"/>
      <x:c r="D97" s="117"/>
      <x:c r="E97" s="117"/>
      <x:c r="F97" s="117"/>
      <x:c r="G97" s="117"/>
      <x:c r="H97" s="117"/>
      <x:c r="I97" s="117"/>
      <x:c r="J97" s="117"/>
      <x:c r="K97" s="117"/>
      <x:c r="L97" s="117"/>
      <x:c r="M97" s="117"/>
      <x:c r="N97" s="117"/>
      <x:c r="O97" s="117"/>
      <x:c r="P97" s="117"/>
      <x:c r="Q97" s="117"/>
      <x:c r="R97" s="117"/>
      <x:c r="S97" s="117"/>
      <x:c r="T97" s="117"/>
      <x:c r="U97" s="117"/>
      <x:c r="V97" s="117"/>
      <x:c r="W97" s="117"/>
      <x:c r="X97" s="117"/>
      <x:c r="Y97" s="117"/>
      <x:c r="Z97" s="117"/>
    </x:row>
    <x:row r="98">
      <x:c r="A98" s="117"/>
      <x:c r="B98" s="117"/>
      <x:c r="C98" s="117"/>
      <x:c r="D98" s="117"/>
      <x:c r="E98" s="117"/>
      <x:c r="F98" s="117"/>
      <x:c r="G98" s="117"/>
      <x:c r="H98" s="117"/>
      <x:c r="I98" s="117"/>
      <x:c r="J98" s="117"/>
      <x:c r="K98" s="117"/>
      <x:c r="L98" s="117"/>
      <x:c r="M98" s="117"/>
      <x:c r="N98" s="117"/>
      <x:c r="O98" s="117"/>
      <x:c r="P98" s="117"/>
      <x:c r="Q98" s="117"/>
      <x:c r="R98" s="117"/>
      <x:c r="S98" s="117"/>
      <x:c r="T98" s="117"/>
      <x:c r="U98" s="117"/>
      <x:c r="V98" s="117"/>
      <x:c r="W98" s="117"/>
      <x:c r="X98" s="117"/>
      <x:c r="Y98" s="117"/>
      <x:c r="Z98" s="117"/>
    </x:row>
    <x:row r="99">
      <x:c r="A99" s="117"/>
      <x:c r="B99" s="117"/>
      <x:c r="C99" s="117"/>
      <x:c r="D99" s="117"/>
      <x:c r="E99" s="117"/>
      <x:c r="F99" s="117"/>
      <x:c r="G99" s="117"/>
      <x:c r="H99" s="117"/>
      <x:c r="I99" s="117"/>
      <x:c r="J99" s="117"/>
      <x:c r="K99" s="117"/>
      <x:c r="L99" s="117"/>
      <x:c r="M99" s="117"/>
      <x:c r="N99" s="117"/>
      <x:c r="O99" s="117"/>
      <x:c r="P99" s="117"/>
      <x:c r="Q99" s="117"/>
      <x:c r="R99" s="117"/>
      <x:c r="S99" s="117"/>
      <x:c r="T99" s="117"/>
      <x:c r="U99" s="117"/>
      <x:c r="V99" s="117"/>
      <x:c r="W99" s="117"/>
      <x:c r="X99" s="117"/>
      <x:c r="Y99" s="117"/>
      <x:c r="Z99" s="117"/>
    </x:row>
    <x:row r="100">
      <x:c r="A100" s="117"/>
      <x:c r="B100" s="117"/>
      <x:c r="C100" s="117"/>
      <x:c r="D100" s="117"/>
      <x:c r="E100" s="117"/>
      <x:c r="F100" s="117"/>
      <x:c r="G100" s="117"/>
      <x:c r="H100" s="117"/>
      <x:c r="I100" s="117"/>
      <x:c r="J100" s="117"/>
      <x:c r="K100" s="117"/>
      <x:c r="L100" s="117"/>
      <x:c r="M100" s="117"/>
      <x:c r="N100" s="117"/>
      <x:c r="O100" s="117"/>
      <x:c r="P100" s="117"/>
      <x:c r="Q100" s="117"/>
      <x:c r="R100" s="117"/>
      <x:c r="S100" s="117"/>
      <x:c r="T100" s="117"/>
      <x:c r="U100" s="117"/>
      <x:c r="V100" s="117"/>
      <x:c r="W100" s="117"/>
      <x:c r="X100" s="117"/>
      <x:c r="Y100" s="117"/>
      <x:c r="Z100" s="117"/>
    </x:row>
    <x:row r="101">
      <x:c r="A101" s="117"/>
      <x:c r="B101" s="117"/>
      <x:c r="C101" s="117"/>
      <x:c r="D101" s="117"/>
      <x:c r="E101" s="117"/>
      <x:c r="F101" s="117"/>
      <x:c r="G101" s="117"/>
      <x:c r="H101" s="117"/>
      <x:c r="I101" s="117"/>
      <x:c r="J101" s="117"/>
      <x:c r="K101" s="117"/>
      <x:c r="L101" s="117"/>
      <x:c r="M101" s="117"/>
      <x:c r="N101" s="117"/>
      <x:c r="O101" s="117"/>
      <x:c r="P101" s="117"/>
      <x:c r="Q101" s="117"/>
      <x:c r="R101" s="117"/>
      <x:c r="S101" s="117"/>
      <x:c r="T101" s="117"/>
      <x:c r="U101" s="117"/>
      <x:c r="V101" s="117"/>
      <x:c r="W101" s="117"/>
      <x:c r="X101" s="117"/>
      <x:c r="Y101" s="117"/>
      <x:c r="Z101" s="117"/>
    </x:row>
    <x:row r="102">
      <x:c r="A102" s="117"/>
      <x:c r="B102" s="117"/>
      <x:c r="C102" s="117"/>
      <x:c r="D102" s="117"/>
      <x:c r="E102" s="117"/>
      <x:c r="F102" s="117"/>
      <x:c r="G102" s="117"/>
      <x:c r="H102" s="117"/>
      <x:c r="I102" s="117"/>
      <x:c r="J102" s="117"/>
      <x:c r="K102" s="117"/>
      <x:c r="L102" s="117"/>
      <x:c r="M102" s="117"/>
      <x:c r="N102" s="117"/>
      <x:c r="O102" s="117"/>
      <x:c r="P102" s="117"/>
      <x:c r="Q102" s="117"/>
      <x:c r="R102" s="117"/>
      <x:c r="S102" s="117"/>
      <x:c r="T102" s="117"/>
      <x:c r="U102" s="117"/>
      <x:c r="V102" s="117"/>
      <x:c r="W102" s="117"/>
      <x:c r="X102" s="117"/>
      <x:c r="Y102" s="117"/>
      <x:c r="Z102" s="117"/>
    </x:row>
    <x:row r="103">
      <x:c r="A103" s="117"/>
      <x:c r="B103" s="117"/>
      <x:c r="C103" s="117"/>
      <x:c r="D103" s="117"/>
      <x:c r="E103" s="117"/>
      <x:c r="F103" s="117"/>
      <x:c r="G103" s="117"/>
      <x:c r="H103" s="117"/>
      <x:c r="I103" s="117"/>
      <x:c r="J103" s="117"/>
      <x:c r="K103" s="117"/>
      <x:c r="L103" s="117"/>
      <x:c r="M103" s="117"/>
      <x:c r="N103" s="117"/>
      <x:c r="O103" s="117"/>
      <x:c r="P103" s="117"/>
      <x:c r="Q103" s="117"/>
      <x:c r="R103" s="117"/>
      <x:c r="S103" s="117"/>
      <x:c r="T103" s="117"/>
      <x:c r="U103" s="117"/>
      <x:c r="V103" s="117"/>
      <x:c r="W103" s="117"/>
      <x:c r="X103" s="117"/>
      <x:c r="Y103" s="117"/>
      <x:c r="Z103" s="117"/>
    </x:row>
    <x:row r="104">
      <x:c r="A104" s="117"/>
      <x:c r="B104" s="117"/>
      <x:c r="C104" s="117"/>
      <x:c r="D104" s="117"/>
      <x:c r="E104" s="117"/>
      <x:c r="F104" s="117"/>
      <x:c r="G104" s="117"/>
      <x:c r="H104" s="117"/>
      <x:c r="I104" s="117"/>
      <x:c r="J104" s="117"/>
      <x:c r="K104" s="117"/>
      <x:c r="L104" s="117"/>
      <x:c r="M104" s="117"/>
      <x:c r="N104" s="117"/>
      <x:c r="O104" s="117"/>
      <x:c r="P104" s="117"/>
      <x:c r="Q104" s="117"/>
      <x:c r="R104" s="117"/>
      <x:c r="S104" s="117"/>
      <x:c r="T104" s="117"/>
      <x:c r="U104" s="117"/>
      <x:c r="V104" s="117"/>
      <x:c r="W104" s="117"/>
      <x:c r="X104" s="117"/>
      <x:c r="Y104" s="117"/>
      <x:c r="Z104" s="117"/>
    </x:row>
    <x:row r="105">
      <x:c r="A105" s="117"/>
      <x:c r="B105" s="117"/>
      <x:c r="C105" s="117"/>
      <x:c r="D105" s="117"/>
      <x:c r="E105" s="117"/>
      <x:c r="F105" s="117"/>
      <x:c r="G105" s="117"/>
      <x:c r="H105" s="117"/>
      <x:c r="I105" s="117"/>
      <x:c r="J105" s="117"/>
      <x:c r="K105" s="117"/>
      <x:c r="L105" s="117"/>
      <x:c r="M105" s="117"/>
      <x:c r="N105" s="117"/>
      <x:c r="O105" s="117"/>
      <x:c r="P105" s="117"/>
      <x:c r="Q105" s="117"/>
      <x:c r="R105" s="117"/>
      <x:c r="S105" s="117"/>
      <x:c r="T105" s="117"/>
      <x:c r="U105" s="117"/>
      <x:c r="V105" s="117"/>
      <x:c r="W105" s="117"/>
      <x:c r="X105" s="117"/>
      <x:c r="Y105" s="117"/>
      <x:c r="Z105" s="117"/>
    </x:row>
    <x:row r="106">
      <x:c r="A106" s="117"/>
      <x:c r="B106" s="117"/>
      <x:c r="C106" s="117"/>
      <x:c r="D106" s="117"/>
      <x:c r="E106" s="117"/>
      <x:c r="F106" s="117"/>
      <x:c r="G106" s="117"/>
      <x:c r="H106" s="117"/>
      <x:c r="I106" s="117"/>
      <x:c r="J106" s="117"/>
      <x:c r="K106" s="117"/>
      <x:c r="L106" s="117"/>
      <x:c r="M106" s="117"/>
      <x:c r="N106" s="117"/>
      <x:c r="O106" s="117"/>
      <x:c r="P106" s="117"/>
      <x:c r="Q106" s="117"/>
      <x:c r="R106" s="117"/>
      <x:c r="S106" s="117"/>
      <x:c r="T106" s="117"/>
      <x:c r="U106" s="117"/>
      <x:c r="V106" s="117"/>
      <x:c r="W106" s="117"/>
      <x:c r="X106" s="117"/>
      <x:c r="Y106" s="117"/>
      <x:c r="Z106" s="117"/>
    </x:row>
    <x:row r="107">
      <x:c r="A107" s="117"/>
      <x:c r="B107" s="117"/>
      <x:c r="C107" s="117"/>
      <x:c r="D107" s="117"/>
      <x:c r="E107" s="117"/>
      <x:c r="F107" s="117"/>
      <x:c r="G107" s="117"/>
      <x:c r="H107" s="117"/>
      <x:c r="I107" s="117"/>
      <x:c r="J107" s="117"/>
      <x:c r="K107" s="117"/>
      <x:c r="L107" s="117"/>
      <x:c r="M107" s="117"/>
      <x:c r="N107" s="117"/>
      <x:c r="O107" s="117"/>
      <x:c r="P107" s="117"/>
      <x:c r="Q107" s="117"/>
      <x:c r="R107" s="117"/>
      <x:c r="S107" s="117"/>
      <x:c r="T107" s="117"/>
      <x:c r="U107" s="117"/>
      <x:c r="V107" s="117"/>
      <x:c r="W107" s="117"/>
      <x:c r="X107" s="117"/>
      <x:c r="Y107" s="117"/>
      <x:c r="Z107" s="117"/>
    </x:row>
    <x:row r="108">
      <x:c r="A108" s="117"/>
      <x:c r="B108" s="117"/>
      <x:c r="C108" s="117"/>
      <x:c r="D108" s="117"/>
      <x:c r="E108" s="117"/>
      <x:c r="F108" s="117"/>
      <x:c r="G108" s="117"/>
      <x:c r="H108" s="117"/>
      <x:c r="I108" s="117"/>
      <x:c r="J108" s="117"/>
      <x:c r="K108" s="117"/>
      <x:c r="L108" s="117"/>
      <x:c r="M108" s="117"/>
      <x:c r="N108" s="117"/>
      <x:c r="O108" s="117"/>
      <x:c r="P108" s="117"/>
      <x:c r="Q108" s="117"/>
      <x:c r="R108" s="117"/>
      <x:c r="S108" s="117"/>
      <x:c r="T108" s="117"/>
      <x:c r="U108" s="117"/>
      <x:c r="V108" s="117"/>
      <x:c r="W108" s="117"/>
      <x:c r="X108" s="117"/>
      <x:c r="Y108" s="117"/>
      <x:c r="Z108" s="117"/>
    </x:row>
    <x:row r="109">
      <x:c r="A109" s="117"/>
      <x:c r="B109" s="117"/>
      <x:c r="C109" s="117"/>
      <x:c r="D109" s="117"/>
      <x:c r="E109" s="117"/>
      <x:c r="F109" s="117"/>
      <x:c r="G109" s="117"/>
      <x:c r="H109" s="117"/>
      <x:c r="I109" s="117"/>
      <x:c r="J109" s="117"/>
      <x:c r="K109" s="117"/>
      <x:c r="L109" s="117"/>
      <x:c r="M109" s="117"/>
      <x:c r="N109" s="117"/>
      <x:c r="O109" s="117"/>
      <x:c r="P109" s="117"/>
      <x:c r="Q109" s="117"/>
      <x:c r="R109" s="117"/>
      <x:c r="S109" s="117"/>
      <x:c r="T109" s="117"/>
      <x:c r="U109" s="117"/>
      <x:c r="V109" s="117"/>
      <x:c r="W109" s="117"/>
      <x:c r="X109" s="117"/>
      <x:c r="Y109" s="117"/>
      <x:c r="Z109" s="117"/>
    </x:row>
    <x:row r="110">
      <x:c r="A110" s="117"/>
      <x:c r="B110" s="117"/>
      <x:c r="C110" s="117"/>
      <x:c r="D110" s="117"/>
      <x:c r="E110" s="117"/>
      <x:c r="F110" s="117"/>
      <x:c r="G110" s="117"/>
      <x:c r="H110" s="117"/>
      <x:c r="I110" s="117"/>
      <x:c r="J110" s="117"/>
      <x:c r="K110" s="117"/>
      <x:c r="L110" s="117"/>
      <x:c r="M110" s="117"/>
      <x:c r="N110" s="117"/>
      <x:c r="O110" s="117"/>
      <x:c r="P110" s="117"/>
      <x:c r="Q110" s="117"/>
      <x:c r="R110" s="117"/>
      <x:c r="S110" s="117"/>
      <x:c r="T110" s="117"/>
      <x:c r="U110" s="117"/>
      <x:c r="V110" s="117"/>
      <x:c r="W110" s="117"/>
      <x:c r="X110" s="117"/>
      <x:c r="Y110" s="117"/>
      <x:c r="Z110" s="117"/>
    </x:row>
    <x:row r="111">
      <x:c r="A111" s="117"/>
      <x:c r="B111" s="117"/>
      <x:c r="C111" s="117"/>
      <x:c r="D111" s="117"/>
      <x:c r="E111" s="117"/>
      <x:c r="F111" s="117"/>
      <x:c r="G111" s="117"/>
      <x:c r="H111" s="117"/>
      <x:c r="I111" s="117"/>
      <x:c r="J111" s="117"/>
      <x:c r="K111" s="117"/>
      <x:c r="L111" s="117"/>
      <x:c r="M111" s="117"/>
      <x:c r="N111" s="117"/>
      <x:c r="O111" s="117"/>
      <x:c r="P111" s="117"/>
      <x:c r="Q111" s="117"/>
      <x:c r="R111" s="117"/>
      <x:c r="S111" s="117"/>
      <x:c r="T111" s="117"/>
      <x:c r="U111" s="117"/>
      <x:c r="V111" s="117"/>
      <x:c r="W111" s="117"/>
      <x:c r="X111" s="117"/>
      <x:c r="Y111" s="117"/>
      <x:c r="Z111" s="117"/>
    </x:row>
    <x:row r="112">
      <x:c r="A112" s="117"/>
      <x:c r="B112" s="117"/>
      <x:c r="C112" s="117"/>
      <x:c r="D112" s="117"/>
      <x:c r="E112" s="117"/>
      <x:c r="F112" s="117"/>
      <x:c r="G112" s="117"/>
      <x:c r="H112" s="117"/>
      <x:c r="I112" s="117"/>
      <x:c r="J112" s="117"/>
      <x:c r="K112" s="117"/>
      <x:c r="L112" s="117"/>
      <x:c r="M112" s="117"/>
      <x:c r="N112" s="117"/>
      <x:c r="O112" s="117"/>
      <x:c r="P112" s="117"/>
      <x:c r="Q112" s="117"/>
      <x:c r="R112" s="117"/>
      <x:c r="S112" s="117"/>
      <x:c r="T112" s="117"/>
      <x:c r="U112" s="117"/>
      <x:c r="V112" s="117"/>
      <x:c r="W112" s="117"/>
      <x:c r="X112" s="117"/>
      <x:c r="Y112" s="117"/>
      <x:c r="Z112" s="117"/>
    </x:row>
    <x:row r="113">
      <x:c r="A113" s="117"/>
      <x:c r="B113" s="117"/>
      <x:c r="C113" s="117"/>
      <x:c r="D113" s="117"/>
      <x:c r="E113" s="117"/>
      <x:c r="F113" s="117"/>
      <x:c r="G113" s="117"/>
      <x:c r="H113" s="117"/>
      <x:c r="I113" s="117"/>
      <x:c r="J113" s="117"/>
      <x:c r="K113" s="117"/>
      <x:c r="L113" s="117"/>
      <x:c r="M113" s="117"/>
      <x:c r="N113" s="117"/>
      <x:c r="O113" s="117"/>
      <x:c r="P113" s="117"/>
      <x:c r="Q113" s="117"/>
      <x:c r="R113" s="117"/>
      <x:c r="S113" s="117"/>
      <x:c r="T113" s="117"/>
      <x:c r="U113" s="117"/>
      <x:c r="V113" s="117"/>
      <x:c r="W113" s="117"/>
      <x:c r="X113" s="117"/>
      <x:c r="Y113" s="117"/>
      <x:c r="Z113" s="117"/>
    </x:row>
    <x:row r="114">
      <x:c r="A114" s="117"/>
      <x:c r="B114" s="117"/>
      <x:c r="C114" s="117"/>
      <x:c r="D114" s="117"/>
      <x:c r="E114" s="117"/>
      <x:c r="F114" s="117"/>
      <x:c r="G114" s="117"/>
      <x:c r="H114" s="117"/>
      <x:c r="I114" s="117"/>
      <x:c r="J114" s="117"/>
      <x:c r="K114" s="117"/>
      <x:c r="L114" s="117"/>
      <x:c r="M114" s="117"/>
      <x:c r="N114" s="117"/>
      <x:c r="O114" s="117"/>
      <x:c r="P114" s="117"/>
      <x:c r="Q114" s="117"/>
      <x:c r="R114" s="117"/>
      <x:c r="S114" s="117"/>
      <x:c r="T114" s="117"/>
      <x:c r="U114" s="117"/>
      <x:c r="V114" s="117"/>
      <x:c r="W114" s="117"/>
      <x:c r="X114" s="117"/>
      <x:c r="Y114" s="117"/>
      <x:c r="Z114" s="117"/>
    </x:row>
    <x:row r="115">
      <x:c r="A115" s="117"/>
      <x:c r="B115" s="117"/>
      <x:c r="C115" s="117"/>
      <x:c r="D115" s="117"/>
      <x:c r="E115" s="117"/>
      <x:c r="F115" s="117"/>
      <x:c r="G115" s="117"/>
      <x:c r="H115" s="117"/>
      <x:c r="I115" s="117"/>
      <x:c r="J115" s="117"/>
      <x:c r="K115" s="117"/>
      <x:c r="L115" s="117"/>
      <x:c r="M115" s="117"/>
      <x:c r="N115" s="117"/>
      <x:c r="O115" s="117"/>
      <x:c r="P115" s="117"/>
      <x:c r="Q115" s="117"/>
      <x:c r="R115" s="117"/>
      <x:c r="S115" s="117"/>
      <x:c r="T115" s="117"/>
      <x:c r="U115" s="117"/>
      <x:c r="V115" s="117"/>
      <x:c r="W115" s="117"/>
      <x:c r="X115" s="117"/>
      <x:c r="Y115" s="117"/>
      <x:c r="Z115" s="117"/>
    </x:row>
    <x:row r="116">
      <x:c r="A116" s="117"/>
      <x:c r="B116" s="117"/>
      <x:c r="C116" s="117"/>
      <x:c r="D116" s="117"/>
      <x:c r="E116" s="117"/>
      <x:c r="F116" s="117"/>
      <x:c r="G116" s="117"/>
      <x:c r="H116" s="117"/>
      <x:c r="I116" s="117"/>
      <x:c r="J116" s="117"/>
      <x:c r="K116" s="117"/>
      <x:c r="L116" s="117"/>
      <x:c r="M116" s="117"/>
      <x:c r="N116" s="117"/>
      <x:c r="O116" s="117"/>
      <x:c r="P116" s="117"/>
      <x:c r="Q116" s="117"/>
      <x:c r="R116" s="117"/>
      <x:c r="S116" s="117"/>
      <x:c r="T116" s="117"/>
      <x:c r="U116" s="117"/>
      <x:c r="V116" s="117"/>
      <x:c r="W116" s="117"/>
      <x:c r="X116" s="117"/>
      <x:c r="Y116" s="117"/>
      <x:c r="Z116" s="117"/>
    </x:row>
    <x:row r="117">
      <x:c r="A117" s="117"/>
      <x:c r="B117" s="117"/>
      <x:c r="C117" s="117"/>
      <x:c r="D117" s="117"/>
      <x:c r="E117" s="117"/>
      <x:c r="F117" s="117"/>
      <x:c r="G117" s="117"/>
      <x:c r="H117" s="117"/>
      <x:c r="I117" s="117"/>
      <x:c r="J117" s="117"/>
      <x:c r="K117" s="117"/>
      <x:c r="L117" s="117"/>
      <x:c r="M117" s="117"/>
      <x:c r="N117" s="117"/>
      <x:c r="O117" s="117"/>
      <x:c r="P117" s="117"/>
      <x:c r="Q117" s="117"/>
      <x:c r="R117" s="117"/>
      <x:c r="S117" s="117"/>
      <x:c r="T117" s="117"/>
      <x:c r="U117" s="117"/>
      <x:c r="V117" s="117"/>
      <x:c r="W117" s="117"/>
      <x:c r="X117" s="117"/>
      <x:c r="Y117" s="117"/>
      <x:c r="Z117" s="117"/>
    </x:row>
    <x:row r="118">
      <x:c r="A118" s="117"/>
      <x:c r="B118" s="117"/>
      <x:c r="C118" s="117"/>
      <x:c r="D118" s="117"/>
      <x:c r="E118" s="117"/>
      <x:c r="F118" s="117"/>
      <x:c r="G118" s="117"/>
      <x:c r="H118" s="117"/>
      <x:c r="I118" s="117"/>
      <x:c r="J118" s="117"/>
      <x:c r="K118" s="117"/>
      <x:c r="L118" s="117"/>
      <x:c r="M118" s="117"/>
      <x:c r="N118" s="117"/>
      <x:c r="O118" s="117"/>
      <x:c r="P118" s="117"/>
      <x:c r="Q118" s="117"/>
      <x:c r="R118" s="117"/>
      <x:c r="S118" s="117"/>
      <x:c r="T118" s="117"/>
      <x:c r="U118" s="117"/>
      <x:c r="V118" s="117"/>
      <x:c r="W118" s="117"/>
      <x:c r="X118" s="117"/>
      <x:c r="Y118" s="117"/>
      <x:c r="Z118" s="117"/>
    </x:row>
    <x:row r="119">
      <x:c r="A119" s="117"/>
      <x:c r="B119" s="117"/>
      <x:c r="C119" s="117"/>
      <x:c r="D119" s="117"/>
      <x:c r="E119" s="117"/>
      <x:c r="F119" s="117"/>
      <x:c r="G119" s="117"/>
      <x:c r="H119" s="117"/>
      <x:c r="I119" s="117"/>
      <x:c r="J119" s="117"/>
      <x:c r="K119" s="117"/>
      <x:c r="L119" s="117"/>
      <x:c r="M119" s="117"/>
      <x:c r="N119" s="117"/>
      <x:c r="O119" s="117"/>
      <x:c r="P119" s="117"/>
      <x:c r="Q119" s="117"/>
      <x:c r="R119" s="117"/>
      <x:c r="S119" s="117"/>
      <x:c r="T119" s="117"/>
      <x:c r="U119" s="117"/>
      <x:c r="V119" s="117"/>
      <x:c r="W119" s="117"/>
      <x:c r="X119" s="117"/>
      <x:c r="Y119" s="117"/>
      <x:c r="Z119" s="117"/>
    </x:row>
    <x:row r="120">
      <x:c r="A120" s="117"/>
      <x:c r="B120" s="117"/>
      <x:c r="C120" s="117"/>
      <x:c r="D120" s="117"/>
      <x:c r="E120" s="117"/>
      <x:c r="F120" s="117"/>
      <x:c r="G120" s="117"/>
      <x:c r="H120" s="117"/>
      <x:c r="I120" s="117"/>
      <x:c r="J120" s="117"/>
      <x:c r="K120" s="117"/>
      <x:c r="L120" s="117"/>
      <x:c r="M120" s="117"/>
      <x:c r="N120" s="117"/>
      <x:c r="O120" s="117"/>
      <x:c r="P120" s="117"/>
      <x:c r="Q120" s="117"/>
      <x:c r="R120" s="117"/>
      <x:c r="S120" s="117"/>
      <x:c r="T120" s="117"/>
      <x:c r="U120" s="117"/>
      <x:c r="V120" s="117"/>
      <x:c r="W120" s="117"/>
      <x:c r="X120" s="117"/>
      <x:c r="Y120" s="117"/>
      <x:c r="Z120" s="117"/>
    </x:row>
    <x:row r="121">
      <x:c r="A121" s="117"/>
      <x:c r="B121" s="117"/>
      <x:c r="C121" s="117"/>
      <x:c r="D121" s="117"/>
      <x:c r="E121" s="117"/>
      <x:c r="F121" s="117"/>
      <x:c r="G121" s="117"/>
      <x:c r="H121" s="117"/>
      <x:c r="I121" s="117"/>
      <x:c r="J121" s="117"/>
      <x:c r="K121" s="117"/>
      <x:c r="L121" s="117"/>
      <x:c r="M121" s="117"/>
      <x:c r="N121" s="117"/>
      <x:c r="O121" s="117"/>
      <x:c r="P121" s="117"/>
      <x:c r="Q121" s="117"/>
      <x:c r="R121" s="117"/>
      <x:c r="S121" s="117"/>
      <x:c r="T121" s="117"/>
      <x:c r="U121" s="117"/>
      <x:c r="V121" s="117"/>
      <x:c r="W121" s="117"/>
      <x:c r="X121" s="117"/>
      <x:c r="Y121" s="117"/>
      <x:c r="Z121" s="117"/>
    </x:row>
    <x:row r="122">
      <x:c r="A122" s="117"/>
      <x:c r="B122" s="117"/>
      <x:c r="C122" s="117"/>
      <x:c r="D122" s="117"/>
      <x:c r="E122" s="117"/>
      <x:c r="F122" s="117"/>
      <x:c r="G122" s="117"/>
      <x:c r="H122" s="117"/>
      <x:c r="I122" s="117"/>
      <x:c r="J122" s="117"/>
      <x:c r="K122" s="117"/>
      <x:c r="L122" s="117"/>
      <x:c r="M122" s="117"/>
      <x:c r="N122" s="117"/>
      <x:c r="O122" s="117"/>
      <x:c r="P122" s="117"/>
      <x:c r="Q122" s="117"/>
      <x:c r="R122" s="117"/>
      <x:c r="S122" s="117"/>
      <x:c r="T122" s="117"/>
      <x:c r="U122" s="117"/>
      <x:c r="V122" s="117"/>
      <x:c r="W122" s="117"/>
      <x:c r="X122" s="117"/>
      <x:c r="Y122" s="117"/>
      <x:c r="Z122" s="117"/>
    </x:row>
    <x:row r="123">
      <x:c r="A123" s="117"/>
      <x:c r="B123" s="117"/>
      <x:c r="C123" s="117"/>
      <x:c r="D123" s="117"/>
      <x:c r="E123" s="117"/>
      <x:c r="F123" s="117"/>
      <x:c r="G123" s="117"/>
      <x:c r="H123" s="117"/>
      <x:c r="I123" s="117"/>
      <x:c r="J123" s="117"/>
      <x:c r="K123" s="117"/>
      <x:c r="L123" s="117"/>
      <x:c r="M123" s="117"/>
      <x:c r="N123" s="117"/>
      <x:c r="O123" s="117"/>
      <x:c r="P123" s="117"/>
      <x:c r="Q123" s="117"/>
      <x:c r="R123" s="117"/>
      <x:c r="S123" s="117"/>
      <x:c r="T123" s="117"/>
      <x:c r="U123" s="117"/>
      <x:c r="V123" s="117"/>
      <x:c r="W123" s="117"/>
      <x:c r="X123" s="117"/>
      <x:c r="Y123" s="117"/>
      <x:c r="Z123" s="117"/>
    </x:row>
    <x:row r="124">
      <x:c r="A124" s="117"/>
      <x:c r="B124" s="117"/>
      <x:c r="C124" s="117"/>
      <x:c r="D124" s="117"/>
      <x:c r="E124" s="117"/>
      <x:c r="F124" s="117"/>
      <x:c r="G124" s="117"/>
      <x:c r="H124" s="117"/>
      <x:c r="I124" s="117"/>
      <x:c r="J124" s="117"/>
      <x:c r="K124" s="117"/>
      <x:c r="L124" s="117"/>
      <x:c r="M124" s="117"/>
      <x:c r="N124" s="117"/>
      <x:c r="O124" s="117"/>
      <x:c r="P124" s="117"/>
      <x:c r="Q124" s="117"/>
      <x:c r="R124" s="117"/>
      <x:c r="S124" s="117"/>
      <x:c r="T124" s="117"/>
      <x:c r="U124" s="117"/>
      <x:c r="V124" s="117"/>
      <x:c r="W124" s="117"/>
      <x:c r="X124" s="117"/>
      <x:c r="Y124" s="117"/>
      <x:c r="Z124" s="117"/>
    </x:row>
    <x:row r="125">
      <x:c r="A125" s="117"/>
      <x:c r="B125" s="117"/>
      <x:c r="C125" s="117"/>
      <x:c r="D125" s="117"/>
      <x:c r="E125" s="117"/>
      <x:c r="F125" s="117"/>
      <x:c r="G125" s="117"/>
      <x:c r="H125" s="117"/>
      <x:c r="I125" s="117"/>
      <x:c r="J125" s="117"/>
      <x:c r="K125" s="117"/>
      <x:c r="L125" s="117"/>
      <x:c r="M125" s="117"/>
      <x:c r="N125" s="117"/>
      <x:c r="O125" s="117"/>
      <x:c r="P125" s="117"/>
      <x:c r="Q125" s="117"/>
      <x:c r="R125" s="117"/>
      <x:c r="S125" s="117"/>
      <x:c r="T125" s="117"/>
      <x:c r="U125" s="117"/>
      <x:c r="V125" s="117"/>
      <x:c r="W125" s="117"/>
      <x:c r="X125" s="117"/>
      <x:c r="Y125" s="117"/>
      <x:c r="Z125" s="117"/>
    </x:row>
    <x:row r="126">
      <x:c r="A126" s="117"/>
      <x:c r="B126" s="117"/>
      <x:c r="C126" s="117"/>
      <x:c r="D126" s="117"/>
      <x:c r="E126" s="117"/>
      <x:c r="F126" s="117"/>
      <x:c r="G126" s="117"/>
      <x:c r="H126" s="117"/>
      <x:c r="I126" s="117"/>
      <x:c r="J126" s="117"/>
      <x:c r="K126" s="117"/>
      <x:c r="L126" s="117"/>
      <x:c r="M126" s="117"/>
      <x:c r="N126" s="117"/>
      <x:c r="O126" s="117"/>
      <x:c r="P126" s="117"/>
      <x:c r="Q126" s="117"/>
      <x:c r="R126" s="117"/>
      <x:c r="S126" s="117"/>
      <x:c r="T126" s="117"/>
      <x:c r="U126" s="117"/>
      <x:c r="V126" s="117"/>
      <x:c r="W126" s="117"/>
      <x:c r="X126" s="117"/>
      <x:c r="Y126" s="117"/>
      <x:c r="Z126" s="117"/>
    </x:row>
    <x:row r="127">
      <x:c r="A127" s="117"/>
      <x:c r="B127" s="117"/>
      <x:c r="C127" s="117"/>
      <x:c r="D127" s="117"/>
      <x:c r="E127" s="117"/>
      <x:c r="F127" s="117"/>
      <x:c r="G127" s="117"/>
      <x:c r="H127" s="117"/>
      <x:c r="I127" s="117"/>
      <x:c r="J127" s="117"/>
      <x:c r="K127" s="117"/>
      <x:c r="L127" s="117"/>
      <x:c r="M127" s="117"/>
      <x:c r="N127" s="117"/>
      <x:c r="O127" s="117"/>
      <x:c r="P127" s="117"/>
      <x:c r="Q127" s="117"/>
      <x:c r="R127" s="117"/>
      <x:c r="S127" s="117"/>
      <x:c r="T127" s="117"/>
      <x:c r="U127" s="117"/>
      <x:c r="V127" s="117"/>
      <x:c r="W127" s="117"/>
      <x:c r="X127" s="117"/>
      <x:c r="Y127" s="117"/>
      <x:c r="Z127" s="117"/>
    </x:row>
    <x:row r="128">
      <x:c r="A128" s="117"/>
      <x:c r="B128" s="117"/>
      <x:c r="C128" s="117"/>
      <x:c r="D128" s="117"/>
      <x:c r="E128" s="117"/>
      <x:c r="F128" s="117"/>
      <x:c r="G128" s="117"/>
      <x:c r="H128" s="117"/>
      <x:c r="I128" s="117"/>
      <x:c r="J128" s="117"/>
      <x:c r="K128" s="117"/>
      <x:c r="L128" s="117"/>
      <x:c r="M128" s="117"/>
      <x:c r="N128" s="117"/>
      <x:c r="O128" s="117"/>
      <x:c r="P128" s="117"/>
      <x:c r="Q128" s="117"/>
      <x:c r="R128" s="117"/>
      <x:c r="S128" s="117"/>
      <x:c r="T128" s="117"/>
      <x:c r="U128" s="117"/>
      <x:c r="V128" s="117"/>
      <x:c r="W128" s="117"/>
      <x:c r="X128" s="117"/>
      <x:c r="Y128" s="117"/>
      <x:c r="Z128" s="117"/>
    </x:row>
    <x:row r="129">
      <x:c r="A129" s="117"/>
      <x:c r="B129" s="117"/>
      <x:c r="C129" s="117"/>
      <x:c r="D129" s="117"/>
      <x:c r="E129" s="117"/>
      <x:c r="F129" s="117"/>
      <x:c r="G129" s="117"/>
      <x:c r="H129" s="117"/>
      <x:c r="I129" s="117"/>
      <x:c r="J129" s="117"/>
      <x:c r="K129" s="117"/>
      <x:c r="L129" s="117"/>
      <x:c r="M129" s="117"/>
      <x:c r="N129" s="117"/>
      <x:c r="O129" s="117"/>
      <x:c r="P129" s="117"/>
      <x:c r="Q129" s="117"/>
      <x:c r="R129" s="117"/>
      <x:c r="S129" s="117"/>
      <x:c r="T129" s="117"/>
      <x:c r="U129" s="117"/>
      <x:c r="V129" s="117"/>
      <x:c r="W129" s="117"/>
      <x:c r="X129" s="117"/>
      <x:c r="Y129" s="117"/>
      <x:c r="Z129" s="117"/>
    </x:row>
    <x:row r="130">
      <x:c r="A130" s="117"/>
      <x:c r="B130" s="117"/>
      <x:c r="C130" s="117"/>
      <x:c r="D130" s="117"/>
      <x:c r="E130" s="117"/>
      <x:c r="F130" s="117"/>
      <x:c r="G130" s="117"/>
      <x:c r="H130" s="117"/>
      <x:c r="I130" s="117"/>
      <x:c r="J130" s="117"/>
      <x:c r="K130" s="117"/>
      <x:c r="L130" s="117"/>
      <x:c r="M130" s="117"/>
      <x:c r="N130" s="117"/>
      <x:c r="O130" s="117"/>
      <x:c r="P130" s="117"/>
      <x:c r="Q130" s="117"/>
      <x:c r="R130" s="117"/>
      <x:c r="S130" s="117"/>
      <x:c r="T130" s="117"/>
      <x:c r="U130" s="117"/>
      <x:c r="V130" s="117"/>
      <x:c r="W130" s="117"/>
      <x:c r="X130" s="117"/>
      <x:c r="Y130" s="117"/>
      <x:c r="Z130" s="117"/>
    </x:row>
    <x:row r="131">
      <x:c r="A131" s="117"/>
      <x:c r="B131" s="117"/>
      <x:c r="C131" s="117"/>
      <x:c r="D131" s="117"/>
      <x:c r="E131" s="117"/>
      <x:c r="F131" s="117"/>
      <x:c r="G131" s="117"/>
      <x:c r="H131" s="117"/>
      <x:c r="I131" s="117"/>
      <x:c r="J131" s="117"/>
      <x:c r="K131" s="117"/>
      <x:c r="L131" s="117"/>
      <x:c r="M131" s="117"/>
      <x:c r="N131" s="117"/>
      <x:c r="O131" s="117"/>
      <x:c r="P131" s="117"/>
      <x:c r="Q131" s="117"/>
      <x:c r="R131" s="117"/>
      <x:c r="S131" s="117"/>
      <x:c r="T131" s="117"/>
      <x:c r="U131" s="117"/>
      <x:c r="V131" s="117"/>
      <x:c r="W131" s="117"/>
      <x:c r="X131" s="117"/>
      <x:c r="Y131" s="117"/>
      <x:c r="Z131" s="117"/>
    </x:row>
    <x:row r="132">
      <x:c r="A132" s="117"/>
      <x:c r="B132" s="117"/>
      <x:c r="C132" s="117"/>
      <x:c r="D132" s="117"/>
      <x:c r="E132" s="117"/>
      <x:c r="F132" s="117"/>
      <x:c r="G132" s="117"/>
      <x:c r="H132" s="117"/>
      <x:c r="I132" s="117"/>
      <x:c r="J132" s="117"/>
      <x:c r="K132" s="117"/>
      <x:c r="L132" s="117"/>
      <x:c r="M132" s="117"/>
      <x:c r="N132" s="117"/>
      <x:c r="O132" s="117"/>
      <x:c r="P132" s="117"/>
      <x:c r="Q132" s="117"/>
      <x:c r="R132" s="117"/>
      <x:c r="S132" s="117"/>
      <x:c r="T132" s="117"/>
      <x:c r="U132" s="117"/>
      <x:c r="V132" s="117"/>
      <x:c r="W132" s="117"/>
      <x:c r="X132" s="117"/>
      <x:c r="Y132" s="117"/>
      <x:c r="Z132" s="117"/>
    </x:row>
    <x:row r="133">
      <x:c r="A133" s="117"/>
      <x:c r="B133" s="117"/>
      <x:c r="C133" s="117"/>
      <x:c r="D133" s="117"/>
      <x:c r="E133" s="117"/>
      <x:c r="F133" s="117"/>
      <x:c r="G133" s="117"/>
      <x:c r="H133" s="117"/>
      <x:c r="I133" s="117"/>
      <x:c r="J133" s="117"/>
      <x:c r="K133" s="117"/>
      <x:c r="L133" s="117"/>
      <x:c r="M133" s="117"/>
      <x:c r="N133" s="117"/>
      <x:c r="O133" s="117"/>
      <x:c r="P133" s="117"/>
      <x:c r="Q133" s="117"/>
      <x:c r="R133" s="117"/>
      <x:c r="S133" s="117"/>
      <x:c r="T133" s="117"/>
      <x:c r="U133" s="117"/>
      <x:c r="V133" s="117"/>
      <x:c r="W133" s="117"/>
      <x:c r="X133" s="117"/>
      <x:c r="Y133" s="117"/>
      <x:c r="Z133" s="117"/>
    </x:row>
    <x:row r="134">
      <x:c r="A134" s="117"/>
      <x:c r="B134" s="117"/>
      <x:c r="C134" s="117"/>
      <x:c r="D134" s="117"/>
      <x:c r="E134" s="117"/>
      <x:c r="F134" s="117"/>
      <x:c r="G134" s="117"/>
      <x:c r="H134" s="117"/>
      <x:c r="I134" s="117"/>
      <x:c r="J134" s="117"/>
      <x:c r="K134" s="117"/>
      <x:c r="L134" s="117"/>
      <x:c r="M134" s="117"/>
      <x:c r="N134" s="117"/>
      <x:c r="O134" s="117"/>
      <x:c r="P134" s="117"/>
      <x:c r="Q134" s="117"/>
      <x:c r="R134" s="117"/>
      <x:c r="S134" s="117"/>
      <x:c r="T134" s="117"/>
      <x:c r="U134" s="117"/>
      <x:c r="V134" s="117"/>
      <x:c r="W134" s="117"/>
      <x:c r="X134" s="117"/>
      <x:c r="Y134" s="117"/>
      <x:c r="Z134" s="117"/>
    </x:row>
    <x:row r="135">
      <x:c r="A135" s="117"/>
      <x:c r="B135" s="117"/>
      <x:c r="C135" s="117"/>
      <x:c r="D135" s="117"/>
      <x:c r="E135" s="117"/>
      <x:c r="F135" s="117"/>
      <x:c r="G135" s="117"/>
      <x:c r="H135" s="117"/>
      <x:c r="I135" s="117"/>
      <x:c r="J135" s="117"/>
      <x:c r="K135" s="117"/>
      <x:c r="L135" s="117"/>
      <x:c r="M135" s="117"/>
      <x:c r="N135" s="117"/>
      <x:c r="O135" s="117"/>
      <x:c r="P135" s="117"/>
      <x:c r="Q135" s="117"/>
      <x:c r="R135" s="117"/>
      <x:c r="S135" s="117"/>
      <x:c r="T135" s="117"/>
      <x:c r="U135" s="117"/>
      <x:c r="V135" s="117"/>
      <x:c r="W135" s="117"/>
      <x:c r="X135" s="117"/>
      <x:c r="Y135" s="117"/>
      <x:c r="Z135" s="117"/>
    </x:row>
    <x:row r="136">
      <x:c r="A136" s="117"/>
      <x:c r="B136" s="117"/>
      <x:c r="C136" s="117"/>
      <x:c r="D136" s="117"/>
      <x:c r="E136" s="117"/>
      <x:c r="F136" s="117"/>
      <x:c r="G136" s="117"/>
      <x:c r="H136" s="117"/>
      <x:c r="I136" s="117"/>
      <x:c r="J136" s="117"/>
      <x:c r="K136" s="117"/>
      <x:c r="L136" s="117"/>
      <x:c r="M136" s="117"/>
      <x:c r="N136" s="117"/>
      <x:c r="O136" s="117"/>
      <x:c r="P136" s="117"/>
      <x:c r="Q136" s="117"/>
      <x:c r="R136" s="117"/>
      <x:c r="S136" s="117"/>
      <x:c r="T136" s="117"/>
      <x:c r="U136" s="117"/>
      <x:c r="V136" s="117"/>
      <x:c r="W136" s="117"/>
      <x:c r="X136" s="117"/>
      <x:c r="Y136" s="117"/>
      <x:c r="Z136" s="117"/>
    </x:row>
    <x:row r="137">
      <x:c r="A137" s="117"/>
      <x:c r="B137" s="117"/>
      <x:c r="C137" s="117"/>
      <x:c r="D137" s="117"/>
      <x:c r="E137" s="117"/>
      <x:c r="F137" s="117"/>
      <x:c r="G137" s="117"/>
      <x:c r="H137" s="117"/>
      <x:c r="I137" s="117"/>
      <x:c r="J137" s="117"/>
      <x:c r="K137" s="117"/>
      <x:c r="L137" s="117"/>
      <x:c r="M137" s="117"/>
      <x:c r="N137" s="117"/>
      <x:c r="O137" s="117"/>
      <x:c r="P137" s="117"/>
      <x:c r="Q137" s="117"/>
      <x:c r="R137" s="117"/>
      <x:c r="S137" s="117"/>
      <x:c r="T137" s="117"/>
      <x:c r="U137" s="117"/>
      <x:c r="V137" s="117"/>
      <x:c r="W137" s="117"/>
      <x:c r="X137" s="117"/>
      <x:c r="Y137" s="117"/>
      <x:c r="Z137" s="117"/>
    </x:row>
    <x:row r="138">
      <x:c r="A138" s="117"/>
      <x:c r="B138" s="117"/>
      <x:c r="C138" s="117"/>
      <x:c r="D138" s="117"/>
      <x:c r="E138" s="117"/>
      <x:c r="F138" s="117"/>
      <x:c r="G138" s="117"/>
      <x:c r="H138" s="117"/>
      <x:c r="I138" s="117"/>
      <x:c r="J138" s="117"/>
      <x:c r="K138" s="117"/>
      <x:c r="L138" s="117"/>
      <x:c r="M138" s="117"/>
      <x:c r="N138" s="117"/>
      <x:c r="O138" s="117"/>
      <x:c r="P138" s="117"/>
      <x:c r="Q138" s="117"/>
      <x:c r="R138" s="117"/>
      <x:c r="S138" s="117"/>
      <x:c r="T138" s="117"/>
      <x:c r="U138" s="117"/>
      <x:c r="V138" s="117"/>
      <x:c r="W138" s="117"/>
      <x:c r="X138" s="117"/>
      <x:c r="Y138" s="117"/>
      <x:c r="Z138" s="117"/>
    </x:row>
    <x:row r="139">
      <x:c r="A139" s="117"/>
      <x:c r="B139" s="117"/>
      <x:c r="C139" s="117"/>
      <x:c r="D139" s="117"/>
      <x:c r="E139" s="117"/>
      <x:c r="F139" s="117"/>
      <x:c r="G139" s="117"/>
      <x:c r="H139" s="117"/>
      <x:c r="I139" s="117"/>
      <x:c r="J139" s="117"/>
      <x:c r="K139" s="117"/>
      <x:c r="L139" s="117"/>
      <x:c r="M139" s="117"/>
      <x:c r="N139" s="117"/>
      <x:c r="O139" s="117"/>
      <x:c r="P139" s="117"/>
      <x:c r="Q139" s="117"/>
      <x:c r="R139" s="117"/>
      <x:c r="S139" s="117"/>
      <x:c r="T139" s="117"/>
      <x:c r="U139" s="117"/>
      <x:c r="V139" s="117"/>
      <x:c r="W139" s="117"/>
      <x:c r="X139" s="117"/>
      <x:c r="Y139" s="117"/>
      <x:c r="Z139" s="117"/>
    </x:row>
    <x:row r="140">
      <x:c r="A140" s="117"/>
      <x:c r="B140" s="117"/>
      <x:c r="C140" s="117"/>
      <x:c r="D140" s="117"/>
      <x:c r="E140" s="117"/>
      <x:c r="F140" s="117"/>
      <x:c r="G140" s="117"/>
      <x:c r="H140" s="117"/>
      <x:c r="I140" s="117"/>
      <x:c r="J140" s="117"/>
      <x:c r="K140" s="117"/>
      <x:c r="L140" s="117"/>
      <x:c r="M140" s="117"/>
      <x:c r="N140" s="117"/>
      <x:c r="O140" s="117"/>
      <x:c r="P140" s="117"/>
      <x:c r="Q140" s="117"/>
      <x:c r="R140" s="117"/>
      <x:c r="S140" s="117"/>
      <x:c r="T140" s="117"/>
      <x:c r="U140" s="117"/>
      <x:c r="V140" s="117"/>
      <x:c r="W140" s="117"/>
      <x:c r="X140" s="117"/>
      <x:c r="Y140" s="117"/>
      <x:c r="Z140" s="117"/>
    </x:row>
    <x:row r="141">
      <x:c r="A141" s="117"/>
      <x:c r="B141" s="117"/>
      <x:c r="C141" s="117"/>
      <x:c r="D141" s="117"/>
      <x:c r="E141" s="117"/>
      <x:c r="F141" s="117"/>
      <x:c r="G141" s="117"/>
      <x:c r="H141" s="117"/>
      <x:c r="I141" s="117"/>
      <x:c r="J141" s="117"/>
      <x:c r="K141" s="117"/>
      <x:c r="L141" s="117"/>
      <x:c r="M141" s="117"/>
      <x:c r="N141" s="117"/>
      <x:c r="O141" s="117"/>
      <x:c r="P141" s="117"/>
      <x:c r="Q141" s="117"/>
      <x:c r="R141" s="117"/>
      <x:c r="S141" s="117"/>
      <x:c r="T141" s="117"/>
      <x:c r="U141" s="117"/>
      <x:c r="V141" s="117"/>
      <x:c r="W141" s="117"/>
      <x:c r="X141" s="117"/>
      <x:c r="Y141" s="117"/>
      <x:c r="Z141" s="117"/>
    </x:row>
    <x:row r="142">
      <x:c r="A142" s="117"/>
      <x:c r="B142" s="117"/>
      <x:c r="C142" s="117"/>
      <x:c r="D142" s="117"/>
      <x:c r="E142" s="117"/>
      <x:c r="F142" s="117"/>
      <x:c r="G142" s="117"/>
      <x:c r="H142" s="117"/>
      <x:c r="I142" s="117"/>
      <x:c r="J142" s="117"/>
      <x:c r="K142" s="117"/>
      <x:c r="L142" s="117"/>
      <x:c r="M142" s="117"/>
      <x:c r="N142" s="117"/>
      <x:c r="O142" s="117"/>
      <x:c r="P142" s="117"/>
      <x:c r="Q142" s="117"/>
      <x:c r="R142" s="117"/>
      <x:c r="S142" s="117"/>
      <x:c r="T142" s="117"/>
      <x:c r="U142" s="117"/>
      <x:c r="V142" s="117"/>
      <x:c r="W142" s="117"/>
      <x:c r="X142" s="117"/>
      <x:c r="Y142" s="117"/>
      <x:c r="Z142" s="117"/>
    </x:row>
    <x:row r="143">
      <x:c r="A143" s="117"/>
      <x:c r="B143" s="117"/>
      <x:c r="C143" s="117"/>
      <x:c r="D143" s="117"/>
      <x:c r="E143" s="117"/>
      <x:c r="F143" s="117"/>
      <x:c r="G143" s="117"/>
      <x:c r="H143" s="117"/>
      <x:c r="I143" s="117"/>
      <x:c r="J143" s="117"/>
      <x:c r="K143" s="117"/>
      <x:c r="L143" s="117"/>
      <x:c r="M143" s="117"/>
      <x:c r="N143" s="117"/>
      <x:c r="O143" s="117"/>
      <x:c r="P143" s="117"/>
      <x:c r="Q143" s="117"/>
      <x:c r="R143" s="117"/>
      <x:c r="S143" s="117"/>
      <x:c r="T143" s="117"/>
      <x:c r="U143" s="117"/>
      <x:c r="V143" s="117"/>
      <x:c r="W143" s="117"/>
      <x:c r="X143" s="117"/>
      <x:c r="Y143" s="117"/>
      <x:c r="Z143" s="117"/>
    </x:row>
    <x:row r="144">
      <x:c r="A144" s="117"/>
      <x:c r="B144" s="117"/>
      <x:c r="C144" s="117"/>
      <x:c r="D144" s="117"/>
      <x:c r="E144" s="117"/>
      <x:c r="F144" s="117"/>
      <x:c r="G144" s="117"/>
      <x:c r="H144" s="117"/>
      <x:c r="I144" s="117"/>
      <x:c r="J144" s="117"/>
      <x:c r="K144" s="117"/>
      <x:c r="L144" s="117"/>
      <x:c r="M144" s="117"/>
      <x:c r="N144" s="117"/>
      <x:c r="O144" s="117"/>
      <x:c r="P144" s="117"/>
      <x:c r="Q144" s="117"/>
      <x:c r="R144" s="117"/>
      <x:c r="S144" s="117"/>
      <x:c r="T144" s="117"/>
      <x:c r="U144" s="117"/>
      <x:c r="V144" s="117"/>
      <x:c r="W144" s="117"/>
      <x:c r="X144" s="117"/>
      <x:c r="Y144" s="117"/>
      <x:c r="Z144" s="117"/>
    </x:row>
    <x:row r="145">
      <x:c r="A145" s="117"/>
      <x:c r="B145" s="117"/>
      <x:c r="C145" s="117"/>
      <x:c r="D145" s="117"/>
      <x:c r="E145" s="117"/>
      <x:c r="F145" s="117"/>
      <x:c r="G145" s="117"/>
      <x:c r="H145" s="117"/>
      <x:c r="I145" s="117"/>
      <x:c r="J145" s="117"/>
      <x:c r="K145" s="117"/>
      <x:c r="L145" s="117"/>
      <x:c r="M145" s="117"/>
      <x:c r="N145" s="117"/>
      <x:c r="O145" s="117"/>
      <x:c r="P145" s="117"/>
      <x:c r="Q145" s="117"/>
      <x:c r="R145" s="117"/>
      <x:c r="S145" s="117"/>
      <x:c r="T145" s="117"/>
      <x:c r="U145" s="117"/>
      <x:c r="V145" s="117"/>
      <x:c r="W145" s="117"/>
      <x:c r="X145" s="117"/>
      <x:c r="Y145" s="117"/>
      <x:c r="Z145" s="117"/>
    </x:row>
    <x:row r="146">
      <x:c r="A146" s="117"/>
      <x:c r="B146" s="117"/>
      <x:c r="C146" s="117"/>
      <x:c r="D146" s="117"/>
      <x:c r="E146" s="117"/>
      <x:c r="F146" s="117"/>
      <x:c r="G146" s="117"/>
      <x:c r="H146" s="117"/>
      <x:c r="I146" s="117"/>
      <x:c r="J146" s="117"/>
      <x:c r="K146" s="117"/>
      <x:c r="L146" s="117"/>
      <x:c r="M146" s="117"/>
      <x:c r="N146" s="117"/>
      <x:c r="O146" s="117"/>
      <x:c r="P146" s="117"/>
      <x:c r="Q146" s="117"/>
      <x:c r="R146" s="117"/>
      <x:c r="S146" s="117"/>
      <x:c r="T146" s="117"/>
      <x:c r="U146" s="117"/>
      <x:c r="V146" s="117"/>
      <x:c r="W146" s="117"/>
      <x:c r="X146" s="117"/>
      <x:c r="Y146" s="117"/>
      <x:c r="Z146" s="117"/>
    </x:row>
    <x:row r="147">
      <x:c r="A147" s="117"/>
      <x:c r="B147" s="117"/>
      <x:c r="C147" s="117"/>
      <x:c r="D147" s="117"/>
      <x:c r="E147" s="117"/>
      <x:c r="F147" s="117"/>
      <x:c r="G147" s="117"/>
      <x:c r="H147" s="117"/>
      <x:c r="I147" s="117"/>
      <x:c r="J147" s="117"/>
      <x:c r="K147" s="117"/>
      <x:c r="L147" s="117"/>
      <x:c r="M147" s="117"/>
      <x:c r="N147" s="117"/>
      <x:c r="O147" s="117"/>
      <x:c r="P147" s="117"/>
      <x:c r="Q147" s="117"/>
      <x:c r="R147" s="117"/>
      <x:c r="S147" s="117"/>
      <x:c r="T147" s="117"/>
      <x:c r="U147" s="117"/>
      <x:c r="V147" s="117"/>
      <x:c r="W147" s="117"/>
      <x:c r="X147" s="117"/>
      <x:c r="Y147" s="117"/>
      <x:c r="Z147" s="117"/>
    </x:row>
    <x:row r="148">
      <x:c r="A148" s="117"/>
      <x:c r="B148" s="117"/>
      <x:c r="C148" s="117"/>
      <x:c r="D148" s="117"/>
      <x:c r="E148" s="117"/>
      <x:c r="F148" s="117"/>
      <x:c r="G148" s="117"/>
      <x:c r="H148" s="117"/>
      <x:c r="I148" s="117"/>
      <x:c r="J148" s="117"/>
      <x:c r="K148" s="117"/>
      <x:c r="L148" s="117"/>
      <x:c r="M148" s="117"/>
      <x:c r="N148" s="117"/>
      <x:c r="O148" s="117"/>
      <x:c r="P148" s="117"/>
      <x:c r="Q148" s="117"/>
      <x:c r="R148" s="117"/>
      <x:c r="S148" s="117"/>
      <x:c r="T148" s="117"/>
      <x:c r="U148" s="117"/>
      <x:c r="V148" s="117"/>
      <x:c r="W148" s="117"/>
      <x:c r="X148" s="117"/>
      <x:c r="Y148" s="117"/>
      <x:c r="Z148" s="117"/>
    </x:row>
    <x:row r="149">
      <x:c r="A149" s="117"/>
      <x:c r="B149" s="117"/>
      <x:c r="C149" s="117"/>
      <x:c r="D149" s="117"/>
      <x:c r="E149" s="117"/>
      <x:c r="F149" s="117"/>
      <x:c r="G149" s="117"/>
      <x:c r="H149" s="117"/>
      <x:c r="I149" s="117"/>
      <x:c r="J149" s="117"/>
      <x:c r="K149" s="117"/>
      <x:c r="L149" s="117"/>
      <x:c r="M149" s="117"/>
      <x:c r="N149" s="117"/>
      <x:c r="O149" s="117"/>
      <x:c r="P149" s="117"/>
      <x:c r="Q149" s="117"/>
      <x:c r="R149" s="117"/>
      <x:c r="S149" s="117"/>
      <x:c r="T149" s="117"/>
      <x:c r="U149" s="117"/>
      <x:c r="V149" s="117"/>
      <x:c r="W149" s="117"/>
      <x:c r="X149" s="117"/>
      <x:c r="Y149" s="117"/>
      <x:c r="Z149" s="117"/>
    </x:row>
    <x:row r="150">
      <x:c r="A150" s="117"/>
      <x:c r="B150" s="117"/>
      <x:c r="C150" s="117"/>
      <x:c r="D150" s="117"/>
      <x:c r="E150" s="117"/>
      <x:c r="F150" s="117"/>
      <x:c r="G150" s="117"/>
      <x:c r="H150" s="117"/>
      <x:c r="I150" s="117"/>
      <x:c r="J150" s="117"/>
      <x:c r="K150" s="117"/>
      <x:c r="L150" s="117"/>
      <x:c r="M150" s="117"/>
      <x:c r="N150" s="117"/>
      <x:c r="O150" s="117"/>
      <x:c r="P150" s="117"/>
      <x:c r="Q150" s="117"/>
      <x:c r="R150" s="117"/>
      <x:c r="S150" s="117"/>
      <x:c r="T150" s="117"/>
      <x:c r="U150" s="117"/>
      <x:c r="V150" s="117"/>
      <x:c r="W150" s="117"/>
      <x:c r="X150" s="117"/>
      <x:c r="Y150" s="117"/>
      <x:c r="Z150" s="117"/>
    </x:row>
    <x:row r="151">
      <x:c r="A151" s="117"/>
      <x:c r="B151" s="117"/>
      <x:c r="C151" s="117"/>
      <x:c r="D151" s="117"/>
      <x:c r="E151" s="117"/>
      <x:c r="F151" s="117"/>
      <x:c r="G151" s="117"/>
      <x:c r="H151" s="117"/>
      <x:c r="I151" s="117"/>
      <x:c r="J151" s="117"/>
      <x:c r="K151" s="117"/>
      <x:c r="L151" s="117"/>
      <x:c r="M151" s="117"/>
      <x:c r="N151" s="117"/>
      <x:c r="O151" s="117"/>
      <x:c r="P151" s="117"/>
      <x:c r="Q151" s="117"/>
      <x:c r="R151" s="117"/>
      <x:c r="S151" s="117"/>
      <x:c r="T151" s="117"/>
      <x:c r="U151" s="117"/>
      <x:c r="V151" s="117"/>
      <x:c r="W151" s="117"/>
      <x:c r="X151" s="117"/>
      <x:c r="Y151" s="117"/>
      <x:c r="Z151" s="117"/>
    </x:row>
    <x:row r="152">
      <x:c r="A152" s="117"/>
      <x:c r="B152" s="117"/>
      <x:c r="C152" s="117"/>
      <x:c r="D152" s="117"/>
      <x:c r="E152" s="117"/>
      <x:c r="F152" s="117"/>
      <x:c r="G152" s="117"/>
      <x:c r="H152" s="117"/>
      <x:c r="I152" s="117"/>
      <x:c r="J152" s="117"/>
      <x:c r="K152" s="117"/>
      <x:c r="L152" s="117"/>
      <x:c r="M152" s="117"/>
      <x:c r="N152" s="117"/>
      <x:c r="O152" s="117"/>
      <x:c r="P152" s="117"/>
      <x:c r="Q152" s="117"/>
      <x:c r="R152" s="117"/>
      <x:c r="S152" s="117"/>
      <x:c r="T152" s="117"/>
      <x:c r="U152" s="117"/>
      <x:c r="V152" s="117"/>
      <x:c r="W152" s="117"/>
      <x:c r="X152" s="117"/>
      <x:c r="Y152" s="117"/>
      <x:c r="Z152" s="117"/>
    </x:row>
    <x:row r="153">
      <x:c r="A153" s="117"/>
      <x:c r="B153" s="117"/>
      <x:c r="C153" s="117"/>
      <x:c r="D153" s="117"/>
      <x:c r="E153" s="117"/>
      <x:c r="F153" s="117"/>
      <x:c r="G153" s="117"/>
      <x:c r="H153" s="117"/>
      <x:c r="I153" s="117"/>
      <x:c r="J153" s="117"/>
      <x:c r="K153" s="117"/>
      <x:c r="L153" s="117"/>
      <x:c r="M153" s="117"/>
      <x:c r="N153" s="117"/>
      <x:c r="O153" s="117"/>
      <x:c r="P153" s="117"/>
      <x:c r="Q153" s="117"/>
      <x:c r="R153" s="117"/>
      <x:c r="S153" s="117"/>
      <x:c r="T153" s="117"/>
      <x:c r="U153" s="117"/>
      <x:c r="V153" s="117"/>
      <x:c r="W153" s="117"/>
      <x:c r="X153" s="117"/>
      <x:c r="Y153" s="117"/>
      <x:c r="Z153" s="117"/>
    </x:row>
    <x:row r="154">
      <x:c r="A154" s="117"/>
      <x:c r="B154" s="117"/>
      <x:c r="C154" s="117"/>
      <x:c r="D154" s="117"/>
      <x:c r="E154" s="117"/>
      <x:c r="F154" s="117"/>
      <x:c r="G154" s="117"/>
      <x:c r="H154" s="117"/>
      <x:c r="I154" s="117"/>
      <x:c r="J154" s="117"/>
      <x:c r="K154" s="117"/>
      <x:c r="L154" s="117"/>
      <x:c r="M154" s="117"/>
      <x:c r="N154" s="117"/>
      <x:c r="O154" s="117"/>
      <x:c r="P154" s="117"/>
      <x:c r="Q154" s="117"/>
      <x:c r="R154" s="117"/>
      <x:c r="S154" s="117"/>
      <x:c r="T154" s="117"/>
      <x:c r="U154" s="117"/>
      <x:c r="V154" s="117"/>
      <x:c r="W154" s="117"/>
      <x:c r="X154" s="117"/>
      <x:c r="Y154" s="117"/>
      <x:c r="Z154" s="117"/>
    </x:row>
    <x:row r="155">
      <x:c r="A155" s="117"/>
      <x:c r="B155" s="117"/>
      <x:c r="C155" s="117"/>
      <x:c r="D155" s="117"/>
      <x:c r="E155" s="117"/>
      <x:c r="F155" s="117"/>
      <x:c r="G155" s="117"/>
      <x:c r="H155" s="117"/>
      <x:c r="I155" s="117"/>
      <x:c r="J155" s="117"/>
      <x:c r="K155" s="117"/>
      <x:c r="L155" s="117"/>
      <x:c r="M155" s="117"/>
      <x:c r="N155" s="117"/>
      <x:c r="O155" s="117"/>
      <x:c r="P155" s="117"/>
      <x:c r="Q155" s="117"/>
      <x:c r="R155" s="117"/>
      <x:c r="S155" s="117"/>
      <x:c r="T155" s="117"/>
      <x:c r="U155" s="117"/>
      <x:c r="V155" s="117"/>
      <x:c r="W155" s="117"/>
      <x:c r="X155" s="117"/>
      <x:c r="Y155" s="117"/>
      <x:c r="Z155" s="117"/>
    </x:row>
    <x:row r="156">
      <x:c r="A156" s="117"/>
      <x:c r="B156" s="117"/>
      <x:c r="C156" s="117"/>
      <x:c r="D156" s="117"/>
      <x:c r="E156" s="117"/>
      <x:c r="F156" s="117"/>
      <x:c r="G156" s="117"/>
      <x:c r="H156" s="117"/>
      <x:c r="I156" s="117"/>
      <x:c r="J156" s="117"/>
      <x:c r="K156" s="117"/>
      <x:c r="L156" s="117"/>
      <x:c r="M156" s="117"/>
      <x:c r="N156" s="117"/>
      <x:c r="O156" s="117"/>
      <x:c r="P156" s="117"/>
      <x:c r="Q156" s="117"/>
      <x:c r="R156" s="117"/>
      <x:c r="S156" s="117"/>
      <x:c r="T156" s="117"/>
      <x:c r="U156" s="117"/>
      <x:c r="V156" s="117"/>
      <x:c r="W156" s="117"/>
      <x:c r="X156" s="117"/>
      <x:c r="Y156" s="117"/>
      <x:c r="Z156" s="117"/>
    </x:row>
    <x:row r="157">
      <x:c r="A157" s="117"/>
      <x:c r="B157" s="117"/>
      <x:c r="C157" s="117"/>
      <x:c r="D157" s="117"/>
      <x:c r="E157" s="117"/>
      <x:c r="F157" s="117"/>
      <x:c r="G157" s="117"/>
      <x:c r="H157" s="117"/>
      <x:c r="I157" s="117"/>
      <x:c r="J157" s="117"/>
      <x:c r="K157" s="117"/>
      <x:c r="L157" s="117"/>
      <x:c r="M157" s="117"/>
      <x:c r="N157" s="117"/>
      <x:c r="O157" s="117"/>
      <x:c r="P157" s="117"/>
      <x:c r="Q157" s="117"/>
      <x:c r="R157" s="117"/>
      <x:c r="S157" s="117"/>
      <x:c r="T157" s="117"/>
      <x:c r="U157" s="117"/>
      <x:c r="V157" s="117"/>
      <x:c r="W157" s="117"/>
      <x:c r="X157" s="117"/>
      <x:c r="Y157" s="117"/>
      <x:c r="Z157" s="117"/>
    </x:row>
    <x:row r="158">
      <x:c r="A158" s="117"/>
      <x:c r="B158" s="117"/>
      <x:c r="C158" s="117"/>
      <x:c r="D158" s="117"/>
      <x:c r="E158" s="117"/>
      <x:c r="F158" s="117"/>
      <x:c r="G158" s="117"/>
      <x:c r="H158" s="117"/>
      <x:c r="I158" s="117"/>
      <x:c r="J158" s="117"/>
      <x:c r="K158" s="117"/>
      <x:c r="L158" s="117"/>
      <x:c r="M158" s="117"/>
      <x:c r="N158" s="117"/>
      <x:c r="O158" s="117"/>
      <x:c r="P158" s="117"/>
      <x:c r="Q158" s="117"/>
      <x:c r="R158" s="117"/>
      <x:c r="S158" s="117"/>
      <x:c r="T158" s="117"/>
      <x:c r="U158" s="117"/>
      <x:c r="V158" s="117"/>
      <x:c r="W158" s="117"/>
      <x:c r="X158" s="117"/>
      <x:c r="Y158" s="117"/>
      <x:c r="Z158" s="117"/>
    </x:row>
    <x:row r="159">
      <x:c r="A159" s="117"/>
      <x:c r="B159" s="117"/>
      <x:c r="C159" s="117"/>
      <x:c r="D159" s="117"/>
      <x:c r="E159" s="117"/>
      <x:c r="F159" s="117"/>
      <x:c r="G159" s="117"/>
      <x:c r="H159" s="117"/>
      <x:c r="I159" s="117"/>
      <x:c r="J159" s="117"/>
      <x:c r="K159" s="117"/>
      <x:c r="L159" s="117"/>
      <x:c r="M159" s="117"/>
      <x:c r="N159" s="117"/>
      <x:c r="O159" s="117"/>
      <x:c r="P159" s="117"/>
      <x:c r="Q159" s="117"/>
      <x:c r="R159" s="117"/>
      <x:c r="S159" s="117"/>
      <x:c r="T159" s="117"/>
      <x:c r="U159" s="117"/>
      <x:c r="V159" s="117"/>
      <x:c r="W159" s="117"/>
      <x:c r="X159" s="117"/>
      <x:c r="Y159" s="117"/>
      <x:c r="Z159" s="117"/>
    </x:row>
    <x:row r="160">
      <x:c r="A160" s="117"/>
      <x:c r="B160" s="117"/>
      <x:c r="C160" s="117"/>
      <x:c r="D160" s="117"/>
      <x:c r="E160" s="117"/>
      <x:c r="F160" s="117"/>
      <x:c r="G160" s="117"/>
      <x:c r="H160" s="117"/>
      <x:c r="I160" s="117"/>
      <x:c r="J160" s="117"/>
      <x:c r="K160" s="117"/>
      <x:c r="L160" s="117"/>
      <x:c r="M160" s="117"/>
      <x:c r="N160" s="117"/>
      <x:c r="O160" s="117"/>
      <x:c r="P160" s="117"/>
      <x:c r="Q160" s="117"/>
      <x:c r="R160" s="117"/>
      <x:c r="S160" s="117"/>
      <x:c r="T160" s="117"/>
      <x:c r="U160" s="117"/>
      <x:c r="V160" s="117"/>
      <x:c r="W160" s="117"/>
      <x:c r="X160" s="117"/>
      <x:c r="Y160" s="117"/>
      <x:c r="Z160" s="117"/>
    </x:row>
    <x:row r="161">
      <x:c r="A161" s="117"/>
      <x:c r="B161" s="117"/>
      <x:c r="C161" s="117"/>
      <x:c r="D161" s="117"/>
      <x:c r="E161" s="117"/>
      <x:c r="F161" s="117"/>
      <x:c r="G161" s="117"/>
      <x:c r="H161" s="117"/>
      <x:c r="I161" s="117"/>
      <x:c r="J161" s="117"/>
      <x:c r="K161" s="117"/>
      <x:c r="L161" s="117"/>
      <x:c r="M161" s="117"/>
      <x:c r="N161" s="117"/>
      <x:c r="O161" s="117"/>
      <x:c r="P161" s="117"/>
      <x:c r="Q161" s="117"/>
      <x:c r="R161" s="117"/>
      <x:c r="S161" s="117"/>
      <x:c r="T161" s="117"/>
      <x:c r="U161" s="117"/>
      <x:c r="V161" s="117"/>
      <x:c r="W161" s="117"/>
      <x:c r="X161" s="117"/>
      <x:c r="Y161" s="117"/>
      <x:c r="Z161" s="117"/>
    </x:row>
    <x:row r="162">
      <x:c r="A162" s="117"/>
      <x:c r="B162" s="117"/>
      <x:c r="C162" s="117"/>
      <x:c r="D162" s="117"/>
      <x:c r="E162" s="117"/>
      <x:c r="F162" s="117"/>
      <x:c r="G162" s="117"/>
      <x:c r="H162" s="117"/>
      <x:c r="I162" s="117"/>
      <x:c r="J162" s="117"/>
      <x:c r="K162" s="117"/>
      <x:c r="L162" s="117"/>
      <x:c r="M162" s="117"/>
      <x:c r="N162" s="117"/>
      <x:c r="O162" s="117"/>
      <x:c r="P162" s="117"/>
      <x:c r="Q162" s="117"/>
      <x:c r="R162" s="117"/>
      <x:c r="S162" s="117"/>
      <x:c r="T162" s="117"/>
      <x:c r="U162" s="117"/>
      <x:c r="V162" s="117"/>
      <x:c r="W162" s="117"/>
      <x:c r="X162" s="117"/>
      <x:c r="Y162" s="117"/>
      <x:c r="Z162" s="117"/>
    </x:row>
    <x:row r="163">
      <x:c r="A163" s="117"/>
      <x:c r="B163" s="117"/>
      <x:c r="C163" s="117"/>
      <x:c r="D163" s="117"/>
      <x:c r="E163" s="117"/>
      <x:c r="F163" s="117"/>
      <x:c r="G163" s="117"/>
      <x:c r="H163" s="117"/>
      <x:c r="I163" s="117"/>
      <x:c r="J163" s="117"/>
      <x:c r="K163" s="117"/>
      <x:c r="L163" s="117"/>
      <x:c r="M163" s="117"/>
      <x:c r="N163" s="117"/>
      <x:c r="O163" s="117"/>
      <x:c r="P163" s="117"/>
      <x:c r="Q163" s="117"/>
      <x:c r="R163" s="117"/>
      <x:c r="S163" s="117"/>
      <x:c r="T163" s="117"/>
      <x:c r="U163" s="117"/>
      <x:c r="V163" s="117"/>
      <x:c r="W163" s="117"/>
      <x:c r="X163" s="117"/>
      <x:c r="Y163" s="117"/>
      <x:c r="Z163" s="117"/>
    </x:row>
    <x:row r="164">
      <x:c r="A164" s="117"/>
      <x:c r="B164" s="117"/>
      <x:c r="C164" s="117"/>
      <x:c r="D164" s="117"/>
      <x:c r="E164" s="117"/>
      <x:c r="F164" s="117"/>
      <x:c r="G164" s="117"/>
      <x:c r="H164" s="117"/>
      <x:c r="I164" s="117"/>
      <x:c r="J164" s="117"/>
      <x:c r="K164" s="117"/>
      <x:c r="L164" s="117"/>
      <x:c r="M164" s="117"/>
      <x:c r="N164" s="117"/>
      <x:c r="O164" s="117"/>
      <x:c r="P164" s="117"/>
      <x:c r="Q164" s="117"/>
      <x:c r="R164" s="117"/>
      <x:c r="S164" s="117"/>
      <x:c r="T164" s="117"/>
      <x:c r="U164" s="117"/>
      <x:c r="V164" s="117"/>
      <x:c r="W164" s="117"/>
      <x:c r="X164" s="117"/>
      <x:c r="Y164" s="117"/>
      <x:c r="Z164" s="117"/>
    </x:row>
    <x:row r="165">
      <x:c r="A165" s="117"/>
      <x:c r="B165" s="117"/>
      <x:c r="C165" s="117"/>
      <x:c r="D165" s="117"/>
      <x:c r="E165" s="117"/>
      <x:c r="F165" s="117"/>
      <x:c r="G165" s="117"/>
      <x:c r="H165" s="117"/>
      <x:c r="I165" s="117"/>
      <x:c r="J165" s="117"/>
      <x:c r="K165" s="117"/>
      <x:c r="L165" s="117"/>
      <x:c r="M165" s="117"/>
      <x:c r="N165" s="117"/>
      <x:c r="O165" s="117"/>
      <x:c r="P165" s="117"/>
      <x:c r="Q165" s="117"/>
      <x:c r="R165" s="117"/>
      <x:c r="S165" s="117"/>
      <x:c r="T165" s="117"/>
      <x:c r="U165" s="117"/>
      <x:c r="V165" s="117"/>
      <x:c r="W165" s="117"/>
      <x:c r="X165" s="117"/>
      <x:c r="Y165" s="117"/>
      <x:c r="Z165" s="117"/>
    </x:row>
    <x:row r="166">
      <x:c r="A166" s="117"/>
      <x:c r="B166" s="117"/>
      <x:c r="C166" s="117"/>
      <x:c r="D166" s="117"/>
      <x:c r="E166" s="117"/>
      <x:c r="F166" s="117"/>
      <x:c r="G166" s="117"/>
      <x:c r="H166" s="117"/>
      <x:c r="I166" s="117"/>
      <x:c r="J166" s="117"/>
      <x:c r="K166" s="117"/>
      <x:c r="L166" s="117"/>
      <x:c r="M166" s="117"/>
      <x:c r="N166" s="117"/>
      <x:c r="O166" s="117"/>
      <x:c r="P166" s="117"/>
      <x:c r="Q166" s="117"/>
      <x:c r="R166" s="117"/>
      <x:c r="S166" s="117"/>
      <x:c r="T166" s="117"/>
      <x:c r="U166" s="117"/>
      <x:c r="V166" s="117"/>
      <x:c r="W166" s="117"/>
      <x:c r="X166" s="117"/>
      <x:c r="Y166" s="117"/>
      <x:c r="Z166" s="117"/>
    </x:row>
    <x:row r="167">
      <x:c r="A167" s="117"/>
      <x:c r="B167" s="117"/>
      <x:c r="C167" s="117"/>
      <x:c r="D167" s="117"/>
      <x:c r="E167" s="117"/>
      <x:c r="F167" s="117"/>
      <x:c r="G167" s="117"/>
      <x:c r="H167" s="117"/>
      <x:c r="I167" s="117"/>
      <x:c r="J167" s="117"/>
      <x:c r="K167" s="117"/>
      <x:c r="L167" s="117"/>
      <x:c r="M167" s="117"/>
      <x:c r="N167" s="117"/>
      <x:c r="O167" s="117"/>
      <x:c r="P167" s="117"/>
      <x:c r="Q167" s="117"/>
      <x:c r="R167" s="117"/>
      <x:c r="S167" s="117"/>
      <x:c r="T167" s="117"/>
      <x:c r="U167" s="117"/>
      <x:c r="V167" s="117"/>
      <x:c r="W167" s="117"/>
      <x:c r="X167" s="117"/>
      <x:c r="Y167" s="117"/>
      <x:c r="Z167" s="117"/>
    </x:row>
    <x:row r="168">
      <x:c r="A168" s="117"/>
      <x:c r="B168" s="117"/>
      <x:c r="C168" s="117"/>
      <x:c r="D168" s="117"/>
      <x:c r="E168" s="117"/>
      <x:c r="F168" s="117"/>
      <x:c r="G168" s="117"/>
      <x:c r="H168" s="117"/>
      <x:c r="I168" s="117"/>
      <x:c r="J168" s="117"/>
      <x:c r="K168" s="117"/>
      <x:c r="L168" s="117"/>
      <x:c r="M168" s="117"/>
      <x:c r="N168" s="117"/>
      <x:c r="O168" s="117"/>
      <x:c r="P168" s="117"/>
      <x:c r="Q168" s="117"/>
      <x:c r="R168" s="117"/>
      <x:c r="S168" s="117"/>
      <x:c r="T168" s="117"/>
      <x:c r="U168" s="117"/>
      <x:c r="V168" s="117"/>
      <x:c r="W168" s="117"/>
      <x:c r="X168" s="117"/>
      <x:c r="Y168" s="117"/>
      <x:c r="Z168" s="117"/>
    </x:row>
    <x:row r="169">
      <x:c r="A169" s="117"/>
      <x:c r="B169" s="117"/>
      <x:c r="C169" s="117"/>
      <x:c r="D169" s="117"/>
      <x:c r="E169" s="117"/>
      <x:c r="F169" s="117"/>
      <x:c r="G169" s="117"/>
      <x:c r="H169" s="117"/>
      <x:c r="I169" s="117"/>
      <x:c r="J169" s="117"/>
      <x:c r="K169" s="117"/>
      <x:c r="L169" s="117"/>
      <x:c r="M169" s="117"/>
      <x:c r="N169" s="117"/>
      <x:c r="O169" s="117"/>
      <x:c r="P169" s="117"/>
      <x:c r="Q169" s="117"/>
      <x:c r="R169" s="117"/>
      <x:c r="S169" s="117"/>
      <x:c r="T169" s="117"/>
      <x:c r="U169" s="117"/>
      <x:c r="V169" s="117"/>
      <x:c r="W169" s="117"/>
      <x:c r="X169" s="117"/>
      <x:c r="Y169" s="117"/>
      <x:c r="Z169" s="117"/>
    </x:row>
    <x:row r="170">
      <x:c r="A170" s="117"/>
      <x:c r="B170" s="117"/>
      <x:c r="C170" s="117"/>
      <x:c r="D170" s="117"/>
      <x:c r="E170" s="117"/>
      <x:c r="F170" s="117"/>
      <x:c r="G170" s="117"/>
      <x:c r="H170" s="117"/>
      <x:c r="I170" s="117"/>
      <x:c r="J170" s="117"/>
      <x:c r="K170" s="117"/>
      <x:c r="L170" s="117"/>
      <x:c r="M170" s="117"/>
      <x:c r="N170" s="117"/>
      <x:c r="O170" s="117"/>
      <x:c r="P170" s="117"/>
      <x:c r="Q170" s="117"/>
      <x:c r="R170" s="117"/>
      <x:c r="S170" s="117"/>
      <x:c r="T170" s="117"/>
      <x:c r="U170" s="117"/>
      <x:c r="V170" s="117"/>
      <x:c r="W170" s="117"/>
      <x:c r="X170" s="117"/>
      <x:c r="Y170" s="117"/>
      <x:c r="Z170" s="117"/>
    </x:row>
    <x:row r="171">
      <x:c r="A171" s="117"/>
      <x:c r="B171" s="117"/>
      <x:c r="C171" s="117"/>
      <x:c r="D171" s="117"/>
      <x:c r="E171" s="117"/>
      <x:c r="F171" s="117"/>
      <x:c r="G171" s="117"/>
      <x:c r="H171" s="117"/>
      <x:c r="I171" s="117"/>
      <x:c r="J171" s="117"/>
      <x:c r="K171" s="117"/>
      <x:c r="L171" s="117"/>
      <x:c r="M171" s="117"/>
      <x:c r="N171" s="117"/>
      <x:c r="O171" s="117"/>
      <x:c r="P171" s="117"/>
      <x:c r="Q171" s="117"/>
      <x:c r="R171" s="117"/>
      <x:c r="S171" s="117"/>
      <x:c r="T171" s="117"/>
      <x:c r="U171" s="117"/>
      <x:c r="V171" s="117"/>
      <x:c r="W171" s="117"/>
      <x:c r="X171" s="117"/>
      <x:c r="Y171" s="117"/>
      <x:c r="Z171" s="117"/>
    </x:row>
    <x:row r="172">
      <x:c r="A172" s="117"/>
      <x:c r="B172" s="117"/>
      <x:c r="C172" s="117"/>
      <x:c r="D172" s="117"/>
      <x:c r="E172" s="117"/>
      <x:c r="F172" s="117"/>
      <x:c r="G172" s="117"/>
      <x:c r="H172" s="117"/>
      <x:c r="I172" s="117"/>
      <x:c r="J172" s="117"/>
      <x:c r="K172" s="117"/>
      <x:c r="L172" s="117"/>
      <x:c r="M172" s="117"/>
      <x:c r="N172" s="117"/>
      <x:c r="O172" s="117"/>
      <x:c r="P172" s="117"/>
      <x:c r="Q172" s="117"/>
      <x:c r="R172" s="117"/>
      <x:c r="S172" s="117"/>
      <x:c r="T172" s="117"/>
      <x:c r="U172" s="117"/>
      <x:c r="V172" s="117"/>
      <x:c r="W172" s="117"/>
      <x:c r="X172" s="117"/>
      <x:c r="Y172" s="117"/>
      <x:c r="Z172" s="117"/>
    </x:row>
    <x:row r="173">
      <x:c r="A173" s="117"/>
      <x:c r="B173" s="117"/>
      <x:c r="C173" s="117"/>
      <x:c r="D173" s="117"/>
      <x:c r="E173" s="117"/>
      <x:c r="F173" s="117"/>
      <x:c r="G173" s="117"/>
      <x:c r="H173" s="117"/>
      <x:c r="I173" s="117"/>
      <x:c r="J173" s="117"/>
      <x:c r="K173" s="117"/>
      <x:c r="L173" s="117"/>
      <x:c r="M173" s="117"/>
      <x:c r="N173" s="117"/>
      <x:c r="O173" s="117"/>
      <x:c r="P173" s="117"/>
      <x:c r="Q173" s="117"/>
      <x:c r="R173" s="117"/>
      <x:c r="S173" s="117"/>
      <x:c r="T173" s="117"/>
      <x:c r="U173" s="117"/>
      <x:c r="V173" s="117"/>
      <x:c r="W173" s="117"/>
      <x:c r="X173" s="117"/>
      <x:c r="Y173" s="117"/>
      <x:c r="Z173" s="117"/>
    </x:row>
    <x:row r="174">
      <x:c r="A174" s="117"/>
      <x:c r="B174" s="117"/>
      <x:c r="C174" s="117"/>
      <x:c r="D174" s="117"/>
      <x:c r="E174" s="117"/>
      <x:c r="F174" s="117"/>
      <x:c r="G174" s="117"/>
      <x:c r="H174" s="117"/>
      <x:c r="I174" s="117"/>
      <x:c r="J174" s="117"/>
      <x:c r="K174" s="117"/>
      <x:c r="L174" s="117"/>
      <x:c r="M174" s="117"/>
      <x:c r="N174" s="117"/>
      <x:c r="O174" s="117"/>
      <x:c r="P174" s="117"/>
      <x:c r="Q174" s="117"/>
      <x:c r="R174" s="117"/>
      <x:c r="S174" s="117"/>
      <x:c r="T174" s="117"/>
      <x:c r="U174" s="117"/>
      <x:c r="V174" s="117"/>
      <x:c r="W174" s="117"/>
      <x:c r="X174" s="117"/>
      <x:c r="Y174" s="117"/>
      <x:c r="Z174" s="117"/>
    </x:row>
    <x:row r="175">
      <x:c r="A175" s="117"/>
      <x:c r="B175" s="117"/>
      <x:c r="C175" s="117"/>
      <x:c r="D175" s="117"/>
      <x:c r="E175" s="117"/>
      <x:c r="F175" s="117"/>
      <x:c r="G175" s="117"/>
      <x:c r="H175" s="117"/>
      <x:c r="I175" s="117"/>
      <x:c r="J175" s="117"/>
      <x:c r="K175" s="117"/>
      <x:c r="L175" s="117"/>
      <x:c r="M175" s="117"/>
      <x:c r="N175" s="117"/>
      <x:c r="O175" s="117"/>
      <x:c r="P175" s="117"/>
      <x:c r="Q175" s="117"/>
      <x:c r="R175" s="117"/>
      <x:c r="S175" s="117"/>
      <x:c r="T175" s="117"/>
      <x:c r="U175" s="117"/>
      <x:c r="V175" s="117"/>
      <x:c r="W175" s="117"/>
      <x:c r="X175" s="117"/>
      <x:c r="Y175" s="117"/>
      <x:c r="Z175" s="117"/>
    </x:row>
    <x:row r="176">
      <x:c r="A176" s="117"/>
      <x:c r="B176" s="117"/>
      <x:c r="C176" s="117"/>
      <x:c r="D176" s="117"/>
      <x:c r="E176" s="117"/>
      <x:c r="F176" s="117"/>
      <x:c r="G176" s="117"/>
      <x:c r="H176" s="117"/>
      <x:c r="I176" s="117"/>
      <x:c r="J176" s="117"/>
      <x:c r="K176" s="117"/>
      <x:c r="L176" s="117"/>
      <x:c r="M176" s="117"/>
      <x:c r="N176" s="117"/>
      <x:c r="O176" s="117"/>
      <x:c r="P176" s="117"/>
      <x:c r="Q176" s="117"/>
      <x:c r="R176" s="117"/>
      <x:c r="S176" s="117"/>
      <x:c r="T176" s="117"/>
      <x:c r="U176" s="117"/>
      <x:c r="V176" s="117"/>
      <x:c r="W176" s="117"/>
      <x:c r="X176" s="117"/>
      <x:c r="Y176" s="117"/>
      <x:c r="Z176" s="117"/>
    </x:row>
    <x:row r="177">
      <x:c r="A177" s="117"/>
      <x:c r="B177" s="117"/>
      <x:c r="C177" s="117"/>
      <x:c r="D177" s="117"/>
      <x:c r="E177" s="117"/>
      <x:c r="F177" s="117"/>
      <x:c r="G177" s="117"/>
      <x:c r="H177" s="117"/>
      <x:c r="I177" s="117"/>
      <x:c r="J177" s="117"/>
      <x:c r="K177" s="117"/>
      <x:c r="L177" s="117"/>
      <x:c r="M177" s="117"/>
      <x:c r="N177" s="117"/>
      <x:c r="O177" s="117"/>
      <x:c r="P177" s="117"/>
      <x:c r="Q177" s="117"/>
      <x:c r="R177" s="117"/>
      <x:c r="S177" s="117"/>
      <x:c r="T177" s="117"/>
      <x:c r="U177" s="117"/>
      <x:c r="V177" s="117"/>
      <x:c r="W177" s="117"/>
      <x:c r="X177" s="117"/>
      <x:c r="Y177" s="117"/>
      <x:c r="Z177" s="117"/>
    </x:row>
    <x:row r="178">
      <x:c r="A178" s="117"/>
      <x:c r="B178" s="117"/>
      <x:c r="C178" s="117"/>
      <x:c r="D178" s="117"/>
      <x:c r="E178" s="117"/>
      <x:c r="F178" s="117"/>
      <x:c r="G178" s="117"/>
      <x:c r="H178" s="117"/>
      <x:c r="I178" s="117"/>
      <x:c r="J178" s="117"/>
      <x:c r="K178" s="117"/>
      <x:c r="L178" s="117"/>
      <x:c r="M178" s="117"/>
      <x:c r="N178" s="117"/>
      <x:c r="O178" s="117"/>
      <x:c r="P178" s="117"/>
      <x:c r="Q178" s="117"/>
      <x:c r="R178" s="117"/>
      <x:c r="S178" s="117"/>
      <x:c r="T178" s="117"/>
      <x:c r="U178" s="117"/>
      <x:c r="V178" s="117"/>
      <x:c r="W178" s="117"/>
      <x:c r="X178" s="117"/>
      <x:c r="Y178" s="117"/>
      <x:c r="Z178" s="117"/>
    </x:row>
    <x:row r="179">
      <x:c r="A179" s="117"/>
      <x:c r="B179" s="117"/>
      <x:c r="C179" s="117"/>
      <x:c r="D179" s="117"/>
      <x:c r="E179" s="117"/>
      <x:c r="F179" s="117"/>
      <x:c r="G179" s="117"/>
      <x:c r="H179" s="117"/>
      <x:c r="I179" s="117"/>
      <x:c r="J179" s="117"/>
      <x:c r="K179" s="117"/>
      <x:c r="L179" s="117"/>
      <x:c r="M179" s="117"/>
      <x:c r="N179" s="117"/>
      <x:c r="O179" s="117"/>
      <x:c r="P179" s="117"/>
      <x:c r="Q179" s="117"/>
      <x:c r="R179" s="117"/>
      <x:c r="S179" s="117"/>
      <x:c r="T179" s="117"/>
      <x:c r="U179" s="117"/>
      <x:c r="V179" s="117"/>
      <x:c r="W179" s="117"/>
      <x:c r="X179" s="117"/>
      <x:c r="Y179" s="117"/>
      <x:c r="Z179" s="117"/>
    </x:row>
    <x:row r="180">
      <x:c r="A180" s="117"/>
      <x:c r="B180" s="117"/>
      <x:c r="C180" s="117"/>
      <x:c r="D180" s="117"/>
      <x:c r="E180" s="117"/>
      <x:c r="F180" s="117"/>
      <x:c r="G180" s="117"/>
      <x:c r="H180" s="117"/>
      <x:c r="I180" s="117"/>
      <x:c r="J180" s="117"/>
      <x:c r="K180" s="117"/>
      <x:c r="L180" s="117"/>
      <x:c r="M180" s="117"/>
      <x:c r="N180" s="117"/>
      <x:c r="O180" s="117"/>
      <x:c r="P180" s="117"/>
      <x:c r="Q180" s="117"/>
      <x:c r="R180" s="117"/>
      <x:c r="S180" s="117"/>
      <x:c r="T180" s="117"/>
      <x:c r="U180" s="117"/>
      <x:c r="V180" s="117"/>
      <x:c r="W180" s="117"/>
      <x:c r="X180" s="117"/>
      <x:c r="Y180" s="117"/>
      <x:c r="Z180" s="117"/>
    </x:row>
    <x:row r="181">
      <x:c r="A181" s="117"/>
      <x:c r="B181" s="117"/>
      <x:c r="C181" s="117"/>
      <x:c r="D181" s="117"/>
      <x:c r="E181" s="117"/>
      <x:c r="F181" s="117"/>
      <x:c r="G181" s="117"/>
      <x:c r="H181" s="117"/>
      <x:c r="I181" s="117"/>
      <x:c r="J181" s="117"/>
      <x:c r="K181" s="117"/>
      <x:c r="L181" s="117"/>
      <x:c r="M181" s="117"/>
      <x:c r="N181" s="117"/>
      <x:c r="O181" s="117"/>
      <x:c r="P181" s="117"/>
      <x:c r="Q181" s="117"/>
      <x:c r="R181" s="117"/>
      <x:c r="S181" s="117"/>
      <x:c r="T181" s="117"/>
      <x:c r="U181" s="117"/>
      <x:c r="V181" s="117"/>
      <x:c r="W181" s="117"/>
      <x:c r="X181" s="117"/>
      <x:c r="Y181" s="117"/>
      <x:c r="Z181" s="117"/>
    </x:row>
    <x:row r="182">
      <x:c r="A182" s="117"/>
      <x:c r="B182" s="117"/>
      <x:c r="C182" s="117"/>
      <x:c r="D182" s="117"/>
      <x:c r="E182" s="117"/>
      <x:c r="F182" s="117"/>
      <x:c r="G182" s="117"/>
      <x:c r="H182" s="117"/>
      <x:c r="I182" s="117"/>
      <x:c r="J182" s="117"/>
      <x:c r="K182" s="117"/>
      <x:c r="L182" s="117"/>
      <x:c r="M182" s="117"/>
      <x:c r="N182" s="117"/>
      <x:c r="O182" s="117"/>
      <x:c r="P182" s="117"/>
      <x:c r="Q182" s="117"/>
      <x:c r="R182" s="117"/>
      <x:c r="S182" s="117"/>
      <x:c r="T182" s="117"/>
      <x:c r="U182" s="117"/>
      <x:c r="V182" s="117"/>
      <x:c r="W182" s="117"/>
      <x:c r="X182" s="117"/>
      <x:c r="Y182" s="117"/>
      <x:c r="Z182" s="117"/>
    </x:row>
    <x:row r="183">
      <x:c r="A183" s="117"/>
      <x:c r="B183" s="117"/>
      <x:c r="C183" s="117"/>
      <x:c r="D183" s="117"/>
      <x:c r="E183" s="117"/>
      <x:c r="F183" s="117"/>
      <x:c r="G183" s="117"/>
      <x:c r="H183" s="117"/>
      <x:c r="I183" s="117"/>
      <x:c r="J183" s="117"/>
      <x:c r="K183" s="117"/>
      <x:c r="L183" s="117"/>
      <x:c r="M183" s="117"/>
      <x:c r="N183" s="117"/>
      <x:c r="O183" s="117"/>
      <x:c r="P183" s="117"/>
      <x:c r="Q183" s="117"/>
      <x:c r="R183" s="117"/>
      <x:c r="S183" s="117"/>
      <x:c r="T183" s="117"/>
      <x:c r="U183" s="117"/>
      <x:c r="V183" s="117"/>
      <x:c r="W183" s="117"/>
      <x:c r="X183" s="117"/>
      <x:c r="Y183" s="117"/>
      <x:c r="Z183" s="117"/>
    </x:row>
    <x:row r="184">
      <x:c r="A184" s="117"/>
      <x:c r="B184" s="117"/>
      <x:c r="C184" s="117"/>
      <x:c r="D184" s="117"/>
      <x:c r="E184" s="117"/>
      <x:c r="F184" s="117"/>
      <x:c r="G184" s="117"/>
      <x:c r="H184" s="117"/>
      <x:c r="I184" s="117"/>
      <x:c r="J184" s="117"/>
      <x:c r="K184" s="117"/>
      <x:c r="L184" s="117"/>
      <x:c r="M184" s="117"/>
      <x:c r="N184" s="117"/>
      <x:c r="O184" s="117"/>
      <x:c r="P184" s="117"/>
      <x:c r="Q184" s="117"/>
      <x:c r="R184" s="117"/>
      <x:c r="S184" s="117"/>
      <x:c r="T184" s="117"/>
      <x:c r="U184" s="117"/>
      <x:c r="V184" s="117"/>
      <x:c r="W184" s="117"/>
      <x:c r="X184" s="117"/>
      <x:c r="Y184" s="117"/>
      <x:c r="Z184" s="117"/>
    </x:row>
    <x:row r="185">
      <x:c r="A185" s="117"/>
      <x:c r="B185" s="117"/>
      <x:c r="C185" s="117"/>
      <x:c r="D185" s="117"/>
      <x:c r="E185" s="117"/>
      <x:c r="F185" s="117"/>
      <x:c r="G185" s="117"/>
      <x:c r="H185" s="117"/>
      <x:c r="I185" s="117"/>
      <x:c r="J185" s="117"/>
      <x:c r="K185" s="117"/>
      <x:c r="L185" s="117"/>
      <x:c r="M185" s="117"/>
      <x:c r="N185" s="117"/>
      <x:c r="O185" s="117"/>
      <x:c r="P185" s="117"/>
      <x:c r="Q185" s="117"/>
      <x:c r="R185" s="117"/>
      <x:c r="S185" s="117"/>
      <x:c r="T185" s="117"/>
      <x:c r="U185" s="117"/>
      <x:c r="V185" s="117"/>
      <x:c r="W185" s="117"/>
      <x:c r="X185" s="117"/>
      <x:c r="Y185" s="117"/>
      <x:c r="Z185" s="117"/>
    </x:row>
    <x:row r="186">
      <x:c r="A186" s="117"/>
      <x:c r="B186" s="117"/>
      <x:c r="C186" s="117"/>
      <x:c r="D186" s="117"/>
      <x:c r="E186" s="117"/>
      <x:c r="F186" s="117"/>
      <x:c r="G186" s="117"/>
      <x:c r="H186" s="117"/>
      <x:c r="I186" s="117"/>
      <x:c r="J186" s="117"/>
      <x:c r="K186" s="117"/>
      <x:c r="L186" s="117"/>
      <x:c r="M186" s="117"/>
      <x:c r="N186" s="117"/>
      <x:c r="O186" s="117"/>
      <x:c r="P186" s="117"/>
      <x:c r="Q186" s="117"/>
      <x:c r="R186" s="117"/>
      <x:c r="S186" s="117"/>
      <x:c r="T186" s="117"/>
      <x:c r="U186" s="117"/>
      <x:c r="V186" s="117"/>
      <x:c r="W186" s="117"/>
      <x:c r="X186" s="117"/>
      <x:c r="Y186" s="117"/>
      <x:c r="Z186" s="117"/>
    </x:row>
    <x:row r="187">
      <x:c r="A187" s="117"/>
      <x:c r="B187" s="117"/>
      <x:c r="C187" s="117"/>
      <x:c r="D187" s="117"/>
      <x:c r="E187" s="117"/>
      <x:c r="F187" s="117"/>
      <x:c r="G187" s="117"/>
      <x:c r="H187" s="117"/>
      <x:c r="I187" s="117"/>
      <x:c r="J187" s="117"/>
      <x:c r="K187" s="117"/>
      <x:c r="L187" s="117"/>
      <x:c r="M187" s="117"/>
      <x:c r="N187" s="117"/>
      <x:c r="O187" s="117"/>
      <x:c r="P187" s="117"/>
      <x:c r="Q187" s="117"/>
      <x:c r="R187" s="117"/>
      <x:c r="S187" s="117"/>
      <x:c r="T187" s="117"/>
      <x:c r="U187" s="117"/>
      <x:c r="V187" s="117"/>
      <x:c r="W187" s="117"/>
      <x:c r="X187" s="117"/>
      <x:c r="Y187" s="117"/>
      <x:c r="Z187" s="117"/>
    </x:row>
    <x:row r="188">
      <x:c r="A188" s="117"/>
      <x:c r="B188" s="117"/>
      <x:c r="C188" s="117"/>
      <x:c r="D188" s="117"/>
      <x:c r="E188" s="117"/>
      <x:c r="F188" s="117"/>
      <x:c r="G188" s="117"/>
      <x:c r="H188" s="117"/>
      <x:c r="I188" s="117"/>
      <x:c r="J188" s="117"/>
      <x:c r="K188" s="117"/>
      <x:c r="L188" s="117"/>
      <x:c r="M188" s="117"/>
      <x:c r="N188" s="117"/>
      <x:c r="O188" s="117"/>
      <x:c r="P188" s="117"/>
      <x:c r="Q188" s="117"/>
      <x:c r="R188" s="117"/>
      <x:c r="S188" s="117"/>
      <x:c r="T188" s="117"/>
      <x:c r="U188" s="117"/>
      <x:c r="V188" s="117"/>
      <x:c r="W188" s="117"/>
      <x:c r="X188" s="117"/>
      <x:c r="Y188" s="117"/>
      <x:c r="Z188" s="117"/>
    </x:row>
    <x:row r="189">
      <x:c r="A189" s="117"/>
      <x:c r="B189" s="117"/>
      <x:c r="C189" s="117"/>
      <x:c r="D189" s="117"/>
      <x:c r="E189" s="117"/>
      <x:c r="F189" s="117"/>
      <x:c r="G189" s="117"/>
      <x:c r="H189" s="117"/>
      <x:c r="I189" s="117"/>
      <x:c r="J189" s="117"/>
      <x:c r="K189" s="117"/>
      <x:c r="L189" s="117"/>
      <x:c r="M189" s="117"/>
      <x:c r="N189" s="117"/>
      <x:c r="O189" s="117"/>
      <x:c r="P189" s="117"/>
      <x:c r="Q189" s="117"/>
      <x:c r="R189" s="117"/>
      <x:c r="S189" s="117"/>
      <x:c r="T189" s="117"/>
      <x:c r="U189" s="117"/>
      <x:c r="V189" s="117"/>
      <x:c r="W189" s="117"/>
      <x:c r="X189" s="117"/>
      <x:c r="Y189" s="117"/>
      <x:c r="Z189" s="117"/>
    </x:row>
    <x:row r="190">
      <x:c r="A190" s="117"/>
      <x:c r="B190" s="117"/>
      <x:c r="C190" s="117"/>
      <x:c r="D190" s="117"/>
      <x:c r="E190" s="117"/>
      <x:c r="F190" s="117"/>
      <x:c r="G190" s="117"/>
      <x:c r="H190" s="117"/>
      <x:c r="I190" s="117"/>
      <x:c r="J190" s="117"/>
      <x:c r="K190" s="117"/>
      <x:c r="L190" s="117"/>
      <x:c r="M190" s="117"/>
      <x:c r="N190" s="117"/>
      <x:c r="O190" s="117"/>
      <x:c r="P190" s="117"/>
      <x:c r="Q190" s="117"/>
      <x:c r="R190" s="117"/>
      <x:c r="S190" s="117"/>
      <x:c r="T190" s="117"/>
      <x:c r="U190" s="117"/>
      <x:c r="V190" s="117"/>
      <x:c r="W190" s="117"/>
      <x:c r="X190" s="117"/>
      <x:c r="Y190" s="117"/>
      <x:c r="Z190" s="117"/>
    </x:row>
    <x:row r="191">
      <x:c r="A191" s="117"/>
      <x:c r="B191" s="117"/>
      <x:c r="C191" s="117"/>
      <x:c r="D191" s="117"/>
      <x:c r="E191" s="117"/>
      <x:c r="F191" s="117"/>
      <x:c r="G191" s="117"/>
      <x:c r="H191" s="117"/>
      <x:c r="I191" s="117"/>
      <x:c r="J191" s="117"/>
      <x:c r="K191" s="117"/>
      <x:c r="L191" s="117"/>
      <x:c r="M191" s="117"/>
      <x:c r="N191" s="117"/>
      <x:c r="O191" s="117"/>
      <x:c r="P191" s="117"/>
      <x:c r="Q191" s="117"/>
      <x:c r="R191" s="117"/>
      <x:c r="S191" s="117"/>
      <x:c r="T191" s="117"/>
      <x:c r="U191" s="117"/>
      <x:c r="V191" s="117"/>
      <x:c r="W191" s="117"/>
      <x:c r="X191" s="117"/>
      <x:c r="Y191" s="117"/>
      <x:c r="Z191" s="117"/>
    </x:row>
    <x:row r="192">
      <x:c r="A192" s="117"/>
      <x:c r="B192" s="117"/>
      <x:c r="C192" s="117"/>
      <x:c r="D192" s="117"/>
      <x:c r="E192" s="117"/>
      <x:c r="F192" s="117"/>
      <x:c r="G192" s="117"/>
      <x:c r="H192" s="117"/>
      <x:c r="I192" s="117"/>
      <x:c r="J192" s="117"/>
      <x:c r="K192" s="117"/>
      <x:c r="L192" s="117"/>
      <x:c r="M192" s="117"/>
      <x:c r="N192" s="117"/>
      <x:c r="O192" s="117"/>
      <x:c r="P192" s="117"/>
      <x:c r="Q192" s="117"/>
      <x:c r="R192" s="117"/>
      <x:c r="S192" s="117"/>
      <x:c r="T192" s="117"/>
      <x:c r="U192" s="117"/>
      <x:c r="V192" s="117"/>
      <x:c r="W192" s="117"/>
      <x:c r="X192" s="117"/>
      <x:c r="Y192" s="117"/>
      <x:c r="Z192" s="117"/>
    </x:row>
    <x:row r="193">
      <x:c r="A193" s="117"/>
      <x:c r="B193" s="117"/>
      <x:c r="C193" s="117"/>
      <x:c r="D193" s="117"/>
      <x:c r="E193" s="117"/>
      <x:c r="F193" s="117"/>
      <x:c r="G193" s="117"/>
      <x:c r="H193" s="117"/>
      <x:c r="I193" s="117"/>
      <x:c r="J193" s="117"/>
      <x:c r="K193" s="117"/>
      <x:c r="L193" s="117"/>
      <x:c r="M193" s="117"/>
      <x:c r="N193" s="117"/>
      <x:c r="O193" s="117"/>
      <x:c r="P193" s="117"/>
      <x:c r="Q193" s="117"/>
      <x:c r="R193" s="117"/>
      <x:c r="S193" s="117"/>
      <x:c r="T193" s="117"/>
      <x:c r="U193" s="117"/>
      <x:c r="V193" s="117"/>
      <x:c r="W193" s="117"/>
      <x:c r="X193" s="117"/>
      <x:c r="Y193" s="117"/>
      <x:c r="Z193" s="117"/>
    </x:row>
    <x:row r="194">
      <x:c r="A194" s="117"/>
      <x:c r="B194" s="117"/>
      <x:c r="C194" s="117"/>
      <x:c r="D194" s="117"/>
      <x:c r="E194" s="117"/>
      <x:c r="F194" s="117"/>
      <x:c r="G194" s="117"/>
      <x:c r="H194" s="117"/>
      <x:c r="I194" s="117"/>
      <x:c r="J194" s="117"/>
      <x:c r="K194" s="117"/>
      <x:c r="L194" s="117"/>
      <x:c r="M194" s="117"/>
      <x:c r="N194" s="117"/>
      <x:c r="O194" s="117"/>
      <x:c r="P194" s="117"/>
      <x:c r="Q194" s="117"/>
      <x:c r="R194" s="117"/>
      <x:c r="S194" s="117"/>
      <x:c r="T194" s="117"/>
      <x:c r="U194" s="117"/>
      <x:c r="V194" s="117"/>
      <x:c r="W194" s="117"/>
      <x:c r="X194" s="117"/>
      <x:c r="Y194" s="117"/>
      <x:c r="Z194" s="117"/>
    </x:row>
    <x:row r="195">
      <x:c r="A195" s="117"/>
      <x:c r="B195" s="117"/>
      <x:c r="C195" s="117"/>
      <x:c r="D195" s="117"/>
      <x:c r="E195" s="117"/>
      <x:c r="F195" s="117"/>
      <x:c r="G195" s="117"/>
      <x:c r="H195" s="117"/>
      <x:c r="I195" s="117"/>
      <x:c r="J195" s="117"/>
      <x:c r="K195" s="117"/>
      <x:c r="L195" s="117"/>
      <x:c r="M195" s="117"/>
      <x:c r="N195" s="117"/>
      <x:c r="O195" s="117"/>
      <x:c r="P195" s="117"/>
      <x:c r="Q195" s="117"/>
      <x:c r="R195" s="117"/>
      <x:c r="S195" s="117"/>
      <x:c r="T195" s="117"/>
      <x:c r="U195" s="117"/>
      <x:c r="V195" s="117"/>
      <x:c r="W195" s="117"/>
      <x:c r="X195" s="117"/>
      <x:c r="Y195" s="117"/>
      <x:c r="Z195" s="117"/>
    </x:row>
    <x:row r="196">
      <x:c r="A196" s="117"/>
      <x:c r="B196" s="117"/>
      <x:c r="C196" s="117"/>
      <x:c r="D196" s="117"/>
      <x:c r="E196" s="117"/>
      <x:c r="F196" s="117"/>
      <x:c r="G196" s="117"/>
      <x:c r="H196" s="117"/>
      <x:c r="I196" s="117"/>
      <x:c r="J196" s="117"/>
      <x:c r="K196" s="117"/>
      <x:c r="L196" s="117"/>
      <x:c r="M196" s="117"/>
      <x:c r="N196" s="117"/>
      <x:c r="O196" s="117"/>
      <x:c r="P196" s="117"/>
      <x:c r="Q196" s="117"/>
      <x:c r="R196" s="117"/>
      <x:c r="S196" s="117"/>
      <x:c r="T196" s="117"/>
      <x:c r="U196" s="117"/>
      <x:c r="V196" s="117"/>
      <x:c r="W196" s="117"/>
      <x:c r="X196" s="117"/>
      <x:c r="Y196" s="117"/>
      <x:c r="Z196" s="117"/>
    </x:row>
    <x:row r="197">
      <x:c r="A197" s="117"/>
      <x:c r="B197" s="117"/>
      <x:c r="C197" s="117"/>
      <x:c r="D197" s="117"/>
      <x:c r="E197" s="117"/>
      <x:c r="F197" s="117"/>
      <x:c r="G197" s="117"/>
      <x:c r="H197" s="117"/>
      <x:c r="I197" s="117"/>
      <x:c r="J197" s="117"/>
      <x:c r="K197" s="117"/>
      <x:c r="L197" s="117"/>
      <x:c r="M197" s="117"/>
      <x:c r="N197" s="117"/>
      <x:c r="O197" s="117"/>
      <x:c r="P197" s="117"/>
      <x:c r="Q197" s="117"/>
      <x:c r="R197" s="117"/>
      <x:c r="S197" s="117"/>
      <x:c r="T197" s="117"/>
      <x:c r="U197" s="117"/>
      <x:c r="V197" s="117"/>
      <x:c r="W197" s="117"/>
      <x:c r="X197" s="117"/>
      <x:c r="Y197" s="117"/>
      <x:c r="Z197" s="117"/>
    </x:row>
    <x:row r="198">
      <x:c r="A198" s="117"/>
      <x:c r="B198" s="117"/>
      <x:c r="C198" s="117"/>
      <x:c r="D198" s="117"/>
      <x:c r="E198" s="117"/>
      <x:c r="F198" s="117"/>
      <x:c r="G198" s="117"/>
      <x:c r="H198" s="117"/>
      <x:c r="I198" s="117"/>
      <x:c r="J198" s="117"/>
      <x:c r="K198" s="117"/>
      <x:c r="L198" s="117"/>
      <x:c r="M198" s="117"/>
      <x:c r="N198" s="117"/>
      <x:c r="O198" s="117"/>
      <x:c r="P198" s="117"/>
      <x:c r="Q198" s="117"/>
      <x:c r="R198" s="117"/>
      <x:c r="S198" s="117"/>
      <x:c r="T198" s="117"/>
      <x:c r="U198" s="117"/>
      <x:c r="V198" s="117"/>
      <x:c r="W198" s="117"/>
      <x:c r="X198" s="117"/>
      <x:c r="Y198" s="117"/>
      <x:c r="Z198" s="117"/>
    </x:row>
    <x:row r="199">
      <x:c r="A199" s="117"/>
      <x:c r="B199" s="117"/>
      <x:c r="C199" s="117"/>
      <x:c r="D199" s="117"/>
      <x:c r="E199" s="117"/>
      <x:c r="F199" s="117"/>
      <x:c r="G199" s="117"/>
      <x:c r="H199" s="117"/>
      <x:c r="I199" s="117"/>
      <x:c r="J199" s="117"/>
      <x:c r="K199" s="117"/>
      <x:c r="L199" s="117"/>
      <x:c r="M199" s="117"/>
      <x:c r="N199" s="117"/>
      <x:c r="O199" s="117"/>
      <x:c r="P199" s="117"/>
      <x:c r="Q199" s="117"/>
      <x:c r="R199" s="117"/>
      <x:c r="S199" s="117"/>
      <x:c r="T199" s="117"/>
      <x:c r="U199" s="117"/>
      <x:c r="V199" s="117"/>
      <x:c r="W199" s="117"/>
      <x:c r="X199" s="117"/>
      <x:c r="Y199" s="117"/>
      <x:c r="Z199" s="117"/>
    </x:row>
    <x:row r="200">
      <x:c r="A200" s="117"/>
      <x:c r="B200" s="117"/>
      <x:c r="C200" s="117"/>
      <x:c r="D200" s="117"/>
      <x:c r="E200" s="117"/>
      <x:c r="F200" s="117"/>
      <x:c r="G200" s="117"/>
      <x:c r="H200" s="117"/>
      <x:c r="I200" s="117"/>
      <x:c r="J200" s="117"/>
      <x:c r="K200" s="117"/>
      <x:c r="L200" s="117"/>
      <x:c r="M200" s="117"/>
      <x:c r="N200" s="117"/>
      <x:c r="O200" s="117"/>
      <x:c r="P200" s="117"/>
      <x:c r="Q200" s="117"/>
      <x:c r="R200" s="117"/>
      <x:c r="S200" s="117"/>
      <x:c r="T200" s="117"/>
      <x:c r="U200" s="117"/>
      <x:c r="V200" s="117"/>
      <x:c r="W200" s="117"/>
      <x:c r="X200" s="117"/>
      <x:c r="Y200" s="117"/>
      <x:c r="Z200" s="117"/>
    </x:row>
  </x:sheetData>
  <x:mergeCells>
    <x:mergeCell ref="A1:G1"/>
    <x:mergeCell ref="A2:G2"/>
  </x:mergeCells>
  <x:pageMargins left="0.7" right="0.7" top="0.75" bottom="0.75" header="0.3" footer="0.3"/>
</x:worksheet>
</file>

<file path=xl/worksheets/sheet14.xml><?xml version="1.0" encoding="utf-8"?>
<x:worksheet xmlns:x="http://schemas.openxmlformats.org/spreadsheetml/2006/main">
  <x:sheetFormatPr defaultRowHeight="15"/>
  <x:cols>
    <x:col min="1" max="1" width="23" hidden="0" customWidth="1"/>
    <x:col min="2" max="2" width="42" hidden="0" customWidth="1"/>
    <x:col min="3" max="3" width="24" hidden="0" customWidth="1"/>
    <x:col min="4" max="4" width="48" hidden="0" customWidth="1"/>
    <x:col min="5" max="5" width="18" hidden="0" customWidth="1"/>
    <x:col min="6" max="6" width="30" hidden="0" customWidth="1"/>
    <x:col min="7" max="7" width="28" hidden="0" customWidth="1"/>
    <x:col min="8" max="8" width="28" hidden="0" customWidth="1"/>
    <x:col min="9" max="9" width="20" hidden="0" customWidth="1"/>
    <x:col min="10" max="10" width="18" hidden="0" customWidth="1"/>
    <x:col min="11" max="11" width="20" hidden="0" customWidth="1"/>
    <x:col min="12" max="12" width="20" hidden="0" customWidth="1"/>
    <x:col min="13" max="13" width="20" hidden="0" customWidth="1"/>
    <x:col min="14" max="14" width="20" hidden="0" customWidth="1"/>
  </x:cols>
  <x:sheetData>
    <x:row r="1" ht="28" customHeight="1">
      <x:c r="A1" s="181" t="str">
        <x:v>13_算定式・順位ロジック</x:v>
      </x:c>
      <x:c r="B1" s="181"/>
      <x:c r="C1" s="181"/>
      <x:c r="D1" s="181"/>
      <x:c r="E1" s="181"/>
      <x:c r="F1" s="181"/>
      <x:c r="G1" s="181"/>
      <x:c r="H1" s="181"/>
      <x:c r="I1" s="181"/>
      <x:c r="J1" s="181"/>
      <x:c r="K1" s="181"/>
      <x:c r="L1" s="181"/>
      <x:c r="M1" s="181"/>
      <x:c r="N1" s="181"/>
    </x:row>
    <x:row r="2" ht="36" customHeight="1">
      <x:c r="A2" s="184" t="str">
        <x:v>EDI・DRI・EPIの正式算定式、評価帯、Decision Guardrail表示順位、最重要課題TOP5順位付けをVersion0.3として確定。</x:v>
      </x:c>
      <x:c r="B2" s="184"/>
      <x:c r="C2" s="184"/>
      <x:c r="D2" s="184"/>
      <x:c r="E2" s="184"/>
      <x:c r="F2" s="184"/>
      <x:c r="G2" s="184"/>
      <x:c r="H2" s="184"/>
      <x:c r="I2" s="184"/>
      <x:c r="J2" s="184"/>
      <x:c r="K2" s="184"/>
      <x:c r="L2" s="184"/>
      <x:c r="M2" s="184"/>
      <x:c r="N2" s="184"/>
    </x:row>
    <x:row r="4">
      <x:c r="A4" s="187" t="str">
        <x:v>1. 共通算定原則</x:v>
      </x:c>
      <x:c r="B4" s="188"/>
      <x:c r="C4" s="188"/>
      <x:c r="D4" s="188"/>
      <x:c r="E4" s="188"/>
      <x:c r="F4" s="188"/>
      <x:c r="G4" s="188"/>
      <x:c r="H4" s="188"/>
      <x:c r="I4" s="188"/>
      <x:c r="J4" s="188"/>
      <x:c r="K4" s="188"/>
      <x:c r="L4" s="188"/>
      <x:c r="M4" s="188"/>
      <x:c r="N4" s="189"/>
    </x:row>
    <x:row r="5" ht="38" customHeight="1">
      <x:c r="A5" s="201" t="str">
        <x:v>ルールID</x:v>
      </x:c>
      <x:c r="B5" s="202" t="str">
        <x:v>項目</x:v>
      </x:c>
      <x:c r="C5" s="202" t="str">
        <x:v>正式定義</x:v>
      </x:c>
      <x:c r="D5" s="202" t="str">
        <x:v>算定・処理</x:v>
      </x:c>
      <x:c r="E5" s="202" t="str">
        <x:v>上限・下限</x:v>
      </x:c>
      <x:c r="F5" s="202" t="str">
        <x:v>不明回答</x:v>
      </x:c>
      <x:c r="G5" s="202" t="str">
        <x:v>L0矛盾</x:v>
      </x:c>
      <x:c r="H5" s="202" t="str">
        <x:v>Guardrailとの関係</x:v>
      </x:c>
      <x:c r="I5" s="203" t="str">
        <x:v>備考</x:v>
      </x:c>
    </x:row>
    <x:row r="6">
      <x:c r="A6" s="222" t="str">
        <x:v>CM-01</x:v>
      </x:c>
      <x:c r="B6" s="223" t="str">
        <x:v>質問スコア</x:v>
      </x:c>
      <x:c r="C6" s="223" t="str">
        <x:v>各回答を0～100点へ正規化した値を s_i とする。</x:v>
      </x:c>
      <x:c r="D6" s="223" t="str">
        <x:v>03_採点マトリクスおよび02_回答選択肢の標準スコアを使用。質問固有ルールがある場合は質問固有値を優先。</x:v>
      </x:c>
      <x:c r="E6" s="223" t="str">
        <x:v>0～100</x:v>
      </x:c>
      <x:c r="F6" s="223" t="str">
        <x:v>分母から除外し、情報充足率・診断信頼度へ反映</x:v>
      </x:c>
      <x:c r="G6" s="223" t="str">
        <x:v>該当質問を分母から除外し、L0警告を表示</x:v>
      </x:c>
      <x:c r="H6" s="223" t="str">
        <x:v>Guardrail発動の有無でKPI点を強制変更しない</x:v>
      </x:c>
      <x:c r="I6" s="224" t="str">
        <x:v>点数と警告を独立管理</x:v>
      </x:c>
    </x:row>
    <x:row r="7">
      <x:c r="A7" s="225" t="str">
        <x:v>CM-02</x:v>
      </x:c>
      <x:c r="B7" s="148" t="str">
        <x:v>加重平均</x:v>
      </x:c>
      <x:c r="C7" s="148" t="str">
        <x:v>指標点は回答済みかつ判定有効な質問の加重平均。</x:v>
      </x:c>
      <x:c r="D7" s="148" t="str">
        <x:v>Score = Σ(w_i×s_i) ÷ Σ(w_i)</x:v>
      </x:c>
      <x:c r="E7" s="148" t="str">
        <x:v>0～100</x:v>
      </x:c>
      <x:c r="F7" s="148" t="str">
        <x:v>回答不能項目の重みは分母から除外</x:v>
      </x:c>
      <x:c r="G7" s="148" t="str">
        <x:v>矛盾解消まで当該重みを分母から除外</x:v>
      </x:c>
      <x:c r="H7" s="148" t="str">
        <x:v>Guardrailは独立表示</x:v>
      </x:c>
      <x:c r="I7" s="226" t="str">
        <x:v>小数第1位を四捨五入し整数表示</x:v>
      </x:c>
    </x:row>
    <x:row r="8">
      <x:c r="A8" s="225" t="str">
        <x:v>CM-03</x:v>
      </x:c>
      <x:c r="B8" s="148" t="str">
        <x:v>最低情報条件</x:v>
      </x:c>
      <x:c r="C8" s="148" t="str">
        <x:v>指標対象質問の有効重みカバー率が50%未満の場合、点数を参考値扱いとする。</x:v>
      </x:c>
      <x:c r="D8" s="148" t="str">
        <x:v>有効重みカバー率 = 有効回答重み ÷ 全対象重み</x:v>
      </x:c>
      <x:c r="E8" s="148" t="str">
        <x:v>0～100%</x:v>
      </x:c>
      <x:c r="F8" s="148" t="str">
        <x:v>充足率低下</x:v>
      </x:c>
      <x:c r="G8" s="148" t="str">
        <x:v>同左＋信頼度大幅低下</x:v>
      </x:c>
      <x:c r="H8" s="148" t="str">
        <x:v>重大Guardrailは表示継続</x:v>
      </x:c>
      <x:c r="I8" s="226" t="str">
        <x:v>レポートに『参考値』表示</x:v>
      </x:c>
    </x:row>
    <x:row r="9">
      <x:c r="A9" s="227" t="str">
        <x:v>CM-04</x:v>
      </x:c>
      <x:c r="B9" s="228" t="str">
        <x:v>断定制御</x:v>
      </x:c>
      <x:c r="C9" s="228" t="str">
        <x:v>総合KPIが高くても、個別所見は個別Evidenceレベルに従う。</x:v>
      </x:c>
      <x:c r="D9" s="228" t="str">
        <x:v>コメントコードのL0～L3を優先</x:v>
      </x:c>
      <x:c r="E9" s="228" t="str">
        <x:v>なし</x:v>
      </x:c>
      <x:c r="F9" s="228" t="str">
        <x:v>L1</x:v>
      </x:c>
      <x:c r="G9" s="228" t="str">
        <x:v>L0</x:v>
      </x:c>
      <x:c r="H9" s="228" t="str">
        <x:v>Guardrailも同様</x:v>
      </x:c>
      <x:c r="I9" s="229" t="str">
        <x:v>KPIスコアで断定レベルを上書きしない</x:v>
      </x:c>
    </x:row>
    <x:row r="10">
      <x:c r="A10" t="str">
        <x:v>CM-05</x:v>
      </x:c>
      <x:c r="B10" t="str">
        <x:v>丸め</x:v>
      </x:c>
      <x:c r="C10" t="str">
        <x:v>内部計算は小数第2位まで保持し、レポートは整数表示。</x:v>
      </x:c>
      <x:c r="D10" t="str">
        <x:v>ROUND(Score,0)</x:v>
      </x:c>
      <x:c r="E10" t="str">
        <x:v>0～100</x:v>
      </x:c>
      <x:c r="F10" t="str">
        <x:v>なし</x:v>
      </x:c>
      <x:c r="G10" t="str">
        <x:v>なし</x:v>
      </x:c>
      <x:c r="H10" t="str">
        <x:v>なし</x:v>
      </x:c>
      <x:c r="I10" t="str"/>
    </x:row>
    <x:row r="12">
      <x:c r="A12" s="187" t="str">
        <x:v>2. EDI 正式算定式（状態を診る）</x:v>
      </x:c>
      <x:c r="B12" s="188"/>
      <x:c r="C12" s="188"/>
      <x:c r="D12" s="188"/>
      <x:c r="E12" s="188"/>
      <x:c r="F12" s="188"/>
      <x:c r="G12" s="188"/>
      <x:c r="H12" s="188"/>
      <x:c r="I12" s="188"/>
      <x:c r="J12" s="188"/>
      <x:c r="K12" s="188"/>
      <x:c r="L12" s="188"/>
      <x:c r="M12" s="188"/>
      <x:c r="N12" s="189"/>
    </x:row>
    <x:row r="13" ht="38" customHeight="1">
      <x:c r="A13" s="201" t="str">
        <x:v>EDIサブ指標</x:v>
      </x:c>
      <x:c r="B13" s="202" t="str">
        <x:v>記号</x:v>
      </x:c>
      <x:c r="C13" s="202" t="str">
        <x:v>構成質問</x:v>
      </x:c>
      <x:c r="D13" s="202" t="str">
        <x:v>サブ指標内加重平均</x:v>
      </x:c>
      <x:c r="E13" s="202" t="str">
        <x:v>EDI内ウェイト</x:v>
      </x:c>
      <x:c r="F13" s="202" t="str">
        <x:v>正式寄与</x:v>
      </x:c>
      <x:c r="G13" s="202" t="str">
        <x:v>評価上の意味</x:v>
      </x:c>
      <x:c r="H13" s="203" t="str">
        <x:v>備考</x:v>
      </x:c>
    </x:row>
    <x:row r="14">
      <x:c r="A14" s="222" t="str">
        <x:v>設備状態</x:v>
      </x:c>
      <x:c r="B14" s="223" t="str">
        <x:v>EDI_EQP</x:v>
      </x:c>
      <x:c r="C14" s="223" t="str">
        <x:v>Q101,Q102,Q105,Q107,Q201～Q208</x:v>
      </x:c>
      <x:c r="D14" s="223" t="str">
        <x:v>Σ(w_i×s_i)÷Σ(w_i)</x:v>
      </x:c>
      <x:c r="E14" s="223" t="str">
        <x:v>40%</x:v>
      </x:c>
      <x:c r="F14" s="223" t="str">
        <x:v>0.40×EDI_EQP</x:v>
      </x:c>
      <x:c r="G14" s="223" t="str">
        <x:v>経年、異常、故障、点検、保全、予備品、保守体制</x:v>
      </x:c>
      <x:c r="H14" s="224" t="str">
        <x:v>Q202は高齢設備比率のため回答スコアを反転して使用</x:v>
      </x:c>
    </x:row>
    <x:row r="15">
      <x:c r="A15" s="225" t="str">
        <x:v>エネルギー管理</x:v>
      </x:c>
      <x:c r="B15" s="148" t="str">
        <x:v>EDI_ENE</x:v>
      </x:c>
      <x:c r="C15" s="148" t="str">
        <x:v>Q221～Q226</x:v>
      </x:c>
      <x:c r="D15" s="148" t="str">
        <x:v>Σ(w_i×s_i)÷Σ(w_i)</x:v>
      </x:c>
      <x:c r="E15" s="148" t="str">
        <x:v>20%</x:v>
      </x:c>
      <x:c r="F15" s="148" t="str">
        <x:v>0.20×EDI_ENE</x:v>
      </x:c>
      <x:c r="G15" s="148" t="str">
        <x:v>電力把握、設備別計測、原単位、省エネ改善、デマンド管理</x:v>
      </x:c>
      <x:c r="H15" s="226" t="str">
        <x:v>省エネ機会の大きさではなく管理状態を評価</x:v>
      </x:c>
    </x:row>
    <x:row r="16">
      <x:c r="A16" s="225" t="str">
        <x:v>建物・環境</x:v>
      </x:c>
      <x:c r="B16" s="148" t="str">
        <x:v>EDI_BLD</x:v>
      </x:c>
      <x:c r="C16" s="148" t="str">
        <x:v>Q241～Q245</x:v>
      </x:c>
      <x:c r="D16" s="148" t="str">
        <x:v>Σ(w_i×s_i)÷Σ(w_i)</x:v>
      </x:c>
      <x:c r="E16" s="148" t="str">
        <x:v>20%</x:v>
      </x:c>
      <x:c r="F16" s="148" t="str">
        <x:v>0.20×EDI_BLD</x:v>
      </x:c>
      <x:c r="G16" s="148" t="str">
        <x:v>雨漏り、結露、暑熱、腐食、修繕計画</x:v>
      </x:c>
      <x:c r="H16" s="226" t="str">
        <x:v>異常の重大度が高いほど低得点</x:v>
      </x:c>
    </x:row>
    <x:row r="17">
      <x:c r="A17" s="225" t="str">
        <x:v>経営・更新管理</x:v>
      </x:c>
      <x:c r="B17" s="148" t="str">
        <x:v>EDI_MGT</x:v>
      </x:c>
      <x:c r="C17" s="148" t="str">
        <x:v>Q261～Q264</x:v>
      </x:c>
      <x:c r="D17" s="148" t="str">
        <x:v>Σ(w_i×s_i)÷Σ(w_i)</x:v>
      </x:c>
      <x:c r="E17" s="148" t="str">
        <x:v>20%</x:v>
      </x:c>
      <x:c r="F17" s="148" t="str">
        <x:v>0.20×EDI_MGT</x:v>
      </x:c>
      <x:c r="G17" s="148" t="str">
        <x:v>設備台帳、更新計画、重要度分類、責任体制</x:v>
      </x:c>
      <x:c r="H17" s="226" t="str">
        <x:v>DRIと一部重複するが、EDIでは管理状態として評価</x:v>
      </x:c>
    </x:row>
    <x:row r="18">
      <x:c r="A18" s="227" t="str">
        <x:v>EDI総合</x:v>
      </x:c>
      <x:c r="B18" s="228" t="str">
        <x:v>EDI</x:v>
      </x:c>
      <x:c r="C18" s="228" t="str">
        <x:v>上記4サブ指標</x:v>
      </x:c>
      <x:c r="D18" s="228" t="str">
        <x:v>EDI = 0.40×EDI_EQP + 0.20×EDI_ENE + 0.20×EDI_BLD + 0.20×EDI_MGT</x:v>
      </x:c>
      <x:c r="E18" s="228" t="str">
        <x:v>100%</x:v>
      </x:c>
      <x:c r="F18" s="228" t="str">
        <x:v>0～100</x:v>
      </x:c>
      <x:c r="G18" s="228" t="str">
        <x:v>高いほど状態・管理が良好</x:v>
      </x:c>
      <x:c r="H18" s="229" t="str">
        <x:v>Guardrail発動時も点数は独立表示</x:v>
      </x:c>
    </x:row>
    <x:row r="21">
      <x:c r="A21" s="187" t="str">
        <x:v>3. DRI 正式算定式（判断できるかを診る）</x:v>
      </x:c>
      <x:c r="B21" s="188"/>
      <x:c r="C21" s="188"/>
      <x:c r="D21" s="188"/>
      <x:c r="E21" s="188"/>
      <x:c r="F21" s="188"/>
      <x:c r="G21" s="188"/>
      <x:c r="H21" s="188"/>
      <x:c r="I21" s="188"/>
      <x:c r="J21" s="188"/>
      <x:c r="K21" s="188"/>
      <x:c r="L21" s="188"/>
      <x:c r="M21" s="188"/>
      <x:c r="N21" s="189"/>
    </x:row>
    <x:row r="22" ht="38" customHeight="1">
      <x:c r="A22" s="201" t="str">
        <x:v>DRIサブ指標</x:v>
      </x:c>
      <x:c r="B22" s="202" t="str">
        <x:v>記号</x:v>
      </x:c>
      <x:c r="C22" s="202" t="str">
        <x:v>構成質問</x:v>
      </x:c>
      <x:c r="D22" s="202" t="str">
        <x:v>サブ指標内加重平均</x:v>
      </x:c>
      <x:c r="E22" s="202" t="str">
        <x:v>DRI内ウェイト</x:v>
      </x:c>
      <x:c r="F22" s="202" t="str">
        <x:v>正式寄与</x:v>
      </x:c>
      <x:c r="G22" s="202" t="str">
        <x:v>評価上の意味</x:v>
      </x:c>
      <x:c r="H22" s="203" t="str">
        <x:v>備考</x:v>
      </x:c>
    </x:row>
    <x:row r="23">
      <x:c r="A23" s="222" t="str">
        <x:v>設備・資料情報</x:v>
      </x:c>
      <x:c r="B23" s="223" t="str">
        <x:v>DRI_INFO</x:v>
      </x:c>
      <x:c r="C23" s="223" t="str">
        <x:v>Q105,Q201,Q206,Q208,Q221～Q223,Q245,Q261,Q301～Q303</x:v>
      </x:c>
      <x:c r="D23" s="223" t="str">
        <x:v>Σ(w_i×s_i)÷Σ(w_i)</x:v>
      </x:c>
      <x:c r="E23" s="223" t="str">
        <x:v>30%</x:v>
      </x:c>
      <x:c r="F23" s="223" t="str">
        <x:v>0.30×DRI_INFO</x:v>
      </x:c>
      <x:c r="G23" s="223" t="str">
        <x:v>型式、図面、台帳、履歴、点検、計測情報</x:v>
      </x:c>
      <x:c r="H23" s="224" t="str"/>
    </x:row>
    <x:row r="24">
      <x:c r="A24" s="225" t="str">
        <x:v>技術・工事条件</x:v>
      </x:c>
      <x:c r="B24" s="148" t="str">
        <x:v>DRI_TECH</x:v>
      </x:c>
      <x:c r="C24" s="148" t="str">
        <x:v>Q107,Q109,Q110,Q207,Q263,Q304,Q305,Q311</x:v>
      </x:c>
      <x:c r="D24" s="148" t="str">
        <x:v>Σ(w_i×s_i)÷Σ(w_i)</x:v>
      </x:c>
      <x:c r="E24" s="148" t="str">
        <x:v>25%</x:v>
      </x:c>
      <x:c r="F24" s="148" t="str">
        <x:v>0.25×DRI_TECH</x:v>
      </x:c>
      <x:c r="G24" s="148" t="str">
        <x:v>対象範囲、停止条件、代替性、メーカー確認</x:v>
      </x:c>
      <x:c r="H24" s="226" t="str"/>
    </x:row>
    <x:row r="25">
      <x:c r="A25" s="225" t="str">
        <x:v>費用・効果</x:v>
      </x:c>
      <x:c r="B25" s="148" t="str">
        <x:v>DRI_FIN</x:v>
      </x:c>
      <x:c r="C25" s="148" t="str">
        <x:v>Q224,Q306～Q308,Q312,Q402,Q406</x:v>
      </x:c>
      <x:c r="D25" s="148" t="str">
        <x:v>Σ(w_i×s_i)÷Σ(w_i)</x:v>
      </x:c>
      <x:c r="E25" s="148" t="str">
        <x:v>20%</x:v>
      </x:c>
      <x:c r="F25" s="148" t="str">
        <x:v>0.20×DRI_FIN</x:v>
      </x:c>
      <x:c r="G25" s="148" t="str">
        <x:v>予算、見積、費用比較、効果試算</x:v>
      </x:c>
      <x:c r="H25" s="226" t="str">
        <x:v>Q406は効果見込みの根拠整備度として評価</x:v>
      </x:c>
    </x:row>
    <x:row r="26">
      <x:c r="A26" s="225" t="str">
        <x:v>意思決定体制</x:v>
      </x:c>
      <x:c r="B26" s="148" t="str">
        <x:v>DRI_GOV</x:v>
      </x:c>
      <x:c r="C26" s="148" t="str">
        <x:v>Q004,Q262,Q264,Q309,Q310,Q407,Q409</x:v>
      </x:c>
      <x:c r="D26" s="148" t="str">
        <x:v>Σ(w_i×s_i)÷Σ(w_i)</x:v>
      </x:c>
      <x:c r="E26" s="148" t="str">
        <x:v>15%</x:v>
      </x:c>
      <x:c r="F26" s="148" t="str">
        <x:v>0.15×DRI_GOV</x:v>
      </x:c>
      <x:c r="G26" s="148" t="str">
        <x:v>責任者、部門合意、更新計画、予算日程との連携</x:v>
      </x:c>
      <x:c r="H26" s="226" t="str">
        <x:v>Q004は回答者権限補正として低ウェイト</x:v>
      </x:c>
    </x:row>
    <x:row r="27">
      <x:c r="A27" s="225" t="str">
        <x:v>実行準備</x:v>
      </x:c>
      <x:c r="B27" s="148" t="str">
        <x:v>DRI_READY</x:v>
      </x:c>
      <x:c r="C27" s="148" t="str">
        <x:v>Q104,Q108,Q111,Q305,Q401,Q405,Q408</x:v>
      </x:c>
      <x:c r="D27" s="148" t="str">
        <x:v>Σ(w_i×s_i)÷Σ(w_i)</x:v>
      </x:c>
      <x:c r="E27" s="148" t="str">
        <x:v>10%</x:v>
      </x:c>
      <x:c r="F27" s="148" t="str">
        <x:v>0.10×DRI_READY</x:v>
      </x:c>
      <x:c r="G27" s="148" t="str">
        <x:v>期限、外部要求、実施機会に対する準備度</x:v>
      </x:c>
      <x:c r="H27" s="226" t="str">
        <x:v>緊急性自体はEPI、DRIでは準備度として評価</x:v>
      </x:c>
    </x:row>
    <x:row r="28">
      <x:c r="A28" s="227" t="str">
        <x:v>DRI総合</x:v>
      </x:c>
      <x:c r="B28" s="228" t="str">
        <x:v>DRI</x:v>
      </x:c>
      <x:c r="C28" s="228" t="str">
        <x:v>上記5サブ指標</x:v>
      </x:c>
      <x:c r="D28" s="228" t="str">
        <x:v>DRI = 0.30×DRI_INFO + 0.25×DRI_TECH + 0.20×DRI_FIN + 0.15×DRI_GOV + 0.10×DRI_READY</x:v>
      </x:c>
      <x:c r="E28" s="228" t="str">
        <x:v>100%</x:v>
      </x:c>
      <x:c r="F28" s="228" t="str">
        <x:v>0～100</x:v>
      </x:c>
      <x:c r="G28" s="228" t="str">
        <x:v>高いほど意思決定に必要な材料が整っている</x:v>
      </x:c>
      <x:c r="H28" s="229" t="str"/>
    </x:row>
    <x:row r="31">
      <x:c r="A31" s="187" t="str">
        <x:v>4. EPI 正式算定式（いつ動くべきかを診る）</x:v>
      </x:c>
      <x:c r="B31" s="188"/>
      <x:c r="C31" s="188"/>
      <x:c r="D31" s="188"/>
      <x:c r="E31" s="188"/>
      <x:c r="F31" s="188"/>
      <x:c r="G31" s="188"/>
      <x:c r="H31" s="188"/>
      <x:c r="I31" s="188"/>
      <x:c r="J31" s="188"/>
      <x:c r="K31" s="188"/>
      <x:c r="L31" s="188"/>
      <x:c r="M31" s="188"/>
      <x:c r="N31" s="189"/>
    </x:row>
    <x:row r="32" ht="38" customHeight="1">
      <x:c r="A32" s="201" t="str">
        <x:v>EPIサブ指標</x:v>
      </x:c>
      <x:c r="B32" s="202" t="str">
        <x:v>記号</x:v>
      </x:c>
      <x:c r="C32" s="202" t="str">
        <x:v>構成質問</x:v>
      </x:c>
      <x:c r="D32" s="202" t="str">
        <x:v>正規化方法</x:v>
      </x:c>
      <x:c r="E32" s="202" t="str">
        <x:v>EPI内ウェイト</x:v>
      </x:c>
      <x:c r="F32" s="202" t="str">
        <x:v>正式寄与</x:v>
      </x:c>
      <x:c r="G32" s="202" t="str">
        <x:v>評価上の意味</x:v>
      </x:c>
      <x:c r="H32" s="203" t="str">
        <x:v>備考</x:v>
      </x:c>
    </x:row>
    <x:row r="33">
      <x:c r="A33" s="222" t="str">
        <x:v>緊急性</x:v>
      </x:c>
      <x:c r="B33" s="223" t="str">
        <x:v>EPI_URG</x:v>
      </x:c>
      <x:c r="C33" s="223" t="str">
        <x:v>Q101,Q103,Q104,Q111,Q401,Q407,Q408</x:v>
      </x:c>
      <x:c r="D33" s="223" t="str">
        <x:v>優先度が高い回答ほど100点に近づく</x:v>
      </x:c>
      <x:c r="E33" s="223" t="str">
        <x:v>30%</x:v>
      </x:c>
      <x:c r="F33" s="223" t="str">
        <x:v>0.30×EPI_URG</x:v>
      </x:c>
      <x:c r="G33" s="223" t="str">
        <x:v>安全、法令、期限、外部要求</x:v>
      </x:c>
      <x:c r="H33" s="224" t="str"/>
    </x:row>
    <x:row r="34">
      <x:c r="A34" s="225" t="str">
        <x:v>事業影響</x:v>
      </x:c>
      <x:c r="B34" s="148" t="str">
        <x:v>EPI_IMP</x:v>
      </x:c>
      <x:c r="C34" s="148" t="str">
        <x:v>Q102,Q108,Q109,Q110,Q112,Q207,Q402</x:v>
      </x:c>
      <x:c r="D34" s="148" t="str">
        <x:v>影響大・代替なし・復旧不明ほど高得点</x:v>
      </x:c>
      <x:c r="E34" s="148" t="str">
        <x:v>25%</x:v>
      </x:c>
      <x:c r="F34" s="148" t="str">
        <x:v>0.25×EPI_IMP</x:v>
      </x:c>
      <x:c r="G34" s="148" t="str">
        <x:v>停止影響、安全・品質影響、代替性</x:v>
      </x:c>
      <x:c r="H34" s="226" t="str">
        <x:v>EDI/DRIと方向が異なる質問はEPI用に反転</x:v>
      </x:c>
    </x:row>
    <x:row r="35">
      <x:c r="A35" s="225" t="str">
        <x:v>故障・供給リスク</x:v>
      </x:c>
      <x:c r="B35" s="148" t="str">
        <x:v>EPI_RISK</x:v>
      </x:c>
      <x:c r="C35" s="148" t="str">
        <x:v>Q106,Q107,Q203,Q205,Q403,Q404</x:v>
      </x:c>
      <x:c r="D35" s="148" t="str">
        <x:v>リスク大ほど高得点</x:v>
      </x:c>
      <x:c r="E35" s="148" t="str">
        <x:v>25%</x:v>
      </x:c>
      <x:c r="F35" s="148" t="str">
        <x:v>0.25×EPI_RISK</x:v>
      </x:c>
      <x:c r="G35" s="148" t="str">
        <x:v>EOL、予備品、故障傾向、供給リスク</x:v>
      </x:c>
      <x:c r="H35" s="226" t="str"/>
    </x:row>
    <x:row r="36">
      <x:c r="A36" s="225" t="str">
        <x:v>実施機会・投資効果</x:v>
      </x:c>
      <x:c r="B36" s="148" t="str">
        <x:v>EPI_OPP</x:v>
      </x:c>
      <x:c r="C36" s="148" t="str">
        <x:v>Q224,Q305,Q405,Q406,Q409</x:v>
      </x:c>
      <x:c r="D36" s="148" t="str">
        <x:v>好機・効果が大きいほど高得点</x:v>
      </x:c>
      <x:c r="E36" s="148" t="str">
        <x:v>20%</x:v>
      </x:c>
      <x:c r="F36" s="148" t="str">
        <x:v>0.20×EPI_OPP</x:v>
      </x:c>
      <x:c r="G36" s="148" t="str">
        <x:v>定修、予算、事業計画、省エネ機会</x:v>
      </x:c>
      <x:c r="H36" s="226" t="str"/>
    </x:row>
    <x:row r="37">
      <x:c r="A37" s="225" t="str">
        <x:v>EPI基礎点</x:v>
      </x:c>
      <x:c r="B37" s="148" t="str">
        <x:v>EPI_BASE</x:v>
      </x:c>
      <x:c r="C37" s="148" t="str">
        <x:v>上記4サブ指標</x:v>
      </x:c>
      <x:c r="D37" s="148" t="str">
        <x:v>EPI_BASE = 0.30×EPI_URG + 0.25×EPI_IMP + 0.25×EPI_RISK + 0.20×EPI_OPP</x:v>
      </x:c>
      <x:c r="E37" s="148" t="str">
        <x:v>100%</x:v>
      </x:c>
      <x:c r="F37" s="148" t="str">
        <x:v>0～100</x:v>
      </x:c>
      <x:c r="G37" s="148" t="str">
        <x:v>高いほど早期対応が望ましい</x:v>
      </x:c>
      <x:c r="H37" s="226" t="str"/>
    </x:row>
    <x:row r="38">
      <x:c r="A38" s="227" t="str">
        <x:v>期限補正</x:v>
      </x:c>
      <x:c r="B38" s="228" t="str">
        <x:v>EPI_BONUS</x:v>
      </x:c>
      <x:c r="C38" s="228" t="str">
        <x:v>Q111,Q401,Q407,Q408</x:v>
      </x:c>
      <x:c r="D38" s="228" t="str">
        <x:v>3か月以内または重大外部要求:+10、1年以内:+5、その他:0</x:v>
      </x:c>
      <x:c r="E38" s="228" t="str">
        <x:v>加算</x:v>
      </x:c>
      <x:c r="F38" s="228" t="str">
        <x:v>EPI = MIN(100,EPI_BASE+EPI_BONUS)</x:v>
      </x:c>
      <x:c r="G38" s="228" t="str">
        <x:v>具体的期限を優先度へ反映</x:v>
      </x:c>
      <x:c r="H38" s="229" t="str">
        <x:v>Guardrailとは別に数値へ反映</x:v>
      </x:c>
    </x:row>
    <x:row r="41">
      <x:c r="A41" s="187" t="str">
        <x:v>5. 評価帯（正式）</x:v>
      </x:c>
      <x:c r="B41" s="188"/>
      <x:c r="C41" s="188"/>
      <x:c r="D41" s="188"/>
      <x:c r="E41" s="188"/>
      <x:c r="F41" s="188"/>
      <x:c r="G41" s="188"/>
      <x:c r="H41" s="188"/>
      <x:c r="I41" s="188"/>
      <x:c r="J41" s="188"/>
      <x:c r="K41" s="188"/>
      <x:c r="L41" s="188"/>
      <x:c r="M41" s="188"/>
      <x:c r="N41" s="189"/>
    </x:row>
    <x:row r="42" ht="38" customHeight="1">
      <x:c r="A42" s="201" t="str">
        <x:v>指標</x:v>
      </x:c>
      <x:c r="B42" s="202" t="str">
        <x:v>点数帯</x:v>
      </x:c>
      <x:c r="C42" s="202" t="str">
        <x:v>評価ラベル</x:v>
      </x:c>
      <x:c r="D42" s="202" t="str">
        <x:v>レポート表示</x:v>
      </x:c>
      <x:c r="E42" s="202" t="str">
        <x:v>基本解釈</x:v>
      </x:c>
      <x:c r="F42" s="203" t="str">
        <x:v>推奨する表示上の注意</x:v>
      </x:c>
    </x:row>
    <x:row r="43">
      <x:c r="A43" s="222" t="str">
        <x:v>EDI</x:v>
      </x:c>
      <x:c r="B43" s="223" t="str">
        <x:v>80～100</x:v>
      </x:c>
      <x:c r="C43" s="223" t="str">
        <x:v>良好</x:v>
      </x:c>
      <x:c r="D43" s="223" t="str">
        <x:v>良好</x:v>
      </x:c>
      <x:c r="E43" s="223" t="str">
        <x:v>状態・管理は概ね良好。個別課題とGuardrailは別途確認。</x:v>
      </x:c>
      <x:c r="F43" s="224" t="str">
        <x:v>『問題なし』とは表現しない</x:v>
      </x:c>
    </x:row>
    <x:row r="44">
      <x:c r="A44" s="225" t="str">
        <x:v>EDI</x:v>
      </x:c>
      <x:c r="B44" s="148" t="str">
        <x:v>65～79</x:v>
      </x:c>
      <x:c r="C44" s="148" t="str">
        <x:v>概ね良好</x:v>
      </x:c>
      <x:c r="D44" s="148" t="str">
        <x:v>概ね良好</x:v>
      </x:c>
      <x:c r="E44" s="148" t="str">
        <x:v>一部に改善余地または確認事項あり。</x:v>
      </x:c>
      <x:c r="F44" s="226" t="str">
        <x:v>優先課題を併記</x:v>
      </x:c>
    </x:row>
    <x:row r="45">
      <x:c r="A45" s="225" t="str">
        <x:v>EDI</x:v>
      </x:c>
      <x:c r="B45" s="148" t="str">
        <x:v>50～64</x:v>
      </x:c>
      <x:c r="C45" s="148" t="str">
        <x:v>注意</x:v>
      </x:c>
      <x:c r="D45" s="148" t="str">
        <x:v>注意</x:v>
      </x:c>
      <x:c r="E45" s="148" t="str">
        <x:v>複数領域で劣化・管理不足が見られる。</x:v>
      </x:c>
      <x:c r="F45" s="226" t="str">
        <x:v>TOP5と連動</x:v>
      </x:c>
    </x:row>
    <x:row r="46">
      <x:c r="A46" s="225" t="str">
        <x:v>EDI</x:v>
      </x:c>
      <x:c r="B46" s="148" t="str">
        <x:v>35～49</x:v>
      </x:c>
      <x:c r="C46" s="148" t="str">
        <x:v>要改善</x:v>
      </x:c>
      <x:c r="D46" s="148" t="str">
        <x:v>要改善</x:v>
      </x:c>
      <x:c r="E46" s="148" t="str">
        <x:v>状態または管理に明確な弱点がある。</x:v>
      </x:c>
      <x:c r="F46" s="226" t="str">
        <x:v>改善計画を推奨</x:v>
      </x:c>
    </x:row>
    <x:row r="47">
      <x:c r="A47" s="225" t="str">
        <x:v>EDI</x:v>
      </x:c>
      <x:c r="B47" s="148" t="str">
        <x:v>0～34</x:v>
      </x:c>
      <x:c r="C47" s="148" t="str">
        <x:v>要優先対応</x:v>
      </x:c>
      <x:c r="D47" s="148" t="str">
        <x:v>要優先対応</x:v>
      </x:c>
      <x:c r="E47" s="148" t="str">
        <x:v>重大な状態悪化または管理不備の可能性。</x:v>
      </x:c>
      <x:c r="F47" s="226" t="str">
        <x:v>Guardrail有無を必ず併記</x:v>
      </x:c>
    </x:row>
    <x:row r="48">
      <x:c r="A48" s="225" t="str">
        <x:v>DRI</x:v>
      </x:c>
      <x:c r="B48" s="148" t="str">
        <x:v>80～100</x:v>
      </x:c>
      <x:c r="C48" s="148" t="str">
        <x:v>判断可能</x:v>
      </x:c>
      <x:c r="D48" s="148" t="str">
        <x:v>判断可能</x:v>
      </x:c>
      <x:c r="E48" s="148" t="str">
        <x:v>主要な意思決定材料が揃っている。</x:v>
      </x:c>
      <x:c r="F48" s="226" t="str">
        <x:v>最終確認事項を表示</x:v>
      </x:c>
    </x:row>
    <x:row r="49">
      <x:c r="A49" s="225" t="str">
        <x:v>DRI</x:v>
      </x:c>
      <x:c r="B49" s="148" t="str">
        <x:v>65～79</x:v>
      </x:c>
      <x:c r="C49" s="148" t="str">
        <x:v>概ね判断可能</x:v>
      </x:c>
      <x:c r="D49" s="148" t="str">
        <x:v>概ね判断可能</x:v>
      </x:c>
      <x:c r="E49" s="148" t="str">
        <x:v>一部追加確認で判断可能。</x:v>
      </x:c>
      <x:c r="F49" s="226" t="str">
        <x:v>不足情報を最大3件表示</x:v>
      </x:c>
    </x:row>
    <x:row r="50">
      <x:c r="A50" s="225" t="str">
        <x:v>DRI</x:v>
      </x:c>
      <x:c r="B50" s="148" t="str">
        <x:v>50～64</x:v>
      </x:c>
      <x:c r="C50" s="148" t="str">
        <x:v>判断準備中</x:v>
      </x:c>
      <x:c r="D50" s="148" t="str">
        <x:v>判断準備中</x:v>
      </x:c>
      <x:c r="E50" s="148" t="str">
        <x:v>重要情報または社内条件が一部不足。</x:v>
      </x:c>
      <x:c r="F50" s="226" t="str">
        <x:v>次に揃える資料を表示</x:v>
      </x:c>
    </x:row>
    <x:row r="51">
      <x:c r="A51" s="225" t="str">
        <x:v>DRI</x:v>
      </x:c>
      <x:c r="B51" s="148" t="str">
        <x:v>35～49</x:v>
      </x:c>
      <x:c r="C51" s="148" t="str">
        <x:v>判断困難</x:v>
      </x:c>
      <x:c r="D51" s="148" t="str">
        <x:v>判断困難</x:v>
      </x:c>
      <x:c r="E51" s="148" t="str">
        <x:v>複数の重要情報が不足。</x:v>
      </x:c>
      <x:c r="F51" s="226" t="str">
        <x:v>投資判断の断定を避ける</x:v>
      </x:c>
    </x:row>
    <x:row r="52">
      <x:c r="A52" s="225" t="str">
        <x:v>DRI</x:v>
      </x:c>
      <x:c r="B52" s="148" t="str">
        <x:v>0～34</x:v>
      </x:c>
      <x:c r="C52" s="148" t="str">
        <x:v>判断保留</x:v>
      </x:c>
      <x:c r="D52" s="148" t="str">
        <x:v>判断保留</x:v>
      </x:c>
      <x:c r="E52" s="148" t="str">
        <x:v>現時点では根拠ある判断が困難。</x:v>
      </x:c>
      <x:c r="F52" s="226" t="str">
        <x:v>正式診断・資料整備へ誘導</x:v>
      </x:c>
    </x:row>
    <x:row r="53">
      <x:c r="A53" s="225" t="str">
        <x:v>EPI</x:v>
      </x:c>
      <x:c r="B53" s="148" t="str">
        <x:v>80～100</x:v>
      </x:c>
      <x:c r="C53" s="148" t="str">
        <x:v>最優先</x:v>
      </x:c>
      <x:c r="D53" s="148" t="str">
        <x:v>最優先</x:v>
      </x:c>
      <x:c r="E53" s="148" t="str">
        <x:v>直ちに着手または3か月以内の判断が望ましい。</x:v>
      </x:c>
      <x:c r="F53" s="226" t="str">
        <x:v>Guardrailと期限を強調</x:v>
      </x:c>
    </x:row>
    <x:row r="54">
      <x:c r="A54" s="225" t="str">
        <x:v>EPI</x:v>
      </x:c>
      <x:c r="B54" s="148" t="str">
        <x:v>65～79</x:v>
      </x:c>
      <x:c r="C54" s="148" t="str">
        <x:v>早期対応</x:v>
      </x:c>
      <x:c r="D54" s="148" t="str">
        <x:v>早期対応</x:v>
      </x:c>
      <x:c r="E54" s="148" t="str">
        <x:v>1年以内を目安に具体化が望ましい。</x:v>
      </x:c>
      <x:c r="F54" s="226" t="str">
        <x:v>ロードマップ上段へ</x:v>
      </x:c>
    </x:row>
    <x:row r="55">
      <x:c r="A55" s="225" t="str">
        <x:v>EPI</x:v>
      </x:c>
      <x:c r="B55" s="148" t="str">
        <x:v>50～64</x:v>
      </x:c>
      <x:c r="C55" s="148" t="str">
        <x:v>計画対応</x:v>
      </x:c>
      <x:c r="D55" s="148" t="str">
        <x:v>計画対応</x:v>
      </x:c>
      <x:c r="E55" s="148" t="str">
        <x:v>1～3年内の計画化が望ましい。</x:v>
      </x:c>
      <x:c r="F55" s="226" t="str">
        <x:v>予算・定修と連動</x:v>
      </x:c>
    </x:row>
    <x:row r="56">
      <x:c r="A56" s="225" t="str">
        <x:v>EPI</x:v>
      </x:c>
      <x:c r="B56" s="148" t="str">
        <x:v>35～49</x:v>
      </x:c>
      <x:c r="C56" s="148" t="str">
        <x:v>継続監視</x:v>
      </x:c>
      <x:c r="D56" s="148" t="str">
        <x:v>継続監視</x:v>
      </x:c>
      <x:c r="E56" s="148" t="str">
        <x:v>現状維持しつつ情報更新・監視。</x:v>
      </x:c>
      <x:c r="F56" s="226" t="str">
        <x:v>監視条件を表示</x:v>
      </x:c>
    </x:row>
    <x:row r="57">
      <x:c r="A57" s="227" t="str">
        <x:v>EPI</x:v>
      </x:c>
      <x:c r="B57" s="228" t="str">
        <x:v>0～34</x:v>
      </x:c>
      <x:c r="C57" s="228" t="str">
        <x:v>低優先</x:v>
      </x:c>
      <x:c r="D57" s="228" t="str">
        <x:v>低優先</x:v>
      </x:c>
      <x:c r="E57" s="228" t="str">
        <x:v>現時点での優先度は低い。</x:v>
      </x:c>
      <x:c r="F57" s="229" t="str">
        <x:v>『不要』とは表現しない</x:v>
      </x:c>
    </x:row>
    <x:row r="60">
      <x:c r="A60" s="187" t="str">
        <x:v>6. Decision Guardrail 表示順位（正式）</x:v>
      </x:c>
      <x:c r="B60" s="188"/>
      <x:c r="C60" s="188"/>
      <x:c r="D60" s="188"/>
      <x:c r="E60" s="188"/>
      <x:c r="F60" s="188"/>
      <x:c r="G60" s="188"/>
      <x:c r="H60" s="188"/>
      <x:c r="I60" s="188"/>
      <x:c r="J60" s="188"/>
      <x:c r="K60" s="188"/>
      <x:c r="L60" s="188"/>
      <x:c r="M60" s="188"/>
      <x:c r="N60" s="189"/>
    </x:row>
    <x:row r="61" ht="38" customHeight="1">
      <x:c r="A61" s="201" t="str">
        <x:v>順位基準</x:v>
      </x:c>
      <x:c r="B61" s="202" t="str">
        <x:v>配点・順序</x:v>
      </x:c>
      <x:c r="C61" s="202" t="str">
        <x:v>判定方法</x:v>
      </x:c>
      <x:c r="D61" s="202" t="str">
        <x:v>同順位時の優先</x:v>
      </x:c>
      <x:c r="E61" s="202" t="str">
        <x:v>表示ルール</x:v>
      </x:c>
      <x:c r="F61" s="203" t="str">
        <x:v>備考</x:v>
      </x:c>
    </x:row>
    <x:row r="62">
      <x:c r="A62" s="222" t="str">
        <x:v>基礎順位</x:v>
      </x:c>
      <x:c r="B62" s="223" t="str">
        <x:v>安全・法令=600、品質・顧客要求=550、BCP=500、EOL=450、建屋安全=400、期限=350</x:v>
      </x:c>
      <x:c r="C62" s="223" t="str">
        <x:v>分類ごとに基礎順位点を付与</x:v>
      </x:c>
      <x:c r="D62" s="223" t="str">
        <x:v>分類の基礎順位点が高い方</x:v>
      </x:c>
      <x:c r="E62" s="223" t="str">
        <x:v>最大3件表示</x:v>
      </x:c>
      <x:c r="F62" s="224" t="str">
        <x:v>分類は点数に埋没させない</x:v>
      </x:c>
    </x:row>
    <x:row r="63">
      <x:c r="A63" s="225" t="str">
        <x:v>重大度加点</x:v>
      </x:c>
      <x:c r="B63" s="148" t="str">
        <x:v>S=+80、A=+50、B=+20、C=0</x:v>
      </x:c>
      <x:c r="C63" s="148" t="str">
        <x:v>04_Guardrail判定の優先度から加算</x:v>
      </x:c>
      <x:c r="D63" s="148" t="str">
        <x:v>Sを優先</x:v>
      </x:c>
      <x:c r="E63" s="148" t="str">
        <x:v>同一分類は最重大1件を主表示</x:v>
      </x:c>
      <x:c r="F63" s="226" t="str">
        <x:v>残件は詳細ページへ</x:v>
      </x:c>
    </x:row>
    <x:row r="64">
      <x:c r="A64" s="225" t="str">
        <x:v>期限加点</x:v>
      </x:c>
      <x:c r="B64" s="148" t="str">
        <x:v>3か月以内=+40、1年以内=+20、期限なし=0</x:v>
      </x:c>
      <x:c r="C64" s="148" t="str">
        <x:v>正式期限・自己申告どちらも対象</x:v>
      </x:c>
      <x:c r="D64" s="148" t="str">
        <x:v>短期限優先</x:v>
      </x:c>
      <x:c r="E64" s="148" t="str">
        <x:v>期限が重なる安全・法令は上位固定</x:v>
      </x:c>
      <x:c r="F64" s="226" t="str"/>
    </x:row>
    <x:row r="65">
      <x:c r="A65" s="225" t="str">
        <x:v>Evidence加点</x:v>
      </x:c>
      <x:c r="B65" s="148" t="str">
        <x:v>L3=+30、L2=+15、L1=0、L0=+60</x:v>
      </x:c>
      <x:c r="C65" s="148" t="str">
        <x:v>L0は矛盾のため最上位警告扱い</x:v>
      </x:c>
      <x:c r="D65" s="148" t="str">
        <x:v>L0優先</x:v>
      </x:c>
      <x:c r="E65" s="148" t="str">
        <x:v>L0は『判定停止』として別枠表示可</x:v>
      </x:c>
      <x:c r="F65" s="226" t="str">
        <x:v>L0加点は重要度ではなく確認要否</x:v>
      </x:c>
    </x:row>
    <x:row r="66">
      <x:c r="A66" s="225" t="str">
        <x:v>事業影響加点</x:v>
      </x:c>
      <x:c r="B66" s="148" t="str">
        <x:v>重大=+30、大=+20、限定=+10、なし=0</x:v>
      </x:c>
      <x:c r="C66" s="148" t="str">
        <x:v>Q108/Q112等から算定</x:v>
      </x:c>
      <x:c r="D66" s="148" t="str">
        <x:v>影響大を優先</x:v>
      </x:c>
      <x:c r="E66" s="148" t="str">
        <x:v>同順位時に使用</x:v>
      </x:c>
      <x:c r="F66" s="226" t="str"/>
    </x:row>
    <x:row r="67">
      <x:c r="A67" s="227" t="str">
        <x:v>最終順位</x:v>
      </x:c>
      <x:c r="B67" s="228" t="str">
        <x:v>Guardrail Priority Score = 基礎順位 + 重大度 + 期限 + Evidence + 事業影響</x:v>
      </x:c>
      <x:c r="C67" s="228" t="str">
        <x:v>降順に並べる</x:v>
      </x:c>
      <x:c r="D67" s="228" t="str">
        <x:v>①L0、②安全・法令、③短期限、④Evidence高、⑤事業影響大</x:v>
      </x:c>
      <x:c r="E67" s="228" t="str">
        <x:v>上位3件を1ページ目、残件を2ページ目</x:v>
      </x:c>
      <x:c r="F67" s="229" t="str"/>
    </x:row>
    <x:row r="70">
      <x:c r="A70" s="187" t="str">
        <x:v>7. 最重要課題TOP5 順位付けロジック（正式）</x:v>
      </x:c>
      <x:c r="B70" s="188"/>
      <x:c r="C70" s="188"/>
      <x:c r="D70" s="188"/>
      <x:c r="E70" s="188"/>
      <x:c r="F70" s="188"/>
      <x:c r="G70" s="188"/>
      <x:c r="H70" s="188"/>
      <x:c r="I70" s="188"/>
      <x:c r="J70" s="188"/>
      <x:c r="K70" s="188"/>
      <x:c r="L70" s="188"/>
      <x:c r="M70" s="188"/>
      <x:c r="N70" s="189"/>
    </x:row>
    <x:row r="71" ht="38" customHeight="1">
      <x:c r="A71" s="201" t="str">
        <x:v>要素</x:v>
      </x:c>
      <x:c r="B71" s="202" t="str">
        <x:v>記号</x:v>
      </x:c>
      <x:c r="C71" s="202" t="str">
        <x:v>0～100点の定義</x:v>
      </x:c>
      <x:c r="D71" s="202" t="str">
        <x:v>ウェイト</x:v>
      </x:c>
      <x:c r="E71" s="202" t="str">
        <x:v>計算上の扱い</x:v>
      </x:c>
      <x:c r="F71" s="203" t="str">
        <x:v>備考</x:v>
      </x:c>
    </x:row>
    <x:row r="72">
      <x:c r="A72" s="222" t="str">
        <x:v>影響度</x:v>
      </x:c>
      <x:c r="B72" s="223" t="str">
        <x:v>I</x:v>
      </x:c>
      <x:c r="C72" s="223" t="str">
        <x:v>人身・品質・事業停止・費用影響。重大=100、大=75、限定=40、軽微=15、なし=0</x:v>
      </x:c>
      <x:c r="D72" s="223" t="str">
        <x:v>30%</x:v>
      </x:c>
      <x:c r="E72" s="223" t="str">
        <x:v>0.30×I</x:v>
      </x:c>
      <x:c r="F72" s="224" t="str"/>
    </x:row>
    <x:row r="73">
      <x:c r="A73" s="225" t="str">
        <x:v>緊急度</x:v>
      </x:c>
      <x:c r="B73" s="148" t="str">
        <x:v>U</x:v>
      </x:c>
      <x:c r="C73" s="148" t="str">
        <x:v>3か月以内/即時=100、1年以内=75、1～3年=45、3年超=20、期限なし=0</x:v>
      </x:c>
      <x:c r="D73" s="148" t="str">
        <x:v>25%</x:v>
      </x:c>
      <x:c r="E73" s="148" t="str">
        <x:v>0.25×U</x:v>
      </x:c>
      <x:c r="F73" s="226" t="str"/>
    </x:row>
    <x:row r="74">
      <x:c r="A74" s="225" t="str">
        <x:v>発生可能性・状態悪化</x:v>
      </x:c>
      <x:c r="B74" s="148" t="str">
        <x:v>P</x:v>
      </x:c>
      <x:c r="C74" s="148" t="str">
        <x:v>異常継続/重大指摘=100、故障増加/高リスク=75、注意=40、低=15</x:v>
      </x:c>
      <x:c r="D74" s="148" t="str">
        <x:v>20%</x:v>
      </x:c>
      <x:c r="E74" s="148" t="str">
        <x:v>0.20×P</x:v>
      </x:c>
      <x:c r="F74" s="226" t="str"/>
    </x:row>
    <x:row r="75">
      <x:c r="A75" s="225" t="str">
        <x:v>判断準備度補正</x:v>
      </x:c>
      <x:c r="B75" s="148" t="str">
        <x:v>R</x:v>
      </x:c>
      <x:c r="C75" s="148" t="str">
        <x:v>DRIが高いほど着手しやすい。DRI≥80:100、65～79:80、50～64:55、35～49:30、&lt;35:10</x:v>
      </x:c>
      <x:c r="D75" s="148" t="str">
        <x:v>10%</x:v>
      </x:c>
      <x:c r="E75" s="148" t="str">
        <x:v>0.10×R</x:v>
      </x:c>
      <x:c r="F75" s="226" t="str">
        <x:v>DRIが低い課題は『資料整備』を別課題として抽出</x:v>
      </x:c>
    </x:row>
    <x:row r="76">
      <x:c r="A76" s="225" t="str">
        <x:v>Evidence確度</x:v>
      </x:c>
      <x:c r="B76" s="148" t="str">
        <x:v>C</x:v>
      </x:c>
      <x:c r="C76" s="148" t="str">
        <x:v>L3=100、L2=70、L1=35、L0=0</x:v>
      </x:c>
      <x:c r="D76" s="148" t="str">
        <x:v>10%</x:v>
      </x:c>
      <x:c r="E76" s="148" t="str">
        <x:v>0.10×C</x:v>
      </x:c>
      <x:c r="F76" s="226" t="str">
        <x:v>L0は通常順位から除外し、整合性警告へ</x:v>
      </x:c>
    </x:row>
    <x:row r="77">
      <x:c r="A77" s="225" t="str">
        <x:v>実施機会・効果</x:v>
      </x:c>
      <x:c r="B77" s="148" t="str">
        <x:v>O</x:v>
      </x:c>
      <x:c r="C77" s="148" t="str">
        <x:v>定修/予算/大きな効果あり=100、一部あり=60、なし=20</x:v>
      </x:c>
      <x:c r="D77" s="148" t="str">
        <x:v>5%</x:v>
      </x:c>
      <x:c r="E77" s="148" t="str">
        <x:v>0.05×O</x:v>
      </x:c>
      <x:c r="F77" s="226" t="str"/>
    </x:row>
    <x:row r="78">
      <x:c r="A78" s="225" t="str">
        <x:v>基礎点</x:v>
      </x:c>
      <x:c r="B78" s="148" t="str">
        <x:v>TOP_BASE</x:v>
      </x:c>
      <x:c r="C78" s="148" t="str">
        <x:v>TOP_BASE = 0.30I + 0.25U + 0.20P + 0.10R + 0.10C + 0.05O</x:v>
      </x:c>
      <x:c r="D78" s="148" t="str">
        <x:v>100%</x:v>
      </x:c>
      <x:c r="E78" s="148" t="str">
        <x:v>0～100</x:v>
      </x:c>
      <x:c r="F78" s="226" t="str"/>
    </x:row>
    <x:row r="79">
      <x:c r="A79" s="225" t="str">
        <x:v>Guardrail加算</x:v>
      </x:c>
      <x:c r="B79" s="148" t="str">
        <x:v>G</x:v>
      </x:c>
      <x:c r="C79" s="148" t="str">
        <x:v>S該当=+20、A=+12、B=+5、なし=0</x:v>
      </x:c>
      <x:c r="D79" s="148" t="str">
        <x:v>加算</x:v>
      </x:c>
      <x:c r="E79" s="148" t="str">
        <x:v>TOP_SCORE = MIN(100,TOP_BASE+G)</x:v>
      </x:c>
      <x:c r="F79" s="226" t="str">
        <x:v>Guardrail項目はTOP5にも反映</x:v>
      </x:c>
    </x:row>
    <x:row r="80">
      <x:c r="A80" s="227" t="str">
        <x:v>情報不足課題</x:v>
      </x:c>
      <x:c r="B80" s="228" t="str">
        <x:v>MISS</x:v>
      </x:c>
      <x:c r="C80" s="228" t="str">
        <x:v>重要情報不足が事業判断を妨げる場合、専用課題として算定。重要度: S=80,A=65,B=50,C=35</x:v>
      </x:c>
      <x:c r="D80" s="228" t="str">
        <x:v>別枠</x:v>
      </x:c>
      <x:c r="E80" s="228" t="str">
        <x:v>最大2件までTOP5候補</x:v>
      </x:c>
      <x:c r="F80" s="229" t="str">
        <x:v>状態課題と情報不足課題を混同しない</x:v>
      </x:c>
    </x:row>
    <x:row r="82">
      <x:c r="A82" s="187" t="str">
        <x:v>8. TOP5選定・重複排除ルール</x:v>
      </x:c>
      <x:c r="B82" s="188"/>
      <x:c r="C82" s="188"/>
      <x:c r="D82" s="188"/>
      <x:c r="E82" s="188"/>
      <x:c r="F82" s="188"/>
      <x:c r="G82" s="188"/>
      <x:c r="H82" s="188"/>
      <x:c r="I82" s="188"/>
      <x:c r="J82" s="188"/>
      <x:c r="K82" s="188"/>
      <x:c r="L82" s="188"/>
      <x:c r="M82" s="188"/>
      <x:c r="N82" s="189"/>
    </x:row>
    <x:row r="83" ht="38" customHeight="1">
      <x:c r="A83" s="201" t="str">
        <x:v>ルールID</x:v>
      </x:c>
      <x:c r="B83" s="202" t="str">
        <x:v>正式ルール</x:v>
      </x:c>
      <x:c r="C83" s="203" t="str">
        <x:v>処理</x:v>
      </x:c>
    </x:row>
    <x:row r="84">
      <x:c r="A84" s="222" t="str">
        <x:v>TOP-R01</x:v>
      </x:c>
      <x:c r="B84" s="223" t="str">
        <x:v>L0矛盾は通常TOP5から除外し、整合性警告欄へ表示する。</x:v>
      </x:c>
      <x:c r="C84" s="224" t="str">
        <x:v>ただし意思決定を全面停止させる矛盾はGuardrailの最上位に表示</x:v>
      </x:c>
    </x:row>
    <x:row r="85">
      <x:c r="A85" s="225" t="str">
        <x:v>TOP-R02</x:v>
      </x:c>
      <x:c r="B85" s="148" t="str">
        <x:v>同一対象・同一原因の課題は統合する。</x:v>
      </x:c>
      <x:c r="C85" s="226" t="str">
        <x:v>例：保守終了＋予備品なし＋復旧長期化 → 『EOL・復旧リスク』として1件化</x:v>
      </x:c>
    </x:row>
    <x:row r="86">
      <x:c r="A86" s="225" t="str">
        <x:v>TOP-R03</x:v>
      </x:c>
      <x:c r="B86" s="148" t="str">
        <x:v>1ページ目TOP5は、原則として同一分野を最大2件までとする。</x:v>
      </x:c>
      <x:c r="C86" s="226" t="str">
        <x:v>設備課題だけで埋まることを防ぎ、全体判断を支援</x:v>
      </x:c>
    </x:row>
    <x:row r="87">
      <x:c r="A87" s="225" t="str">
        <x:v>TOP-R04</x:v>
      </x:c>
      <x:c r="B87" s="148" t="str">
        <x:v>ただし安全・法令Sランクは分野上限を適用しない。</x:v>
      </x:c>
      <x:c r="C87" s="226" t="str">
        <x:v>重大課題を必ず表示</x:v>
      </x:c>
    </x:row>
    <x:row r="88">
      <x:c r="A88" s="225" t="str">
        <x:v>TOP-R05</x:v>
      </x:c>
      <x:c r="B88" s="148" t="str">
        <x:v>情報不足課題は最大2件まで。</x:v>
      </x:c>
      <x:c r="C88" s="226" t="str">
        <x:v>状態課題と情報不足を分けて表示</x:v>
      </x:c>
    </x:row>
    <x:row r="89">
      <x:c r="A89" s="225" t="str">
        <x:v>TOP-R06</x:v>
      </x:c>
      <x:c r="B89" s="148" t="str">
        <x:v>TOP_SCOREが同点の場合、①Guardrail順位、②影響度、③緊急度、④Evidence確度、⑤対象設備重要度の順に決定。</x:v>
      </x:c>
      <x:c r="C89" s="226" t="str"/>
    </x:row>
    <x:row r="90">
      <x:c r="A90" s="225" t="str">
        <x:v>TOP-R07</x:v>
      </x:c>
      <x:c r="B90" s="148" t="str">
        <x:v>TOP_SCORE 80以上=S、65～79=A、50～64=B、35～49=C、35未満=詳細のみ。</x:v>
      </x:c>
      <x:c r="C90" s="226" t="str">
        <x:v>TOP5は原則B以上から選定</x:v>
      </x:c>
    </x:row>
    <x:row r="91">
      <x:c r="A91" s="227" t="str">
        <x:v>TOP-R08</x:v>
      </x:c>
      <x:c r="B91" s="228" t="str">
        <x:v>B以上が5件未満の場合、Cから補充する。Cも不足する場合は無理に5件表示せず、実件数を表示。</x:v>
      </x:c>
      <x:c r="C91" s="229" t="str">
        <x:v>『TOP5』は最大5件の意味</x:v>
      </x:c>
    </x:row>
    <x:row r="94">
      <x:c r="A94" s="2970" t="str">
        <x:v>9. 公開Web簡易診断の補足正式仕様（Version2.3）</x:v>
      </x:c>
      <x:c r="B94" s="2970"/>
      <x:c r="C94" s="2970"/>
      <x:c r="D94" s="2970"/>
      <x:c r="E94" s="2970"/>
      <x:c r="F94" s="2970"/>
      <x:c r="G94" s="2970"/>
      <x:c r="H94" s="2970"/>
      <x:c r="I94" s="2970"/>
    </x:row>
    <x:row r="95">
      <x:c r="A95" s="2976" t="str">
        <x:v>項目</x:v>
      </x:c>
      <x:c r="B95" s="2976" t="str">
        <x:v>正式方針</x:v>
      </x:c>
      <x:c r="C95" s="2976" t="str">
        <x:v>適用範囲</x:v>
      </x:c>
      <x:c r="D95" s="2976" t="str">
        <x:v>算定・表示</x:v>
      </x:c>
      <x:c r="E95" s="2976" t="str">
        <x:v>状態</x:v>
      </x:c>
      <x:c r="F95" s="2976" t="str">
        <x:v>根拠</x:v>
      </x:c>
      <x:c r="G95" s="2396"/>
      <x:c r="H95" s="2396"/>
      <x:c r="I95" s="2396"/>
    </x:row>
    <x:row r="96">
      <x:c r="A96" s="2364" t="str">
        <x:v>Unknown時KPI集約</x:v>
      </x:c>
      <x:c r="B96" s="2364" t="str">
        <x:v>Unknown項目を算定対象から除外し、残存ウェイトを100%へ再正規化</x:v>
      </x:c>
      <x:c r="C96" s="2364" t="str">
        <x:v>公開Web簡易KPI</x:v>
      </x:c>
      <x:c r="D96" s="2364" t="str">
        <x:v>KPIとは別に情報充足率を管理</x:v>
      </x:c>
      <x:c r="E96" s="2364" t="str">
        <x:v>正式採用</x:v>
      </x:c>
      <x:c r="F96" s="2364" t="str">
        <x:v>ED-DI-003 Approved Disposition</x:v>
      </x:c>
      <x:c r="G96" s="2396"/>
      <x:c r="H96" s="2396"/>
      <x:c r="I96" s="2396"/>
    </x:row>
    <x:row r="97">
      <x:c r="A97" s="2364" t="str">
        <x:v>情報充足率</x:v>
      </x:c>
      <x:c r="B97" s="2364" t="str">
        <x:v>回答済み有効ウェイト÷全対象ウェイトを基本とする</x:v>
      </x:c>
      <x:c r="C97" s="2364" t="str">
        <x:v>公開Web簡易KPI</x:v>
      </x:c>
      <x:c r="D97" s="2364" t="str">
        <x:v>最低閾値未満はINSUFFICIENT_DATA。具体閾値はPilot前に確定</x:v>
      </x:c>
      <x:c r="E97" s="2364" t="str">
        <x:v>閾値TBC</x:v>
      </x:c>
      <x:c r="F97" s="2364" t="str">
        <x:v>ED-DI-003 Approved Disposition</x:v>
      </x:c>
      <x:c r="G97" s="2396"/>
      <x:c r="H97" s="2396"/>
      <x:c r="I97" s="2396"/>
    </x:row>
    <x:row r="98">
      <x:c r="A98" s="2364" t="str">
        <x:v>全項目Unknown</x:v>
      </x:c>
      <x:c r="B98" s="2364" t="str">
        <x:v>例外ではなく正常系のdiagnosis_status = INSUFFICIENT_DATA</x:v>
      </x:c>
      <x:c r="C98" s="2364" t="str">
        <x:v>公開Web簡易診断</x:v>
      </x:c>
      <x:c r="D98" s="2364" t="str">
        <x:v>Web_EDI/Web_DRIはnull相当、Guardrail/Issue Candidate/TOP5は空。正式顧客文言はPilot前確定</x:v>
      </x:c>
      <x:c r="E98" s="2364" t="str">
        <x:v>正式方向／文言TBC</x:v>
      </x:c>
      <x:c r="F98" s="2364" t="str">
        <x:v>Corrective Patch 1.1 + ED-DI-003</x:v>
      </x:c>
      <x:c r="G98" s="2396"/>
      <x:c r="H98" s="2396"/>
      <x:c r="I98" s="2396"/>
    </x:row>
    <x:row r="99">
      <x:c r="A99" s="2364" t="str">
        <x:v>Web_EDI</x:v>
      </x:c>
      <x:c r="B99" s="2364" t="str">
        <x:v>設備40%／エネルギー20%／建屋20%／管理20%を維持</x:v>
      </x:c>
      <x:c r="C99" s="2364" t="str">
        <x:v>公開Web簡易KPI</x:v>
      </x:c>
      <x:c r="D99" s="2364" t="str">
        <x:v>事業所全体の総合状態を示す参考指数。Worst-domain penaltyは導入しない</x:v>
      </x:c>
      <x:c r="E99" s="2364" t="str">
        <x:v>正式採用</x:v>
      </x:c>
      <x:c r="F99" s="2364" t="str">
        <x:v>ED-DI-004 Approved Disposition</x:v>
      </x:c>
      <x:c r="G99" s="2396"/>
      <x:c r="H99" s="2396"/>
      <x:c r="I99" s="2396"/>
    </x:row>
    <x:row r="100">
      <x:c r="A100" s="2364" t="str">
        <x:v>分野別状態</x:v>
      </x:c>
      <x:c r="B100" s="2364" t="str">
        <x:v>Web_EDI単独ではなく4分野の状態を併記</x:v>
      </x:c>
      <x:c r="C100" s="2364" t="str">
        <x:v>公開Web顧客表示</x:v>
      </x:c>
      <x:c r="D100" s="2364" t="str">
        <x:v>重大弱点はGuardrail・要確認事項・TOP5で補完</x:v>
      </x:c>
      <x:c r="E100" s="2364" t="str">
        <x:v>正式方針</x:v>
      </x:c>
      <x:c r="F100" s="2364" t="str">
        <x:v>ED-DI-004 Approved Disposition</x:v>
      </x:c>
      <x:c r="G100" s="2396"/>
      <x:c r="H100" s="2396"/>
      <x:c r="I100" s="2396"/>
    </x:row>
    <x:row r="101">
      <x:c r="A101" s="2364" t="str">
        <x:v>Unknown時Issue可視化</x:v>
      </x:c>
      <x:c r="B101" s="2364" t="str">
        <x:v>UnknownをTOP5課題点数へ直接加算しない</x:v>
      </x:c>
      <x:c r="C101" s="2364" t="str">
        <x:v>Issue Candidate/TOP5</x:v>
      </x:c>
      <x:c r="D101" s="2364" t="str">
        <x:v>情報不足は『要確認事項』として別レイヤー表示</x:v>
      </x:c>
      <x:c r="E101" s="2364" t="str">
        <x:v>正式採用</x:v>
      </x:c>
      <x:c r="F101" s="2364" t="str">
        <x:v>ED-DI-005 Approved Disposition</x:v>
      </x:c>
      <x:c r="G101" s="2396"/>
      <x:c r="H101" s="2396"/>
      <x:c r="I101" s="2396"/>
    </x:row>
    <x:row r="102">
      <x:c r="A102" s="2364" t="str">
        <x:v>Guardrail対象Unknown</x:v>
      </x:c>
      <x:c r="B102" s="2364" t="str">
        <x:v>安全・法令・品質・BCP等は『Guardrail判定保留』として優先表示</x:v>
      </x:c>
      <x:c r="C102" s="2364" t="str">
        <x:v>Guardrail</x:v>
      </x:c>
      <x:c r="D102" s="2364" t="str">
        <x:v>表示階層：Guardrail → 要確認事項 → TOP5</x:v>
      </x:c>
      <x:c r="E102" s="2364" t="str">
        <x:v>正式採用</x:v>
      </x:c>
      <x:c r="F102" s="2364" t="str">
        <x:v>ED-DI-005 Approved Disposition</x:v>
      </x:c>
      <x:c r="G102" s="2396"/>
      <x:c r="H102" s="2396"/>
      <x:c r="I102" s="2396"/>
    </x:row>
    <x:row r="103">
      <x:c r="A103" s="2364" t="str">
        <x:v>WQ-Q Traceability</x:v>
      </x:c>
      <x:c r="B103" s="2364" t="str">
        <x:v>対応はDirect / Aggregated / Partial / N/A。根拠のない対応は推測しない</x:v>
      </x:c>
      <x:c r="C103" s="2364" t="str">
        <x:v>公開18問⇔正式Q</x:v>
      </x:c>
      <x:c r="D103" s="2364" t="str">
        <x:v>77_WQ-Q_Traceabilityを正とする。18問の対応はS社レビューで確定済み。公開WQ回答から正式Qの個別回答値は自動生成しない。</x:v>
      </x:c>
      <x:c r="E103" s="2364" t="str">
        <x:v>正式確定 / Implementation Pending</x:v>
      </x:c>
      <x:c r="F103" s="2364" t="str">
        <x:v>ED-DI-002 Approved Disposition</x:v>
      </x:c>
      <x:c r="G103" s="2396"/>
      <x:c r="H103" s="2396"/>
      <x:c r="I103" s="2396"/>
    </x:row>
  </x:sheetData>
  <x:mergeCells>
    <x:mergeCell ref="A1:N1"/>
    <x:mergeCell ref="A2:N2"/>
    <x:mergeCell ref="A4:N4"/>
    <x:mergeCell ref="A12:N12"/>
    <x:mergeCell ref="A21:N21"/>
    <x:mergeCell ref="A31:N31"/>
    <x:mergeCell ref="A41:N41"/>
    <x:mergeCell ref="A60:N60"/>
    <x:mergeCell ref="A70:N70"/>
    <x:mergeCell ref="A82:N82"/>
  </x:mergeCells>
  <x:conditionalFormatting sqref="B43:B57">
    <x:cfRule type="colorScale" priority="1">
      <x:colorScale>
        <x:cfvo type="min"/>
        <x:cfvo type="percentile" val="50"/>
        <x:cfvo type="max"/>
        <x:color rgb="FFF4CCCC"/>
        <x:color rgb="FFFFF2CC"/>
        <x:color rgb="FFD9EAD3"/>
      </x:colorScale>
    </x:cfRule>
  </x:conditionalFormatting>
  <x:pageMargins left="0.7" right="0.7" top="0.75" bottom="0.75" header="0.3" footer="0.3"/>
</x:worksheet>
</file>

<file path=xl/worksheets/sheet15.xml><?xml version="1.0" encoding="utf-8"?>
<x:worksheet xmlns:x="http://schemas.openxmlformats.org/spreadsheetml/2006/main">
  <x:sheetFormatPr defaultRowHeight="15"/>
  <x:cols>
    <x:col min="1" max="1" width="20" hidden="0" customWidth="1"/>
    <x:col min="2" max="2" width="16" hidden="0" customWidth="1"/>
    <x:col min="3" max="3" width="38" hidden="0" customWidth="1"/>
    <x:col min="4" max="4" width="42" hidden="0" customWidth="1"/>
    <x:col min="5" max="5" width="18" hidden="0" customWidth="1"/>
    <x:col min="6" max="6" width="24" hidden="0" customWidth="1"/>
    <x:col min="7" max="7" width="24" hidden="0" customWidth="1"/>
    <x:col min="8" max="8" width="30" hidden="0" customWidth="1"/>
    <x:col min="9" max="9" width="20" hidden="0" customWidth="1"/>
    <x:col min="10" max="10" width="20" hidden="0" customWidth="1"/>
    <x:col min="11" max="11" width="20" hidden="0" customWidth="1"/>
    <x:col min="12" max="12" width="20" hidden="0" customWidth="1"/>
    <x:col min="13" max="13" width="20" hidden="0" customWidth="1"/>
    <x:col min="14" max="14" width="20" hidden="0" customWidth="1"/>
  </x:cols>
  <x:sheetData>
    <x:row r="1" ht="28" customHeight="1">
      <x:c r="A1" s="258" t="str">
        <x:v>14_診断品質・文章生成</x:v>
      </x:c>
      <x:c r="B1" s="258"/>
      <x:c r="C1" s="258"/>
      <x:c r="D1" s="258"/>
      <x:c r="E1" s="258"/>
      <x:c r="F1" s="258"/>
      <x:c r="G1" s="258"/>
      <x:c r="H1" s="258"/>
      <x:c r="I1" s="258"/>
      <x:c r="J1" s="258"/>
      <x:c r="K1" s="258"/>
      <x:c r="L1" s="258"/>
      <x:c r="M1" s="258"/>
      <x:c r="N1" s="258"/>
    </x:row>
    <x:row r="2" ht="36" customHeight="1">
      <x:c r="A2" s="261" t="str">
        <x:v>診断信頼度・情報充足率の正式算定式、コメント選択順、AI整文ルール、A3レポートへの出力制御をVersion0.4として定義。</x:v>
      </x:c>
      <x:c r="B2" s="261"/>
      <x:c r="C2" s="261"/>
      <x:c r="D2" s="261"/>
      <x:c r="E2" s="261"/>
      <x:c r="F2" s="261"/>
      <x:c r="G2" s="261"/>
      <x:c r="H2" s="261"/>
      <x:c r="I2" s="261"/>
      <x:c r="J2" s="261"/>
      <x:c r="K2" s="261"/>
      <x:c r="L2" s="261"/>
      <x:c r="M2" s="261"/>
      <x:c r="N2" s="261"/>
    </x:row>
    <x:row r="4">
      <x:c r="A4" s="264" t="str">
        <x:v>1. 診断信頼度 正式算定式</x:v>
      </x:c>
      <x:c r="B4" s="265"/>
      <x:c r="C4" s="265"/>
      <x:c r="D4" s="265"/>
      <x:c r="E4" s="265"/>
      <x:c r="F4" s="265"/>
      <x:c r="G4" s="265"/>
      <x:c r="H4" s="265"/>
      <x:c r="I4" s="265"/>
      <x:c r="J4" s="265"/>
      <x:c r="K4" s="265"/>
      <x:c r="L4" s="265"/>
      <x:c r="M4" s="265"/>
      <x:c r="N4" s="266"/>
    </x:row>
    <x:row r="5" ht="38" customHeight="1">
      <x:c r="A5" s="278" t="str">
        <x:v>構成要素</x:v>
      </x:c>
      <x:c r="B5" s="279" t="str">
        <x:v>記号</x:v>
      </x:c>
      <x:c r="C5" s="279" t="str">
        <x:v>定義</x:v>
      </x:c>
      <x:c r="D5" s="279" t="str">
        <x:v>0～100点の算定</x:v>
      </x:c>
      <x:c r="E5" s="279" t="str">
        <x:v>ウェイト</x:v>
      </x:c>
      <x:c r="F5" s="279" t="str">
        <x:v>正式寄与</x:v>
      </x:c>
      <x:c r="G5" s="279" t="str">
        <x:v>L0時処理</x:v>
      </x:c>
      <x:c r="H5" s="280" t="str">
        <x:v>備考</x:v>
      </x:c>
    </x:row>
    <x:row r="6">
      <x:c r="A6" s="297" t="str">
        <x:v>Evidence品質</x:v>
      </x:c>
      <x:c r="B6" s="298" t="str">
        <x:v>CQ</x:v>
      </x:c>
      <x:c r="C6" s="298" t="str">
        <x:v>資料種別、正式性、鮮明度、確認者</x:v>
      </x:c>
      <x:c r="D6" s="298" t="str">
        <x:v>05_Evidence判定の品質基礎点を対象質問重みで加重平均</x:v>
      </x:c>
      <x:c r="E6" s="298" t="str">
        <x:v>40%</x:v>
      </x:c>
      <x:c r="F6" s="298" t="str">
        <x:v>0.40×CQ</x:v>
      </x:c>
      <x:c r="G6" s="298" t="str">
        <x:v>矛盾対象Evidenceは一時除外</x:v>
      </x:c>
      <x:c r="H6" s="299" t="str">
        <x:v>メーカー回答・点検報告を高評価</x:v>
      </x:c>
    </x:row>
    <x:row r="7">
      <x:c r="A7" s="300" t="str">
        <x:v>Evidence対象一致</x:v>
      </x:c>
      <x:c r="B7" s="148" t="str">
        <x:v>CM</x:v>
      </x:c>
      <x:c r="C7" s="148" t="str">
        <x:v>対象設備・型式・範囲の一致度</x:v>
      </x:c>
      <x:c r="D7" s="148" t="str">
        <x:v>完全一致=100、一部一致=60、不明=20、不一致=0</x:v>
      </x:c>
      <x:c r="E7" s="148" t="str">
        <x:v>20%</x:v>
      </x:c>
      <x:c r="F7" s="148" t="str">
        <x:v>0.20×CM</x:v>
      </x:c>
      <x:c r="G7" s="148" t="str">
        <x:v>不一致=0</x:v>
      </x:c>
      <x:c r="H7" s="301" t="str"/>
    </x:row>
    <x:row r="8">
      <x:c r="A8" s="300" t="str">
        <x:v>Evidence鮮度</x:v>
      </x:c>
      <x:c r="B8" s="148" t="str">
        <x:v>CF</x:v>
      </x:c>
      <x:c r="C8" s="148" t="str">
        <x:v>資料・写真・回答の時点妥当性</x:v>
      </x:c>
      <x:c r="D8" s="148" t="str">
        <x:v>有効期限内/最新=100、やや古い=70、古い=30、不明=20</x:v>
      </x:c>
      <x:c r="E8" s="148" t="str">
        <x:v>15%</x:v>
      </x:c>
      <x:c r="F8" s="148" t="str">
        <x:v>0.15×CF</x:v>
      </x:c>
      <x:c r="G8" s="148" t="str">
        <x:v>日付矛盾=0</x:v>
      </x:c>
      <x:c r="H8" s="301" t="str"/>
    </x:row>
    <x:row r="9">
      <x:c r="A9" s="300" t="str">
        <x:v>確認主体</x:v>
      </x:c>
      <x:c r="B9" s="148" t="str">
        <x:v>CV</x:v>
      </x:c>
      <x:c r="C9" s="148" t="str">
        <x:v>誰が確認したか</x:v>
      </x:c>
      <x:c r="D9" s="148" t="str">
        <x:v>メーカー/有資格者/現地確認=100、社内担当=70、回答者記憶=35、不明=0</x:v>
      </x:c>
      <x:c r="E9" s="148" t="str">
        <x:v>15%</x:v>
      </x:c>
      <x:c r="F9" s="148" t="str">
        <x:v>0.15×CV</x:v>
      </x:c>
      <x:c r="G9" s="148" t="str">
        <x:v>確認者矛盾=0</x:v>
      </x:c>
      <x:c r="H9" s="301" t="str"/>
    </x:row>
    <x:row r="10">
      <x:c r="A10" s="300" t="str">
        <x:v>整合性</x:v>
      </x:c>
      <x:c r="B10" s="148" t="str">
        <x:v>CC</x:v>
      </x:c>
      <x:c r="C10" s="148" t="str">
        <x:v>質問間・資料間の整合性</x:v>
      </x:c>
      <x:c r="D10" s="148" t="str">
        <x:v>矛盾なし=100、軽微1件=70、重要矛盾1件=30、重要矛盾2件以上=0</x:v>
      </x:c>
      <x:c r="E10" s="148" t="str">
        <x:v>10%</x:v>
      </x:c>
      <x:c r="F10" s="148" t="str">
        <x:v>0.10×CC</x:v>
      </x:c>
      <x:c r="G10" s="148" t="str">
        <x:v>L0該当数に応じ減点</x:v>
      </x:c>
      <x:c r="H10" s="301" t="str"/>
    </x:row>
    <x:row r="11">
      <x:c r="A11" s="302" t="str">
        <x:v>診断信頼度</x:v>
      </x:c>
      <x:c r="B11" s="303" t="str">
        <x:v>CONF</x:v>
      </x:c>
      <x:c r="C11" s="303" t="str">
        <x:v>上記5要素</x:v>
      </x:c>
      <x:c r="D11" s="303" t="str">
        <x:v>CONF = 0.40CQ + 0.20CM + 0.15CF + 0.15CV + 0.10CC</x:v>
      </x:c>
      <x:c r="E11" s="303" t="str">
        <x:v>100%</x:v>
      </x:c>
      <x:c r="F11" s="303" t="str">
        <x:v>0～100</x:v>
      </x:c>
      <x:c r="G11" s="303" t="str">
        <x:v>重要矛盾2件以上は上限49</x:v>
      </x:c>
      <x:c r="H11" s="304" t="str">
        <x:v>レポートは整数表示</x:v>
      </x:c>
    </x:row>
    <x:row r="14">
      <x:c r="A14" s="264" t="str">
        <x:v>2. 診断信頼度 評価帯</x:v>
      </x:c>
      <x:c r="B14" s="265"/>
      <x:c r="C14" s="265"/>
      <x:c r="D14" s="265"/>
      <x:c r="E14" s="265"/>
      <x:c r="F14" s="265"/>
      <x:c r="G14" s="265"/>
      <x:c r="H14" s="265"/>
      <x:c r="I14" s="265"/>
      <x:c r="J14" s="265"/>
      <x:c r="K14" s="265"/>
      <x:c r="L14" s="265"/>
      <x:c r="M14" s="265"/>
      <x:c r="N14" s="266"/>
    </x:row>
    <x:row r="15" ht="38" customHeight="1">
      <x:c r="A15" s="278" t="str">
        <x:v>点数帯</x:v>
      </x:c>
      <x:c r="B15" s="279" t="str">
        <x:v>評価ラベル</x:v>
      </x:c>
      <x:c r="C15" s="279" t="str">
        <x:v>レポート表示</x:v>
      </x:c>
      <x:c r="D15" s="279" t="str">
        <x:v>許可される断定</x:v>
      </x:c>
      <x:c r="E15" s="280" t="str">
        <x:v>推奨処理</x:v>
      </x:c>
    </x:row>
    <x:row r="16">
      <x:c r="A16" s="297" t="str">
        <x:v>85～100</x:v>
      </x:c>
      <x:c r="B16" s="298" t="str">
        <x:v>高</x:v>
      </x:c>
      <x:c r="C16" s="298" t="str">
        <x:v>高</x:v>
      </x:c>
      <x:c r="D16" s="298" t="str">
        <x:v>個別EvidenceがL3の所見のみ断定可</x:v>
      </x:c>
      <x:c r="E16" s="299" t="str">
        <x:v>正式診断に近い表現。未確認事項は明示</x:v>
      </x:c>
    </x:row>
    <x:row r="17">
      <x:c r="A17" s="300" t="str">
        <x:v>70～84</x:v>
      </x:c>
      <x:c r="B17" s="148" t="str">
        <x:v>中～高</x:v>
      </x:c>
      <x:c r="C17" s="148" t="str">
        <x:v>中～高</x:v>
      </x:c>
      <x:c r="D17" s="148" t="str">
        <x:v>L3は断定可、L2は可能性表現</x:v>
      </x:c>
      <x:c r="E17" s="301" t="str">
        <x:v>追加資料で精度向上</x:v>
      </x:c>
    </x:row>
    <x:row r="18">
      <x:c r="A18" s="300" t="str">
        <x:v>55～69</x:v>
      </x:c>
      <x:c r="B18" s="148" t="str">
        <x:v>中</x:v>
      </x:c>
      <x:c r="C18" s="148" t="str">
        <x:v>中</x:v>
      </x:c>
      <x:c r="D18" s="148" t="str">
        <x:v>L2以下中心。総合判断は条件付き</x:v>
      </x:c>
      <x:c r="E18" s="301" t="str">
        <x:v>主要不足情報を最大3件表示</x:v>
      </x:c>
    </x:row>
    <x:row r="19">
      <x:c r="A19" s="300" t="str">
        <x:v>40～54</x:v>
      </x:c>
      <x:c r="B19" s="148" t="str">
        <x:v>低</x:v>
      </x:c>
      <x:c r="C19" s="148" t="str">
        <x:v>低</x:v>
      </x:c>
      <x:c r="D19" s="148" t="str">
        <x:v>L1中心。推奨は確認行動に限定</x:v>
      </x:c>
      <x:c r="E19" s="301" t="str">
        <x:v>正式診断・資料追加へ誘導</x:v>
      </x:c>
    </x:row>
    <x:row r="20">
      <x:c r="A20" s="302" t="str">
        <x:v>0～39</x:v>
      </x:c>
      <x:c r="B20" s="303" t="str">
        <x:v>非常に低</x:v>
      </x:c>
      <x:c r="C20" s="303" t="str">
        <x:v>非常に低</x:v>
      </x:c>
      <x:c r="D20" s="303" t="str">
        <x:v>状態・優先度の断定不可</x:v>
      </x:c>
      <x:c r="E20" s="304" t="str">
        <x:v>参考値表示、判定保留を明示</x:v>
      </x:c>
    </x:row>
    <x:row r="23">
      <x:c r="A23" s="264" t="str">
        <x:v>3. 情報充足率 正式算定式</x:v>
      </x:c>
      <x:c r="B23" s="265"/>
      <x:c r="C23" s="265"/>
      <x:c r="D23" s="265"/>
      <x:c r="E23" s="265"/>
      <x:c r="F23" s="265"/>
      <x:c r="G23" s="265"/>
      <x:c r="H23" s="265"/>
      <x:c r="I23" s="265"/>
      <x:c r="J23" s="265"/>
      <x:c r="K23" s="265"/>
      <x:c r="L23" s="265"/>
      <x:c r="M23" s="265"/>
      <x:c r="N23" s="266"/>
    </x:row>
    <x:row r="24" ht="38" customHeight="1">
      <x:c r="A24" s="278" t="str">
        <x:v>構成要素</x:v>
      </x:c>
      <x:c r="B24" s="279" t="str">
        <x:v>記号</x:v>
      </x:c>
      <x:c r="C24" s="279" t="str">
        <x:v>定義</x:v>
      </x:c>
      <x:c r="D24" s="279" t="str">
        <x:v>算定式</x:v>
      </x:c>
      <x:c r="E24" s="279" t="str">
        <x:v>ウェイト</x:v>
      </x:c>
      <x:c r="F24" s="279" t="str">
        <x:v>正式寄与</x:v>
      </x:c>
      <x:c r="G24" s="280" t="str">
        <x:v>備考</x:v>
      </x:c>
    </x:row>
    <x:row r="25">
      <x:c r="A25" s="297" t="str">
        <x:v>必須質問回答率</x:v>
      </x:c>
      <x:c r="B25" s="298" t="str">
        <x:v>AQ</x:v>
      </x:c>
      <x:c r="C25" s="298" t="str">
        <x:v>必須質問のうち有効回答された割合</x:v>
      </x:c>
      <x:c r="D25" s="298" t="str">
        <x:v>有効必須回答重み÷全必須質問重み×100</x:v>
      </x:c>
      <x:c r="E25" s="298" t="str">
        <x:v>50%</x:v>
      </x:c>
      <x:c r="F25" s="298" t="str">
        <x:v>0.50×AQ</x:v>
      </x:c>
      <x:c r="G25" s="299" t="str">
        <x:v>不明・L0は有効回答に含めない</x:v>
      </x:c>
    </x:row>
    <x:row r="26">
      <x:c r="A26" s="300" t="str">
        <x:v>Evidence充足率</x:v>
      </x:c>
      <x:c r="B26" s="148" t="str">
        <x:v>AE</x:v>
      </x:c>
      <x:c r="C26" s="148" t="str">
        <x:v>要求Evidenceのうち添付・確認された割合</x:v>
      </x:c>
      <x:c r="D26" s="148" t="str">
        <x:v>確認済Evidence重要度÷要求Evidence重要度×100</x:v>
      </x:c>
      <x:c r="E26" s="148" t="str">
        <x:v>30%</x:v>
      </x:c>
      <x:c r="F26" s="148" t="str">
        <x:v>0.30×AE</x:v>
      </x:c>
      <x:c r="G26" s="301" t="str">
        <x:v>任意資料は分母に含めない</x:v>
      </x:c>
    </x:row>
    <x:row r="27">
      <x:c r="A27" s="300" t="str">
        <x:v>対象設備カバー率</x:v>
      </x:c>
      <x:c r="B27" s="148" t="str">
        <x:v>AC</x:v>
      </x:c>
      <x:c r="C27" s="148" t="str">
        <x:v>診断対象設備・分野の網羅率</x:v>
      </x:c>
      <x:c r="D27" s="148" t="str">
        <x:v>情報確認済対象数÷診断対象総数×100</x:v>
      </x:c>
      <x:c r="E27" s="148" t="str">
        <x:v>20%</x:v>
      </x:c>
      <x:c r="F27" s="148" t="str">
        <x:v>0.20×AC</x:v>
      </x:c>
      <x:c r="G27" s="301" t="str">
        <x:v>設備数未入力時は4分野カバー率で代替</x:v>
      </x:c>
    </x:row>
    <x:row r="28">
      <x:c r="A28" s="302" t="str">
        <x:v>情報充足率</x:v>
      </x:c>
      <x:c r="B28" s="303" t="str">
        <x:v>COMP</x:v>
      </x:c>
      <x:c r="C28" s="303" t="str">
        <x:v>上記3要素</x:v>
      </x:c>
      <x:c r="D28" s="303" t="str">
        <x:v>COMP = 0.50AQ + 0.30AE + 0.20AC</x:v>
      </x:c>
      <x:c r="E28" s="303" t="str">
        <x:v>100%</x:v>
      </x:c>
      <x:c r="F28" s="303" t="str">
        <x:v>0～100</x:v>
      </x:c>
      <x:c r="G28" s="304" t="str">
        <x:v>量を評価し、質は診断信頼度で評価</x:v>
      </x:c>
    </x:row>
    <x:row r="31">
      <x:c r="A31" s="264" t="str">
        <x:v>4. 情報充足率 評価帯</x:v>
      </x:c>
      <x:c r="B31" s="265"/>
      <x:c r="C31" s="265"/>
      <x:c r="D31" s="265"/>
      <x:c r="E31" s="265"/>
      <x:c r="F31" s="265"/>
      <x:c r="G31" s="265"/>
      <x:c r="H31" s="265"/>
      <x:c r="I31" s="265"/>
      <x:c r="J31" s="265"/>
      <x:c r="K31" s="265"/>
      <x:c r="L31" s="265"/>
      <x:c r="M31" s="265"/>
      <x:c r="N31" s="266"/>
    </x:row>
    <x:row r="32" ht="38" customHeight="1">
      <x:c r="A32" s="278" t="str">
        <x:v>点数帯</x:v>
      </x:c>
      <x:c r="B32" s="279" t="str">
        <x:v>評価ラベル</x:v>
      </x:c>
      <x:c r="C32" s="279" t="str">
        <x:v>レポート表示</x:v>
      </x:c>
      <x:c r="D32" s="280" t="str">
        <x:v>出力制御</x:v>
      </x:c>
    </x:row>
    <x:row r="33">
      <x:c r="A33" s="297" t="str">
        <x:v>85～100</x:v>
      </x:c>
      <x:c r="B33" s="298" t="str">
        <x:v>十分</x:v>
      </x:c>
      <x:c r="C33" s="298" t="str">
        <x:v>十分</x:v>
      </x:c>
      <x:c r="D33" s="299" t="str">
        <x:v>不足情報は補足表示</x:v>
      </x:c>
    </x:row>
    <x:row r="34">
      <x:c r="A34" s="300" t="str">
        <x:v>70～84</x:v>
      </x:c>
      <x:c r="B34" s="148" t="str">
        <x:v>概ね十分</x:v>
      </x:c>
      <x:c r="C34" s="148" t="str">
        <x:v>概ね十分</x:v>
      </x:c>
      <x:c r="D34" s="301" t="str">
        <x:v>主要不足情報を最大3件表示</x:v>
      </x:c>
    </x:row>
    <x:row r="35">
      <x:c r="A35" s="300" t="str">
        <x:v>55～69</x:v>
      </x:c>
      <x:c r="B35" s="148" t="str">
        <x:v>一部不足</x:v>
      </x:c>
      <x:c r="C35" s="148" t="str">
        <x:v>一部不足</x:v>
      </x:c>
      <x:c r="D35" s="301" t="str">
        <x:v>不足情報を最大5件表示</x:v>
      </x:c>
    </x:row>
    <x:row r="36">
      <x:c r="A36" s="300" t="str">
        <x:v>40～54</x:v>
      </x:c>
      <x:c r="B36" s="148" t="str">
        <x:v>不足</x:v>
      </x:c>
      <x:c r="C36" s="148" t="str">
        <x:v>不足</x:v>
      </x:c>
      <x:c r="D36" s="301" t="str">
        <x:v>KPIを参考値扱いする可能性</x:v>
      </x:c>
    </x:row>
    <x:row r="37">
      <x:c r="A37" s="302" t="str">
        <x:v>0～39</x:v>
      </x:c>
      <x:c r="B37" s="303" t="str">
        <x:v>大幅不足</x:v>
      </x:c>
      <x:c r="C37" s="303" t="str">
        <x:v>大幅不足</x:v>
      </x:c>
      <x:c r="D37" s="304" t="str">
        <x:v>総合所見は確認行動中心</x:v>
      </x:c>
    </x:row>
    <x:row r="40">
      <x:c r="A40" s="264" t="str">
        <x:v>5. コメント選択・文章生成順序</x:v>
      </x:c>
      <x:c r="B40" s="265"/>
      <x:c r="C40" s="265"/>
      <x:c r="D40" s="265"/>
      <x:c r="E40" s="265"/>
      <x:c r="F40" s="265"/>
      <x:c r="G40" s="265"/>
      <x:c r="H40" s="265"/>
      <x:c r="I40" s="265"/>
      <x:c r="J40" s="265"/>
      <x:c r="K40" s="265"/>
      <x:c r="L40" s="265"/>
      <x:c r="M40" s="265"/>
      <x:c r="N40" s="266"/>
    </x:row>
    <x:row r="41" ht="38" customHeight="1">
      <x:c r="A41" s="278" t="str">
        <x:v>順序</x:v>
      </x:c>
      <x:c r="B41" s="279" t="str">
        <x:v>処理ID</x:v>
      </x:c>
      <x:c r="C41" s="279" t="str">
        <x:v>処理内容</x:v>
      </x:c>
      <x:c r="D41" s="279" t="str">
        <x:v>入力</x:v>
      </x:c>
      <x:c r="E41" s="279" t="str">
        <x:v>出力</x:v>
      </x:c>
      <x:c r="F41" s="280" t="str">
        <x:v>禁止事項</x:v>
      </x:c>
    </x:row>
    <x:row r="42">
      <x:c r="A42" s="297" t="n">
        <x:v>1</x:v>
      </x:c>
      <x:c r="B42" s="298" t="str">
        <x:v>TXT-01</x:v>
      </x:c>
      <x:c r="C42" s="298" t="str">
        <x:v>L0矛盾コメントを抽出</x:v>
      </x:c>
      <x:c r="D42" s="298" t="str">
        <x:v>06_回答整合性チェック</x:v>
      </x:c>
      <x:c r="E42" s="298" t="str">
        <x:v>判定停止コメント</x:v>
      </x:c>
      <x:c r="F42" s="299" t="str">
        <x:v>矛盾状態で結論を生成しない</x:v>
      </x:c>
    </x:row>
    <x:row r="43">
      <x:c r="A43" s="300" t="n">
        <x:v>2</x:v>
      </x:c>
      <x:c r="B43" s="148" t="str">
        <x:v>TXT-02</x:v>
      </x:c>
      <x:c r="C43" s="148" t="str">
        <x:v>Guardrailコメントを順位順に抽出</x:v>
      </x:c>
      <x:c r="D43" s="148" t="str">
        <x:v>04_Guardrail判定＋13順位式</x:v>
      </x:c>
      <x:c r="E43" s="148" t="str">
        <x:v>最大3件の警告コメント</x:v>
      </x:c>
      <x:c r="F43" s="301" t="str">
        <x:v>KPI点数で非表示にしない</x:v>
      </x:c>
    </x:row>
    <x:row r="44">
      <x:c r="A44" s="300" t="n">
        <x:v>3</x:v>
      </x:c>
      <x:c r="B44" s="148" t="str">
        <x:v>TXT-03</x:v>
      </x:c>
      <x:c r="C44" s="148" t="str">
        <x:v>TOP5課題コメントを抽出</x:v>
      </x:c>
      <x:c r="D44" s="148" t="str">
        <x:v>13_TOP5ロジック</x:v>
      </x:c>
      <x:c r="E44" s="148" t="str">
        <x:v>最大5件の課題コメント</x:v>
      </x:c>
      <x:c r="F44" s="301" t="str">
        <x:v>同一原因の重複表示</x:v>
      </x:c>
    </x:row>
    <x:row r="45">
      <x:c r="A45" s="300" t="n">
        <x:v>4</x:v>
      </x:c>
      <x:c r="B45" s="148" t="str">
        <x:v>TXT-04</x:v>
      </x:c>
      <x:c r="C45" s="148" t="str">
        <x:v>EDI・DRI・EPIの評価帯コメントを抽出</x:v>
      </x:c>
      <x:c r="D45" s="148" t="str">
        <x:v>13_評価帯</x:v>
      </x:c>
      <x:c r="E45" s="148" t="str">
        <x:v>KPIサマリーコメント</x:v>
      </x:c>
      <x:c r="F45" s="301" t="str">
        <x:v>点数だけから原因を推定しない</x:v>
      </x:c>
    </x:row>
    <x:row r="46">
      <x:c r="A46" s="300" t="n">
        <x:v>5</x:v>
      </x:c>
      <x:c r="B46" s="148" t="str">
        <x:v>TXT-05</x:v>
      </x:c>
      <x:c r="C46" s="148" t="str">
        <x:v>不足情報コメントを抽出</x:v>
      </x:c>
      <x:c r="D46" s="148" t="str">
        <x:v>COMP・DRI・未回答</x:v>
      </x:c>
      <x:c r="E46" s="148" t="str">
        <x:v>最大5件の確認事項</x:v>
      </x:c>
      <x:c r="F46" s="301" t="str">
        <x:v>不足を状態不良と表現しない</x:v>
      </x:c>
    </x:row>
    <x:row r="47">
      <x:c r="A47" s="300" t="n">
        <x:v>6</x:v>
      </x:c>
      <x:c r="B47" s="148" t="str">
        <x:v>TXT-06</x:v>
      </x:c>
      <x:c r="C47" s="148" t="str">
        <x:v>推奨行動コメントを抽出</x:v>
      </x:c>
      <x:c r="D47" s="148" t="str">
        <x:v>Guardrail/TOP5/DRI/EPI</x:v>
      </x:c>
      <x:c r="E47" s="148" t="str">
        <x:v>最大3件のNext Action</x:v>
      </x:c>
      <x:c r="F47" s="301" t="str">
        <x:v>未確認の金額・期限・製品を創作しない</x:v>
      </x:c>
    </x:row>
    <x:row r="48">
      <x:c r="A48" s="300" t="n">
        <x:v>7</x:v>
      </x:c>
      <x:c r="B48" s="148" t="str">
        <x:v>TXT-07</x:v>
      </x:c>
      <x:c r="C48" s="148" t="str">
        <x:v>AIが接続・重複整理</x:v>
      </x:c>
      <x:c r="D48" s="148" t="str">
        <x:v>選択済み承認コメント部品</x:v>
      </x:c>
      <x:c r="E48" s="148" t="str">
        <x:v>自然な文章</x:v>
      </x:c>
      <x:c r="F48" s="301" t="str">
        <x:v>意味、優先度、断定レベルを変更しない</x:v>
      </x:c>
    </x:row>
    <x:row r="49">
      <x:c r="A49" s="302" t="n">
        <x:v>8</x:v>
      </x:c>
      <x:c r="B49" s="303" t="str">
        <x:v>TXT-08</x:v>
      </x:c>
      <x:c r="C49" s="303" t="str">
        <x:v>最終ルール検査</x:v>
      </x:c>
      <x:c r="D49" s="303" t="str">
        <x:v>出力文章＋断定レベル</x:v>
      </x:c>
      <x:c r="E49" s="303" t="str">
        <x:v>公開可能文章</x:v>
      </x:c>
      <x:c r="F49" s="304" t="str">
        <x:v>禁止表現・Evidence矛盾を残さない</x:v>
      </x:c>
    </x:row>
    <x:row r="52">
      <x:c r="A52" s="264" t="str">
        <x:v>6. AI整文ルール（正式）</x:v>
      </x:c>
      <x:c r="B52" s="265"/>
      <x:c r="C52" s="265"/>
      <x:c r="D52" s="265"/>
      <x:c r="E52" s="265"/>
      <x:c r="F52" s="265"/>
      <x:c r="G52" s="265"/>
      <x:c r="H52" s="265"/>
      <x:c r="I52" s="265"/>
      <x:c r="J52" s="265"/>
      <x:c r="K52" s="265"/>
      <x:c r="L52" s="265"/>
      <x:c r="M52" s="265"/>
      <x:c r="N52" s="266"/>
    </x:row>
    <x:row r="53" ht="38" customHeight="1">
      <x:c r="A53" s="278" t="str">
        <x:v>ルールID</x:v>
      </x:c>
      <x:c r="B53" s="279" t="str">
        <x:v>許可・禁止</x:v>
      </x:c>
      <x:c r="C53" s="279" t="str">
        <x:v>正式ルール</x:v>
      </x:c>
      <x:c r="D53" s="280" t="str">
        <x:v>例</x:v>
      </x:c>
    </x:row>
    <x:row r="54">
      <x:c r="A54" s="297" t="str">
        <x:v>AI-R01</x:v>
      </x:c>
      <x:c r="B54" s="298" t="str">
        <x:v>許可</x:v>
      </x:c>
      <x:c r="C54" s="298" t="str">
        <x:v>会社名、工場名、設備名を指定位置へ差し込む。</x:v>
      </x:c>
      <x:c r="D54" s="299" t="str">
        <x:v>『対象設備』→『第1変電所 高圧受電盤』</x:v>
      </x:c>
    </x:row>
    <x:row r="55">
      <x:c r="A55" s="300" t="str">
        <x:v>AI-R02</x:v>
      </x:c>
      <x:c r="B55" s="148" t="str">
        <x:v>許可</x:v>
      </x:c>
      <x:c r="C55" s="148" t="str">
        <x:v>承認済み文の接続詞、語尾、段落を整える。</x:v>
      </x:c>
      <x:c r="D55" s="301" t="str">
        <x:v>『また』『一方で』等の追加</x:v>
      </x:c>
    </x:row>
    <x:row r="56">
      <x:c r="A56" s="300" t="str">
        <x:v>AI-R03</x:v>
      </x:c>
      <x:c r="B56" s="148" t="str">
        <x:v>許可</x:v>
      </x:c>
      <x:c r="C56" s="148" t="str">
        <x:v>重複する事実文を1回に統合する。</x:v>
      </x:c>
      <x:c r="D56" s="301" t="str">
        <x:v>EOLと予備品不足の同一説明を整理</x:v>
      </x:c>
    </x:row>
    <x:row r="57">
      <x:c r="A57" s="300" t="str">
        <x:v>AI-R04</x:v>
      </x:c>
      <x:c r="B57" s="148" t="str">
        <x:v>禁止</x:v>
      </x:c>
      <x:c r="C57" s="148" t="str">
        <x:v>リスク分類、Guardrail発動、優先順位を変更しない。</x:v>
      </x:c>
      <x:c r="D57" s="301" t="str">
        <x:v>AをSへ変更しない</x:v>
      </x:c>
    </x:row>
    <x:row r="58">
      <x:c r="A58" s="300" t="str">
        <x:v>AI-R05</x:v>
      </x:c>
      <x:c r="B58" s="148" t="str">
        <x:v>禁止</x:v>
      </x:c>
      <x:c r="C58" s="148" t="str">
        <x:v>L1・L2コメントをL3表現へ強めない。</x:v>
      </x:c>
      <x:c r="D58" s="301" t="str">
        <x:v>『可能性』を『確認済み』へ変更しない</x:v>
      </x:c>
    </x:row>
    <x:row r="59">
      <x:c r="A59" s="300" t="str">
        <x:v>AI-R06</x:v>
      </x:c>
      <x:c r="B59" s="148" t="str">
        <x:v>禁止</x:v>
      </x:c>
      <x:c r="C59" s="148" t="str">
        <x:v>根拠にない原因、故障時期、費用、効果、製品名を追加しない。</x:v>
      </x:c>
      <x:c r="D59" s="301" t="str">
        <x:v>『3年以内に故障』等は禁止</x:v>
      </x:c>
    </x:row>
    <x:row r="60">
      <x:c r="A60" s="300" t="str">
        <x:v>AI-R07</x:v>
      </x:c>
      <x:c r="B60" s="148" t="str">
        <x:v>禁止</x:v>
      </x:c>
      <x:c r="C60" s="148" t="str">
        <x:v>免責や不足情報を削除しない。</x:v>
      </x:c>
      <x:c r="D60" s="301" t="str">
        <x:v>情報不足を隠さない</x:v>
      </x:c>
    </x:row>
    <x:row r="61">
      <x:c r="A61" s="302" t="str">
        <x:v>AI-R08</x:v>
      </x:c>
      <x:c r="B61" s="303" t="str">
        <x:v>必須</x:v>
      </x:c>
      <x:c r="C61" s="303" t="str">
        <x:v>生成後、原コメントコードと断定レベルの対応検査を行う。</x:v>
      </x:c>
      <x:c r="D61" s="304" t="str">
        <x:v>出力ログに使用コードを保持</x:v>
      </x:c>
    </x:row>
    <x:row r="64">
      <x:c r="A64" s="264" t="str">
        <x:v>7. A3レポート出力制御</x:v>
      </x:c>
      <x:c r="B64" s="265"/>
      <x:c r="C64" s="265"/>
      <x:c r="D64" s="265"/>
      <x:c r="E64" s="265"/>
      <x:c r="F64" s="265"/>
      <x:c r="G64" s="265"/>
      <x:c r="H64" s="265"/>
      <x:c r="I64" s="265"/>
      <x:c r="J64" s="265"/>
      <x:c r="K64" s="265"/>
      <x:c r="L64" s="265"/>
      <x:c r="M64" s="265"/>
      <x:c r="N64" s="266"/>
    </x:row>
    <x:row r="65" ht="38" customHeight="1">
      <x:c r="A65" s="278" t="str">
        <x:v>出力区画</x:v>
      </x:c>
      <x:c r="B65" s="279" t="str">
        <x:v>通常条件</x:v>
      </x:c>
      <x:c r="C65" s="279" t="str">
        <x:v>低信頼度時</x:v>
      </x:c>
      <x:c r="D65" s="279" t="str">
        <x:v>情報不足時</x:v>
      </x:c>
      <x:c r="E65" s="279" t="str">
        <x:v>L0時</x:v>
      </x:c>
      <x:c r="F65" s="280" t="str">
        <x:v>最大表示量</x:v>
      </x:c>
    </x:row>
    <x:row r="66">
      <x:c r="A66" s="297" t="str">
        <x:v>KPI上段</x:v>
      </x:c>
      <x:c r="B66" s="298" t="str">
        <x:v>数値＋評価帯</x:v>
      </x:c>
      <x:c r="C66" s="298" t="str">
        <x:v>『参考値』注記</x:v>
      </x:c>
      <x:c r="D66" s="298" t="str">
        <x:v>数値＋充足率注記</x:v>
      </x:c>
      <x:c r="E66" s="298" t="str">
        <x:v>該当KPIに判定停止注記</x:v>
      </x:c>
      <x:c r="F66" s="299" t="str">
        <x:v>5指標</x:v>
      </x:c>
    </x:row>
    <x:row r="67">
      <x:c r="A67" s="300" t="str">
        <x:v>Decision Guardrail</x:v>
      </x:c>
      <x:c r="B67" s="148" t="str">
        <x:v>上位3件</x:v>
      </x:c>
      <x:c r="C67" s="148" t="str">
        <x:v>表示継続</x:v>
      </x:c>
      <x:c r="D67" s="148" t="str">
        <x:v>表示継続</x:v>
      </x:c>
      <x:c r="E67" s="148" t="str">
        <x:v>L0を最上位または別枠</x:v>
      </x:c>
      <x:c r="F67" s="301" t="str">
        <x:v>3件</x:v>
      </x:c>
    </x:row>
    <x:row r="68">
      <x:c r="A68" s="300" t="str">
        <x:v>TOP5</x:v>
      </x:c>
      <x:c r="B68" s="148" t="str">
        <x:v>B以上を優先</x:v>
      </x:c>
      <x:c r="C68" s="148" t="str">
        <x:v>L1/L2表現へ制限</x:v>
      </x:c>
      <x:c r="D68" s="148" t="str">
        <x:v>情報不足課題を最大2件</x:v>
      </x:c>
      <x:c r="E68" s="148" t="str">
        <x:v>矛盾対象課題を除外</x:v>
      </x:c>
      <x:c r="F68" s="301" t="str">
        <x:v>最大5件</x:v>
      </x:c>
    </x:row>
    <x:row r="69">
      <x:c r="A69" s="300" t="str">
        <x:v>総合所見</x:v>
      </x:c>
      <x:c r="B69" s="148" t="str">
        <x:v>状態・リスク・判断条件・推奨</x:v>
      </x:c>
      <x:c r="C69" s="148" t="str">
        <x:v>確認条件付き表現</x:v>
      </x:c>
      <x:c r="D69" s="148" t="str">
        <x:v>不足情報中心</x:v>
      </x:c>
      <x:c r="E69" s="148" t="str">
        <x:v>結論停止＋再確認</x:v>
      </x:c>
      <x:c r="F69" s="301" t="str">
        <x:v>3～5段落</x:v>
      </x:c>
    </x:row>
    <x:row r="70">
      <x:c r="A70" s="300" t="str">
        <x:v>推奨判断</x:v>
      </x:c>
      <x:c r="B70" s="148" t="str">
        <x:v>推奨1案＋代替案</x:v>
      </x:c>
      <x:c r="C70" s="148" t="str">
        <x:v>『仮方向』表示</x:v>
      </x:c>
      <x:c r="D70" s="148" t="str">
        <x:v>資料追加を先行</x:v>
      </x:c>
      <x:c r="E70" s="148" t="str">
        <x:v>原則判定保留</x:v>
      </x:c>
      <x:c r="F70" s="301" t="str">
        <x:v>最大3案</x:v>
      </x:c>
    </x:row>
    <x:row r="71">
      <x:c r="A71" s="302" t="str">
        <x:v>Next Action</x:v>
      </x:c>
      <x:c r="B71" s="303" t="str">
        <x:v>行動3件</x:v>
      </x:c>
      <x:c r="C71" s="303" t="str">
        <x:v>確認・現地診断を優先</x:v>
      </x:c>
      <x:c r="D71" s="303" t="str">
        <x:v>資料収集を優先</x:v>
      </x:c>
      <x:c r="E71" s="303" t="str">
        <x:v>矛盾解消を最優先</x:v>
      </x:c>
      <x:c r="F71" s="304" t="str">
        <x:v>3件</x:v>
      </x:c>
    </x:row>
    <x:row r="75">
      <x:c r="A75" s="264" t="str">
        <x:v>8. 診断レベル判定</x:v>
      </x:c>
      <x:c r="B75" s="265"/>
      <x:c r="C75" s="265"/>
      <x:c r="D75" s="265"/>
      <x:c r="E75" s="265"/>
      <x:c r="F75" s="265"/>
      <x:c r="G75" s="265"/>
      <x:c r="H75" s="265"/>
      <x:c r="I75" s="265"/>
      <x:c r="J75" s="265"/>
      <x:c r="K75" s="265"/>
      <x:c r="L75" s="265"/>
      <x:c r="M75" s="265"/>
      <x:c r="N75" s="266"/>
    </x:row>
    <x:row r="76" ht="38" customHeight="1">
      <x:c r="A76" s="278" t="str">
        <x:v>診断レベル</x:v>
      </x:c>
      <x:c r="B76" s="279" t="str">
        <x:v>名称</x:v>
      </x:c>
      <x:c r="C76" s="279" t="str">
        <x:v>最低条件</x:v>
      </x:c>
      <x:c r="D76" s="279" t="str">
        <x:v>レポート表示</x:v>
      </x:c>
      <x:c r="E76" s="280" t="str">
        <x:v>許可される推奨</x:v>
      </x:c>
    </x:row>
    <x:row r="77">
      <x:c r="A77" s="297" t="str">
        <x:v>Level 1</x:v>
      </x:c>
      <x:c r="B77" s="298" t="str">
        <x:v>自己診断</x:v>
      </x:c>
      <x:c r="C77" s="298" t="str">
        <x:v>回答完了。Evidence任意。</x:v>
      </x:c>
      <x:c r="D77" s="298" t="str">
        <x:v>自己診断／簡易診断</x:v>
      </x:c>
      <x:c r="E77" s="299" t="str">
        <x:v>確認事項、資料収集、相談誘導</x:v>
      </x:c>
    </x:row>
    <x:row r="78">
      <x:c r="A78" s="300" t="str">
        <x:v>Level 2</x:v>
      </x:c>
      <x:c r="B78" s="148" t="str">
        <x:v>Evidence付き診断</x:v>
      </x:c>
      <x:c r="C78" s="148" t="str">
        <x:v>CONF≥55、COMP≥55、主要課題にL2以上Evidenceあり。</x:v>
      </x:c>
      <x:c r="D78" s="148" t="str">
        <x:v>Evidence付き診断</x:v>
      </x:c>
      <x:c r="E78" s="301" t="str">
        <x:v>仮方向、優先順位、比較検討</x:v>
      </x:c>
    </x:row>
    <x:row r="79">
      <x:c r="A79" s="302" t="str">
        <x:v>Level 3</x:v>
      </x:c>
      <x:c r="B79" s="303" t="str">
        <x:v>正式Energy Doctor診断</x:v>
      </x:c>
      <x:c r="C79" s="303" t="str">
        <x:v>現地または専門レビュー、CONF≥70、主要GuardrailにL3確認。</x:v>
      </x:c>
      <x:c r="D79" s="303" t="str">
        <x:v>正式診断、診断番号・確認者表示</x:v>
      </x:c>
      <x:c r="E79" s="304" t="str">
        <x:v>正式推奨、投資・実施計画</x:v>
      </x:c>
    </x:row>
  </x:sheetData>
  <x:mergeCells>
    <x:mergeCell ref="A1:N1"/>
    <x:mergeCell ref="A2:N2"/>
    <x:mergeCell ref="A4:N4"/>
    <x:mergeCell ref="A14:N14"/>
    <x:mergeCell ref="A23:N23"/>
    <x:mergeCell ref="A31:N31"/>
    <x:mergeCell ref="A40:N40"/>
    <x:mergeCell ref="A52:N52"/>
    <x:mergeCell ref="A64:N64"/>
    <x:mergeCell ref="A75:N75"/>
  </x:mergeCells>
  <x:pageMargins left="0.7" right="0.7" top="0.75" bottom="0.75" header="0.3" footer="0.3"/>
</x:worksheet>
</file>

<file path=xl/worksheets/sheet16.xml><?xml version="1.0" encoding="utf-8"?>
<x:worksheet xmlns:x="http://schemas.openxmlformats.org/spreadsheetml/2006/main">
  <x:sheetFormatPr defaultRowHeight="15"/>
  <x:cols>
    <x:col min="1" max="1" width="14" hidden="0" customWidth="1"/>
    <x:col min="2" max="2" width="24" hidden="0" customWidth="1"/>
    <x:col min="3" max="3" width="18" hidden="0" customWidth="1"/>
    <x:col min="4" max="4" width="20" hidden="0" customWidth="1"/>
    <x:col min="5" max="5" width="20" hidden="0" customWidth="1"/>
    <x:col min="6" max="6" width="20" hidden="0" customWidth="1"/>
    <x:col min="7" max="7" width="20" hidden="0" customWidth="1"/>
    <x:col min="8" max="8" width="14" hidden="0" customWidth="1"/>
    <x:col min="9" max="9" width="12" hidden="0" customWidth="1"/>
    <x:col min="10" max="10" width="34" hidden="0" customWidth="1"/>
    <x:col min="11" max="11" width="16" hidden="0" customWidth="1"/>
    <x:col min="12" max="12" width="16" hidden="0" customWidth="1"/>
    <x:col min="13" max="13" width="24" hidden="0" customWidth="1"/>
  </x:cols>
  <x:sheetData>
    <x:row r="1" ht="28" customHeight="1">
      <x:c r="A1" s="329" t="str">
        <x:v>15_コメントコード充足表</x:v>
      </x:c>
      <x:c r="B1" s="329"/>
      <x:c r="C1" s="329"/>
      <x:c r="D1" s="329"/>
      <x:c r="E1" s="329"/>
      <x:c r="F1" s="329"/>
      <x:c r="G1" s="329"/>
      <x:c r="H1" s="329"/>
      <x:c r="I1" s="329"/>
      <x:c r="J1" s="329"/>
      <x:c r="K1" s="329"/>
      <x:c r="L1" s="329"/>
      <x:c r="M1" s="329"/>
    </x:row>
    <x:row r="2" ht="36" customHeight="1">
      <x:c r="A2" s="332" t="str">
        <x:v>主要課題ごとにL0～L3のコメントコードを揃え、A3レポートへ出力可能な状態を確認する管理表。</x:v>
      </x:c>
      <x:c r="B2" s="332"/>
      <x:c r="C2" s="332"/>
      <x:c r="D2" s="332"/>
      <x:c r="E2" s="332"/>
      <x:c r="F2" s="332"/>
      <x:c r="G2" s="332"/>
      <x:c r="H2" s="332"/>
      <x:c r="I2" s="332"/>
      <x:c r="J2" s="332"/>
      <x:c r="K2" s="332"/>
      <x:c r="L2" s="332"/>
      <x:c r="M2" s="332"/>
    </x:row>
    <x:row r="4" ht="38" customHeight="1">
      <x:c r="A4" s="344" t="str">
        <x:v>課題群ID</x:v>
      </x:c>
      <x:c r="B4" s="345" t="str">
        <x:v>課題群</x:v>
      </x:c>
      <x:c r="C4" s="345" t="str">
        <x:v>対象分野</x:v>
      </x:c>
      <x:c r="D4" s="345" t="str">
        <x:v>L3コード</x:v>
      </x:c>
      <x:c r="E4" s="345" t="str">
        <x:v>L2コード</x:v>
      </x:c>
      <x:c r="F4" s="345" t="str">
        <x:v>L1コード</x:v>
      </x:c>
      <x:c r="G4" s="345" t="str">
        <x:v>L0コード</x:v>
      </x:c>
      <x:c r="H4" s="345" t="str">
        <x:v>Guardrail対象</x:v>
      </x:c>
      <x:c r="I4" s="345" t="str">
        <x:v>TOP5対象</x:v>
      </x:c>
      <x:c r="J4" s="345" t="str">
        <x:v>Next Action</x:v>
      </x:c>
      <x:c r="K4" s="345" t="str">
        <x:v>CTAコード</x:v>
      </x:c>
      <x:c r="L4" s="345" t="str">
        <x:v>充足状態</x:v>
      </x:c>
      <x:c r="M4" s="346" t="str">
        <x:v>備考</x:v>
      </x:c>
    </x:row>
    <x:row r="5">
      <x:c r="A5" s="363" t="str">
        <x:v>CG-SAF</x:v>
      </x:c>
      <x:c r="B5" s="364" t="str">
        <x:v>重大異常・安全</x:v>
      </x:c>
      <x:c r="C5" s="364" t="str">
        <x:v>設備</x:v>
      </x:c>
      <x:c r="D5" s="364" t="str">
        <x:v>GR-SAF-L3-01</x:v>
      </x:c>
      <x:c r="E5" s="364" t="str">
        <x:v>GR-SAF-L2-01</x:v>
      </x:c>
      <x:c r="F5" s="364" t="str">
        <x:v>GR-SAF-L1-01</x:v>
      </x:c>
      <x:c r="G5" s="364" t="str">
        <x:v>GR-SAF-L0-01</x:v>
      </x:c>
      <x:c r="H5" s="364" t="str">
        <x:v>はい</x:v>
      </x:c>
      <x:c r="I5" s="364" t="str">
        <x:v>はい</x:v>
      </x:c>
      <x:c r="J5" s="364" t="str">
        <x:v>現地安全確認・応急措置</x:v>
      </x:c>
      <x:c r="K5" s="364" t="str">
        <x:v>CTA-URGENT</x:v>
      </x:c>
      <x:c r="L5" s="364" t="str">
        <x:v>4段階充足</x:v>
      </x:c>
      <x:c r="M5" s="365" t="str"/>
    </x:row>
    <x:row r="6">
      <x:c r="A6" s="366" t="str">
        <x:v>CG-LEG</x:v>
      </x:c>
      <x:c r="B6" s="148" t="str">
        <x:v>法定点検・未是正</x:v>
      </x:c>
      <x:c r="C6" s="148" t="str">
        <x:v>管理</x:v>
      </x:c>
      <x:c r="D6" s="148" t="str">
        <x:v>GR-LEG-L3-01</x:v>
      </x:c>
      <x:c r="E6" s="148" t="str">
        <x:v>GR-LEG-L2-01</x:v>
      </x:c>
      <x:c r="F6" s="148" t="str">
        <x:v>GR-LEG-L1-01</x:v>
      </x:c>
      <x:c r="G6" s="148" t="str">
        <x:v>GR-LEG-L0-01</x:v>
      </x:c>
      <x:c r="H6" s="148" t="str">
        <x:v>はい</x:v>
      </x:c>
      <x:c r="I6" s="148" t="str">
        <x:v>はい</x:v>
      </x:c>
      <x:c r="J6" s="148" t="str">
        <x:v>指摘内容・期限・是正計画確認</x:v>
      </x:c>
      <x:c r="K6" s="148" t="str">
        <x:v>CTA-URGENT</x:v>
      </x:c>
      <x:c r="L6" s="148" t="str">
        <x:v>4段階充足</x:v>
      </x:c>
      <x:c r="M6" s="367" t="str"/>
    </x:row>
    <x:row r="7">
      <x:c r="A7" s="366" t="str">
        <x:v>CG-EOL</x:v>
      </x:c>
      <x:c r="B7" s="148" t="str">
        <x:v>メーカー保守終了</x:v>
      </x:c>
      <x:c r="C7" s="148" t="str">
        <x:v>設備</x:v>
      </x:c>
      <x:c r="D7" s="148" t="str">
        <x:v>GR-EOL-L3-01</x:v>
      </x:c>
      <x:c r="E7" s="148" t="str">
        <x:v>GR-EOL-L2-01</x:v>
      </x:c>
      <x:c r="F7" s="148" t="str">
        <x:v>GR-EOL-L1-01</x:v>
      </x:c>
      <x:c r="G7" s="148" t="str">
        <x:v>GR-EOL-L0-01</x:v>
      </x:c>
      <x:c r="H7" s="148" t="str">
        <x:v>はい</x:v>
      </x:c>
      <x:c r="I7" s="148" t="str">
        <x:v>はい</x:v>
      </x:c>
      <x:c r="J7" s="148" t="str">
        <x:v>型式・保守期限・後継方式確認</x:v>
      </x:c>
      <x:c r="K7" s="148" t="str">
        <x:v>CTA-MAKER</x:v>
      </x:c>
      <x:c r="L7" s="148" t="str">
        <x:v>4段階充足</x:v>
      </x:c>
      <x:c r="M7" s="367" t="str"/>
    </x:row>
    <x:row r="8">
      <x:c r="A8" s="366" t="str">
        <x:v>CG-BCP</x:v>
      </x:c>
      <x:c r="B8" s="148" t="str">
        <x:v>停止影響・代替なし</x:v>
      </x:c>
      <x:c r="C8" s="148" t="str">
        <x:v>経営・更新管理</x:v>
      </x:c>
      <x:c r="D8" s="148" t="str">
        <x:v>GR-BCP-L3-01</x:v>
      </x:c>
      <x:c r="E8" s="148" t="str">
        <x:v>GR-BCP-L2-01</x:v>
      </x:c>
      <x:c r="F8" s="148" t="str">
        <x:v>GR-BCP-L1-01</x:v>
      </x:c>
      <x:c r="G8" s="148" t="str">
        <x:v>GR-BCP-L0-01</x:v>
      </x:c>
      <x:c r="H8" s="148" t="str">
        <x:v>はい</x:v>
      </x:c>
      <x:c r="I8" s="148" t="str">
        <x:v>はい</x:v>
      </x:c>
      <x:c r="J8" s="148" t="str">
        <x:v>代替・復旧・予備品計画</x:v>
      </x:c>
      <x:c r="K8" s="148" t="str">
        <x:v>CTA-BCP</x:v>
      </x:c>
      <x:c r="L8" s="148" t="str">
        <x:v>4段階充足</x:v>
      </x:c>
      <x:c r="M8" s="367" t="str"/>
    </x:row>
    <x:row r="9">
      <x:c r="A9" s="366" t="str">
        <x:v>CG-DUE</x:v>
      </x:c>
      <x:c r="B9" s="148" t="str">
        <x:v>期限・予算日程</x:v>
      </x:c>
      <x:c r="C9" s="148" t="str">
        <x:v>管理</x:v>
      </x:c>
      <x:c r="D9" s="148" t="str">
        <x:v>GR-DUE-L3-01</x:v>
      </x:c>
      <x:c r="E9" s="148" t="str">
        <x:v>GR-DUE-L2-01</x:v>
      </x:c>
      <x:c r="F9" s="148" t="str">
        <x:v>GR-DUE-L1-01</x:v>
      </x:c>
      <x:c r="G9" s="148" t="str">
        <x:v>GR-DUE-L0-01</x:v>
      </x:c>
      <x:c r="H9" s="148" t="str">
        <x:v>はい</x:v>
      </x:c>
      <x:c r="I9" s="148" t="str">
        <x:v>はい</x:v>
      </x:c>
      <x:c r="J9" s="148" t="str">
        <x:v>判断期限・見積期限設定</x:v>
      </x:c>
      <x:c r="K9" s="148" t="str">
        <x:v>CTA-PLAN</x:v>
      </x:c>
      <x:c r="L9" s="148" t="str">
        <x:v>4段階充足</x:v>
      </x:c>
      <x:c r="M9" s="367" t="str"/>
    </x:row>
    <x:row r="10">
      <x:c r="A10" s="366" t="str">
        <x:v>CG-CUST</x:v>
      </x:c>
      <x:c r="B10" s="148" t="str">
        <x:v>顧客・監査要求</x:v>
      </x:c>
      <x:c r="C10" s="148" t="str">
        <x:v>品質・管理</x:v>
      </x:c>
      <x:c r="D10" s="148" t="str">
        <x:v>GR-CUST-L3-01</x:v>
      </x:c>
      <x:c r="E10" s="148" t="str">
        <x:v>GR-CUST-L2-01</x:v>
      </x:c>
      <x:c r="F10" s="148" t="str">
        <x:v>GR-CUST-L1-01</x:v>
      </x:c>
      <x:c r="G10" s="148" t="str">
        <x:v>GR-CUST-L0-01</x:v>
      </x:c>
      <x:c r="H10" s="148" t="str">
        <x:v>はい</x:v>
      </x:c>
      <x:c r="I10" s="148" t="str">
        <x:v>はい</x:v>
      </x:c>
      <x:c r="J10" s="148" t="str">
        <x:v>要求内容・是正期限確認</x:v>
      </x:c>
      <x:c r="K10" s="148" t="str">
        <x:v>CTA-QUALITY</x:v>
      </x:c>
      <x:c r="L10" s="148" t="str">
        <x:v>4段階充足</x:v>
      </x:c>
      <x:c r="M10" s="367" t="str"/>
    </x:row>
    <x:row r="11">
      <x:c r="A11" s="366" t="str">
        <x:v>CG-BLD</x:v>
      </x:c>
      <x:c r="B11" s="148" t="str">
        <x:v>雨漏り・結露・建屋安全</x:v>
      </x:c>
      <x:c r="C11" s="148" t="str">
        <x:v>建物・環境</x:v>
      </x:c>
      <x:c r="D11" s="148" t="str">
        <x:v>GR-BLD-L3-01</x:v>
      </x:c>
      <x:c r="E11" s="148" t="str">
        <x:v>GR-BLD-L2-01</x:v>
      </x:c>
      <x:c r="F11" s="148" t="str">
        <x:v>GR-BLD-L1-01</x:v>
      </x:c>
      <x:c r="G11" s="148" t="str">
        <x:v>GR-BLD-L0-01</x:v>
      </x:c>
      <x:c r="H11" s="148" t="str">
        <x:v>はい</x:v>
      </x:c>
      <x:c r="I11" s="148" t="str">
        <x:v>はい</x:v>
      </x:c>
      <x:c r="J11" s="148" t="str">
        <x:v>現地・温湿度・影響範囲確認</x:v>
      </x:c>
      <x:c r="K11" s="148" t="str">
        <x:v>CTA-BLD</x:v>
      </x:c>
      <x:c r="L11" s="148" t="str">
        <x:v>4段階充足</x:v>
      </x:c>
      <x:c r="M11" s="367" t="str"/>
    </x:row>
    <x:row r="12">
      <x:c r="A12" s="366" t="str">
        <x:v>CG-AGE</x:v>
      </x:c>
      <x:c r="B12" s="148" t="str">
        <x:v>設備経年</x:v>
      </x:c>
      <x:c r="C12" s="148" t="str">
        <x:v>設備</x:v>
      </x:c>
      <x:c r="D12" s="148" t="str">
        <x:v>EDI-AGE-L3-01</x:v>
      </x:c>
      <x:c r="E12" s="148" t="str">
        <x:v>EDI-AGE-L2-01</x:v>
      </x:c>
      <x:c r="F12" s="148" t="str">
        <x:v>EDI-AGE-L1-01</x:v>
      </x:c>
      <x:c r="G12" s="148" t="str">
        <x:v>EDI-AGE-L0-01</x:v>
      </x:c>
      <x:c r="H12" s="148" t="str">
        <x:v>いいえ</x:v>
      </x:c>
      <x:c r="I12" s="148" t="str">
        <x:v>はい</x:v>
      </x:c>
      <x:c r="J12" s="148" t="str">
        <x:v>設置年・点検・保守期限確認</x:v>
      </x:c>
      <x:c r="K12" s="148" t="str">
        <x:v>CTA-EQP</x:v>
      </x:c>
      <x:c r="L12" s="148" t="str">
        <x:v>4段階充足</x:v>
      </x:c>
      <x:c r="M12" s="367" t="str"/>
    </x:row>
    <x:row r="13">
      <x:c r="A13" s="366" t="str">
        <x:v>CG-FAIL</x:v>
      </x:c>
      <x:c r="B13" s="148" t="str">
        <x:v>故障増加</x:v>
      </x:c>
      <x:c r="C13" s="148" t="str">
        <x:v>設備</x:v>
      </x:c>
      <x:c r="D13" s="148" t="str">
        <x:v>EDI-FAIL-L3-01</x:v>
      </x:c>
      <x:c r="E13" s="148" t="str">
        <x:v>EDI-FAIL-L2-01</x:v>
      </x:c>
      <x:c r="F13" s="148" t="str">
        <x:v>EDI-FAIL-L1-01</x:v>
      </x:c>
      <x:c r="G13" s="148" t="str">
        <x:v>EDI-FAIL-L0-01</x:v>
      </x:c>
      <x:c r="H13" s="148" t="str">
        <x:v>条件</x:v>
      </x:c>
      <x:c r="I13" s="148" t="str">
        <x:v>はい</x:v>
      </x:c>
      <x:c r="J13" s="148" t="str">
        <x:v>故障履歴と原因傾向整理</x:v>
      </x:c>
      <x:c r="K13" s="148" t="str">
        <x:v>CTA-EQP</x:v>
      </x:c>
      <x:c r="L13" s="148" t="str">
        <x:v>4段階充足</x:v>
      </x:c>
      <x:c r="M13" s="367" t="str"/>
    </x:row>
    <x:row r="14">
      <x:c r="A14" s="366" t="str">
        <x:v>CG-MAINT</x:v>
      </x:c>
      <x:c r="B14" s="148" t="str">
        <x:v>保全方式・履歴不足</x:v>
      </x:c>
      <x:c r="C14" s="148" t="str">
        <x:v>設備管理</x:v>
      </x:c>
      <x:c r="D14" s="148" t="str">
        <x:v>EDI-MAINT-L3-01</x:v>
      </x:c>
      <x:c r="E14" s="148" t="str">
        <x:v>EDI-MAINT-L2-01</x:v>
      </x:c>
      <x:c r="F14" s="148" t="str">
        <x:v>EDI-MAINT-L1-01</x:v>
      </x:c>
      <x:c r="G14" s="148" t="str">
        <x:v>EDI-MAINT-L0-01</x:v>
      </x:c>
      <x:c r="H14" s="148" t="str">
        <x:v>いいえ</x:v>
      </x:c>
      <x:c r="I14" s="148" t="str">
        <x:v>はい</x:v>
      </x:c>
      <x:c r="J14" s="148" t="str">
        <x:v>保全計画・履歴整備</x:v>
      </x:c>
      <x:c r="K14" s="148" t="str">
        <x:v>CTA-EQP</x:v>
      </x:c>
      <x:c r="L14" s="148" t="str">
        <x:v>4段階充足</x:v>
      </x:c>
      <x:c r="M14" s="367" t="str"/>
    </x:row>
    <x:row r="15">
      <x:c r="A15" s="366" t="str">
        <x:v>CG-METER</x:v>
      </x:c>
      <x:c r="B15" s="148" t="str">
        <x:v>設備別電力未把握</x:v>
      </x:c>
      <x:c r="C15" s="148" t="str">
        <x:v>エネルギー</x:v>
      </x:c>
      <x:c r="D15" s="148" t="str">
        <x:v>EDI-METER-L3-01</x:v>
      </x:c>
      <x:c r="E15" s="148" t="str">
        <x:v>EDI-METER-L2-01</x:v>
      </x:c>
      <x:c r="F15" s="148" t="str">
        <x:v>EDI-METER-L1-01</x:v>
      </x:c>
      <x:c r="G15" s="148" t="str">
        <x:v>EDI-METER-L0-01</x:v>
      </x:c>
      <x:c r="H15" s="148" t="str">
        <x:v>いいえ</x:v>
      </x:c>
      <x:c r="I15" s="148" t="str">
        <x:v>はい</x:v>
      </x:c>
      <x:c r="J15" s="148" t="str">
        <x:v>簡易計測・監視導入</x:v>
      </x:c>
      <x:c r="K15" s="148" t="str">
        <x:v>CTA-METER</x:v>
      </x:c>
      <x:c r="L15" s="148" t="str">
        <x:v>4段階充足</x:v>
      </x:c>
      <x:c r="M15" s="367" t="str"/>
    </x:row>
    <x:row r="16">
      <x:c r="A16" s="366" t="str">
        <x:v>CG-DOC</x:v>
      </x:c>
      <x:c r="B16" s="148" t="str">
        <x:v>図面不足</x:v>
      </x:c>
      <x:c r="C16" s="148" t="str">
        <x:v>経営・更新管理</x:v>
      </x:c>
      <x:c r="D16" s="148" t="str">
        <x:v>DRI-DOC-L3-01</x:v>
      </x:c>
      <x:c r="E16" s="148" t="str">
        <x:v>DRI-DOC-L2-01</x:v>
      </x:c>
      <x:c r="F16" s="148" t="str">
        <x:v>DRI-DOC-L1-01</x:v>
      </x:c>
      <x:c r="G16" s="148" t="str">
        <x:v>DRI-DOC-L0-01</x:v>
      </x:c>
      <x:c r="H16" s="148" t="str">
        <x:v>いいえ</x:v>
      </x:c>
      <x:c r="I16" s="148" t="str">
        <x:v>はい</x:v>
      </x:c>
      <x:c r="J16" s="148" t="str">
        <x:v>図面探索・現況図作成</x:v>
      </x:c>
      <x:c r="K16" s="148" t="str">
        <x:v>CTA-DOC</x:v>
      </x:c>
      <x:c r="L16" s="148" t="str">
        <x:v>4段階充足</x:v>
      </x:c>
      <x:c r="M16" s="367" t="str"/>
    </x:row>
    <x:row r="17">
      <x:c r="A17" s="366" t="str">
        <x:v>CG-BUDGET</x:v>
      </x:c>
      <x:c r="B17" s="148" t="str">
        <x:v>予算・見積不足</x:v>
      </x:c>
      <x:c r="C17" s="148" t="str">
        <x:v>経営・更新管理</x:v>
      </x:c>
      <x:c r="D17" s="148" t="str">
        <x:v>DRI-BUDGET-L3-01</x:v>
      </x:c>
      <x:c r="E17" s="148" t="str">
        <x:v>DRI-BUDGET-L2-01</x:v>
      </x:c>
      <x:c r="F17" s="148" t="str">
        <x:v>DRI-BUDGET-L1-01</x:v>
      </x:c>
      <x:c r="G17" s="148" t="str">
        <x:v>DRI-BUDGET-L0-01</x:v>
      </x:c>
      <x:c r="H17" s="148" t="str">
        <x:v>いいえ</x:v>
      </x:c>
      <x:c r="I17" s="148" t="str">
        <x:v>はい</x:v>
      </x:c>
      <x:c r="J17" s="148" t="str">
        <x:v>概算見積・予算申請時期整理</x:v>
      </x:c>
      <x:c r="K17" s="148" t="str">
        <x:v>CTA-QUOTE</x:v>
      </x:c>
      <x:c r="L17" s="148" t="str">
        <x:v>4段階充足</x:v>
      </x:c>
      <x:c r="M17" s="367" t="str"/>
    </x:row>
    <x:row r="18">
      <x:c r="A18" s="366" t="str">
        <x:v>CG-RISK</x:v>
      </x:c>
      <x:c r="B18" s="148" t="str">
        <x:v>故障・供給リスク</x:v>
      </x:c>
      <x:c r="C18" s="148" t="str">
        <x:v>設備</x:v>
      </x:c>
      <x:c r="D18" s="148" t="str">
        <x:v>EPI-RISK-L3-01</x:v>
      </x:c>
      <x:c r="E18" s="148" t="str">
        <x:v>EPI-RISK-L2-01</x:v>
      </x:c>
      <x:c r="F18" s="148" t="str">
        <x:v>EPI-RISK-L1-01</x:v>
      </x:c>
      <x:c r="G18" s="148" t="str">
        <x:v>EPI-RISK-L0-01</x:v>
      </x:c>
      <x:c r="H18" s="148" t="str">
        <x:v>条件</x:v>
      </x:c>
      <x:c r="I18" s="148" t="str">
        <x:v>はい</x:v>
      </x:c>
      <x:c r="J18" s="148" t="str">
        <x:v>更新・予備品・監視比較</x:v>
      </x:c>
      <x:c r="K18" s="148" t="str">
        <x:v>CTA-PLAN</x:v>
      </x:c>
      <x:c r="L18" s="148" t="str">
        <x:v>4段階充足</x:v>
      </x:c>
      <x:c r="M18" s="367" t="str"/>
    </x:row>
    <x:row r="19">
      <x:c r="A19" s="368" t="str">
        <x:v>CG-ENE</x:v>
      </x:c>
      <x:c r="B19" s="369" t="str">
        <x:v>省エネ機会</x:v>
      </x:c>
      <x:c r="C19" s="369" t="str">
        <x:v>エネルギー</x:v>
      </x:c>
      <x:c r="D19" s="369" t="str">
        <x:v>EPI-ENE-L3-01</x:v>
      </x:c>
      <x:c r="E19" s="369" t="str">
        <x:v>EPI-ENE-L2-01</x:v>
      </x:c>
      <x:c r="F19" s="369" t="str">
        <x:v>EPI-ENE-L1-01</x:v>
      </x:c>
      <x:c r="G19" s="369" t="str">
        <x:v>EPI-ENE-L0-01</x:v>
      </x:c>
      <x:c r="H19" s="369" t="str">
        <x:v>いいえ</x:v>
      </x:c>
      <x:c r="I19" s="369" t="str">
        <x:v>はい</x:v>
      </x:c>
      <x:c r="J19" s="369" t="str">
        <x:v>現状計測・効果試算</x:v>
      </x:c>
      <x:c r="K19" s="369" t="str">
        <x:v>CTA-METER</x:v>
      </x:c>
      <x:c r="L19" s="369" t="str">
        <x:v>4段階充足</x:v>
      </x:c>
      <x:c r="M19" s="370" t="str"/>
    </x:row>
  </x:sheetData>
  <x:mergeCells>
    <x:mergeCell ref="A1:M1"/>
    <x:mergeCell ref="A2:M2"/>
  </x:mergeCells>
  <x:pageMargins left="0.7" right="0.7" top="0.75" bottom="0.75" header="0.3" footer="0.3"/>
</x:worksheet>
</file>

<file path=xl/worksheets/sheet17.xml><?xml version="1.0" encoding="utf-8"?>
<x:worksheet xmlns:x="http://schemas.openxmlformats.org/spreadsheetml/2006/main">
  <x:sheetFormatPr defaultRowHeight="15"/>
  <x:cols>
    <x:col min="1" max="1" width="12" hidden="0" customWidth="1"/>
    <x:col min="2" max="2" width="28" hidden="0" customWidth="1"/>
    <x:col min="3" max="3" width="10" hidden="0" customWidth="1"/>
    <x:col min="4" max="4" width="20" hidden="0" customWidth="1"/>
    <x:col min="5" max="5" width="16" hidden="0" customWidth="1"/>
    <x:col min="6" max="6" width="12" hidden="0" customWidth="1"/>
    <x:col min="7" max="7" width="14" hidden="0" customWidth="1"/>
    <x:col min="8" max="8" width="12" hidden="0" customWidth="1"/>
    <x:col min="9" max="9" width="12" hidden="0" customWidth="1"/>
    <x:col min="10" max="10" width="22" hidden="0" customWidth="1"/>
    <x:col min="11" max="11" width="18" hidden="0" customWidth="1"/>
    <x:col min="12" max="12" width="30" hidden="0" customWidth="1"/>
  </x:cols>
  <x:sheetData>
    <x:row r="1" ht="28" customHeight="1">
      <x:c r="A1" s="329" t="str">
        <x:v>16_テスト入力</x:v>
      </x:c>
      <x:c r="B1" s="329"/>
      <x:c r="C1" s="329"/>
      <x:c r="D1" s="329"/>
      <x:c r="E1" s="329"/>
      <x:c r="F1" s="329"/>
      <x:c r="G1" s="329"/>
      <x:c r="H1" s="329"/>
      <x:c r="I1" s="329"/>
      <x:c r="J1" s="329"/>
      <x:c r="K1" s="329"/>
      <x:c r="L1" s="329"/>
    </x:row>
    <x:row r="2" ht="36" customHeight="1">
      <x:c r="A2" s="332" t="str">
        <x:v>Version0.5の自動生成確認用テストケース。回答値・Evidenceレベル・コメント選択を一体で確認する。</x:v>
      </x:c>
      <x:c r="B2" s="332"/>
      <x:c r="C2" s="332"/>
      <x:c r="D2" s="332"/>
      <x:c r="E2" s="332"/>
      <x:c r="F2" s="332"/>
      <x:c r="G2" s="332"/>
      <x:c r="H2" s="332"/>
      <x:c r="I2" s="332"/>
      <x:c r="J2" s="332"/>
      <x:c r="K2" s="332"/>
      <x:c r="L2" s="332"/>
    </x:row>
    <x:row r="4" ht="38" customHeight="1">
      <x:c r="A4" s="344" t="str">
        <x:v>ケースID</x:v>
      </x:c>
      <x:c r="B4" s="345" t="str">
        <x:v>会社・工場</x:v>
      </x:c>
      <x:c r="C4" s="345" t="str">
        <x:v>質問ID</x:v>
      </x:c>
      <x:c r="D4" s="345" t="str">
        <x:v>質問テーマ</x:v>
      </x:c>
      <x:c r="E4" s="345" t="str">
        <x:v>回答内部値</x:v>
      </x:c>
      <x:c r="F4" s="345" t="str">
        <x:v>回答スコア</x:v>
      </x:c>
      <x:c r="G4" s="345" t="str">
        <x:v>Evidenceレベル</x:v>
      </x:c>
      <x:c r="H4" s="345" t="str">
        <x:v>Evidence点</x:v>
      </x:c>
      <x:c r="I4" s="345" t="str">
        <x:v>L0矛盾</x:v>
      </x:c>
      <x:c r="J4" s="345" t="str">
        <x:v>期待コメントコード</x:v>
      </x:c>
      <x:c r="K4" s="345" t="str">
        <x:v>期待課題群</x:v>
      </x:c>
      <x:c r="L4" s="346" t="str">
        <x:v>備考</x:v>
      </x:c>
    </x:row>
    <x:row r="5">
      <x:c r="A5" s="363" t="str">
        <x:v>TC-A</x:v>
      </x:c>
      <x:c r="B5" s="364" t="str">
        <x:v>サンプル製造株式会社 第1工場</x:v>
      </x:c>
      <x:c r="C5" s="364" t="str">
        <x:v>Q101</x:v>
      </x:c>
      <x:c r="D5" s="364" t="str">
        <x:v>異常兆候</x:v>
      </x:c>
      <x:c r="E5" s="364" t="str">
        <x:v>NO</x:v>
      </x:c>
      <x:c r="F5" s="364" t="n">
        <x:v>100</x:v>
      </x:c>
      <x:c r="G5" s="364" t="str">
        <x:v>L2</x:v>
      </x:c>
      <x:c r="H5" s="364" t="n">
        <x:v>70</x:v>
      </x:c>
      <x:c r="I5" s="364" t="str">
        <x:v>なし</x:v>
      </x:c>
      <x:c r="J5" s="364" t="str"/>
      <x:c r="K5" s="364" t="str">
        <x:v>安全</x:v>
      </x:c>
      <x:c r="L5" s="365" t="str">
        <x:v>異常なし自己申告</x:v>
      </x:c>
    </x:row>
    <x:row r="6">
      <x:c r="A6" s="366" t="str">
        <x:v>TC-A</x:v>
      </x:c>
      <x:c r="B6" s="148" t="str">
        <x:v>サンプル製造株式会社 第1工場</x:v>
      </x:c>
      <x:c r="C6" s="148" t="str">
        <x:v>Q106</x:v>
      </x:c>
      <x:c r="D6" s="148" t="str">
        <x:v>保守終了</x:v>
      </x:c>
      <x:c r="E6" s="148" t="str">
        <x:v>YES</x:v>
      </x:c>
      <x:c r="F6" s="148" t="n">
        <x:v>100</x:v>
      </x:c>
      <x:c r="G6" s="148" t="str">
        <x:v>L3</x:v>
      </x:c>
      <x:c r="H6" s="148" t="n">
        <x:v>100</x:v>
      </x:c>
      <x:c r="I6" s="148" t="str">
        <x:v>なし</x:v>
      </x:c>
      <x:c r="J6" s="148" t="str">
        <x:v>GR-EOL-L3-01</x:v>
      </x:c>
      <x:c r="K6" s="148" t="str">
        <x:v>EOL</x:v>
      </x:c>
      <x:c r="L6" s="367" t="str">
        <x:v>メーカー正式回答あり</x:v>
      </x:c>
    </x:row>
    <x:row r="7">
      <x:c r="A7" s="366" t="str">
        <x:v>TC-A</x:v>
      </x:c>
      <x:c r="B7" s="148" t="str">
        <x:v>サンプル製造株式会社 第1工場</x:v>
      </x:c>
      <x:c r="C7" s="148" t="str">
        <x:v>Q108</x:v>
      </x:c>
      <x:c r="D7" s="148" t="str">
        <x:v>停止影響</x:v>
      </x:c>
      <x:c r="E7" s="148" t="str">
        <x:v>HIGH</x:v>
      </x:c>
      <x:c r="F7" s="148" t="n">
        <x:v>75</x:v>
      </x:c>
      <x:c r="G7" s="148" t="str">
        <x:v>L2</x:v>
      </x:c>
      <x:c r="H7" s="148" t="n">
        <x:v>70</x:v>
      </x:c>
      <x:c r="I7" s="148" t="str">
        <x:v>なし</x:v>
      </x:c>
      <x:c r="J7" s="148" t="str">
        <x:v>GR-BCP-L2-01</x:v>
      </x:c>
      <x:c r="K7" s="148" t="str">
        <x:v>BCP</x:v>
      </x:c>
      <x:c r="L7" s="367" t="str">
        <x:v>生産停止影響大</x:v>
      </x:c>
    </x:row>
    <x:row r="8">
      <x:c r="A8" s="366" t="str">
        <x:v>TC-A</x:v>
      </x:c>
      <x:c r="B8" s="148" t="str">
        <x:v>サンプル製造株式会社 第1工場</x:v>
      </x:c>
      <x:c r="C8" s="148" t="str">
        <x:v>Q109</x:v>
      </x:c>
      <x:c r="D8" s="148" t="str">
        <x:v>代替手段</x:v>
      </x:c>
      <x:c r="E8" s="148" t="str">
        <x:v>NONE</x:v>
      </x:c>
      <x:c r="F8" s="148" t="n">
        <x:v>0</x:v>
      </x:c>
      <x:c r="G8" s="148" t="str">
        <x:v>L2</x:v>
      </x:c>
      <x:c r="H8" s="148" t="n">
        <x:v>70</x:v>
      </x:c>
      <x:c r="I8" s="148" t="str">
        <x:v>なし</x:v>
      </x:c>
      <x:c r="J8" s="148" t="str">
        <x:v>GR-BCP-L2-01</x:v>
      </x:c>
      <x:c r="K8" s="148" t="str">
        <x:v>BCP</x:v>
      </x:c>
      <x:c r="L8" s="367" t="str">
        <x:v>代替なし</x:v>
      </x:c>
    </x:row>
    <x:row r="9">
      <x:c r="A9" s="366" t="str">
        <x:v>TC-A</x:v>
      </x:c>
      <x:c r="B9" s="148" t="str">
        <x:v>サンプル製造株式会社 第1工場</x:v>
      </x:c>
      <x:c r="C9" s="148" t="str">
        <x:v>Q111</x:v>
      </x:c>
      <x:c r="D9" s="148" t="str">
        <x:v>期限事項</x:v>
      </x:c>
      <x:c r="E9" s="148" t="str">
        <x:v>Y1</x:v>
      </x:c>
      <x:c r="F9" s="148" t="n">
        <x:v>35</x:v>
      </x:c>
      <x:c r="G9" s="148" t="str">
        <x:v>L3</x:v>
      </x:c>
      <x:c r="H9" s="148" t="n">
        <x:v>100</x:v>
      </x:c>
      <x:c r="I9" s="148" t="str">
        <x:v>なし</x:v>
      </x:c>
      <x:c r="J9" s="148" t="str">
        <x:v>GR-DUE-L3-01</x:v>
      </x:c>
      <x:c r="K9" s="148" t="str">
        <x:v>期限</x:v>
      </x:c>
      <x:c r="L9" s="367" t="str">
        <x:v>次年度予算まで8か月</x:v>
      </x:c>
    </x:row>
    <x:row r="10">
      <x:c r="A10" s="366" t="str">
        <x:v>TC-A</x:v>
      </x:c>
      <x:c r="B10" s="148" t="str">
        <x:v>サンプル製造株式会社 第1工場</x:v>
      </x:c>
      <x:c r="C10" s="148" t="str">
        <x:v>Q202</x:v>
      </x:c>
      <x:c r="D10" s="148" t="str">
        <x:v>20年以上比率</x:v>
      </x:c>
      <x:c r="E10" s="148" t="str">
        <x:v>FULL</x:v>
      </x:c>
      <x:c r="F10" s="148" t="n">
        <x:v>0</x:v>
      </x:c>
      <x:c r="G10" s="148" t="str">
        <x:v>L3</x:v>
      </x:c>
      <x:c r="H10" s="148" t="n">
        <x:v>100</x:v>
      </x:c>
      <x:c r="I10" s="148" t="str">
        <x:v>なし</x:v>
      </x:c>
      <x:c r="J10" s="148" t="str">
        <x:v>EDI-AGE-L3-01</x:v>
      </x:c>
      <x:c r="K10" s="148" t="str">
        <x:v>経年</x:v>
      </x:c>
      <x:c r="L10" s="367" t="str">
        <x:v>主要設備の多くが20年以上</x:v>
      </x:c>
    </x:row>
    <x:row r="11">
      <x:c r="A11" s="366" t="str">
        <x:v>TC-A</x:v>
      </x:c>
      <x:c r="B11" s="148" t="str">
        <x:v>サンプル製造株式会社 第1工場</x:v>
      </x:c>
      <x:c r="C11" s="148" t="str">
        <x:v>Q203</x:v>
      </x:c>
      <x:c r="D11" s="148" t="str">
        <x:v>故障傾向</x:v>
      </x:c>
      <x:c r="E11" s="148" t="str">
        <x:v>UP</x:v>
      </x:c>
      <x:c r="F11" s="148" t="n">
        <x:v>35</x:v>
      </x:c>
      <x:c r="G11" s="148" t="str">
        <x:v>L3</x:v>
      </x:c>
      <x:c r="H11" s="148" t="n">
        <x:v>100</x:v>
      </x:c>
      <x:c r="I11" s="148" t="str">
        <x:v>なし</x:v>
      </x:c>
      <x:c r="J11" s="148" t="str">
        <x:v>EDI-FAIL-L3-01</x:v>
      </x:c>
      <x:c r="K11" s="148" t="str">
        <x:v>故障増加</x:v>
      </x:c>
      <x:c r="L11" s="367" t="str">
        <x:v>履歴で増加確認</x:v>
      </x:c>
    </x:row>
    <x:row r="12">
      <x:c r="A12" s="366" t="str">
        <x:v>TC-A</x:v>
      </x:c>
      <x:c r="B12" s="148" t="str">
        <x:v>サンプル製造株式会社 第1工場</x:v>
      </x:c>
      <x:c r="C12" s="148" t="str">
        <x:v>Q222</x:v>
      </x:c>
      <x:c r="D12" s="148" t="str">
        <x:v>設備別計測</x:v>
      </x:c>
      <x:c r="E12" s="148" t="str">
        <x:v>LOW</x:v>
      </x:c>
      <x:c r="F12" s="148" t="n">
        <x:v>20</x:v>
      </x:c>
      <x:c r="G12" s="148" t="str">
        <x:v>L1</x:v>
      </x:c>
      <x:c r="H12" s="148" t="n">
        <x:v>35</x:v>
      </x:c>
      <x:c r="I12" s="148" t="str">
        <x:v>なし</x:v>
      </x:c>
      <x:c r="J12" s="148" t="str">
        <x:v>EDI-METER-L1-01</x:v>
      </x:c>
      <x:c r="K12" s="148" t="str">
        <x:v>電力未把握</x:v>
      </x:c>
      <x:c r="L12" s="367" t="str">
        <x:v>設備別計測なし</x:v>
      </x:c>
    </x:row>
    <x:row r="13">
      <x:c r="A13" s="366" t="str">
        <x:v>TC-A</x:v>
      </x:c>
      <x:c r="B13" s="148" t="str">
        <x:v>サンプル製造株式会社 第1工場</x:v>
      </x:c>
      <x:c r="C13" s="148" t="str">
        <x:v>Q301</x:v>
      </x:c>
      <x:c r="D13" s="148" t="str">
        <x:v>図面整備</x:v>
      </x:c>
      <x:c r="E13" s="148" t="str">
        <x:v>PARTIAL</x:v>
      </x:c>
      <x:c r="F13" s="148" t="n">
        <x:v>65</x:v>
      </x:c>
      <x:c r="G13" s="148" t="str">
        <x:v>L2</x:v>
      </x:c>
      <x:c r="H13" s="148" t="n">
        <x:v>70</x:v>
      </x:c>
      <x:c r="I13" s="148" t="str">
        <x:v>なし</x:v>
      </x:c>
      <x:c r="J13" s="148" t="str">
        <x:v>DRI-DOC-L2-01</x:v>
      </x:c>
      <x:c r="K13" s="148" t="str">
        <x:v>図面不足</x:v>
      </x:c>
      <x:c r="L13" s="367" t="str">
        <x:v>旧図面のみ</x:v>
      </x:c>
    </x:row>
    <x:row r="14">
      <x:c r="A14" s="366" t="str">
        <x:v>TC-A</x:v>
      </x:c>
      <x:c r="B14" s="148" t="str">
        <x:v>サンプル製造株式会社 第1工場</x:v>
      </x:c>
      <x:c r="C14" s="148" t="str">
        <x:v>Q306</x:v>
      </x:c>
      <x:c r="D14" s="148" t="str">
        <x:v>予算枠</x:v>
      </x:c>
      <x:c r="E14" s="148" t="str">
        <x:v>PLANNED</x:v>
      </x:c>
      <x:c r="F14" s="148" t="n">
        <x:v>70</x:v>
      </x:c>
      <x:c r="G14" s="148" t="str">
        <x:v>L2</x:v>
      </x:c>
      <x:c r="H14" s="148" t="n">
        <x:v>70</x:v>
      </x:c>
      <x:c r="I14" s="148" t="str">
        <x:v>なし</x:v>
      </x:c>
      <x:c r="J14" s="148" t="str">
        <x:v>DRI-BUDGET-L2-01</x:v>
      </x:c>
      <x:c r="K14" s="148" t="str">
        <x:v>予算</x:v>
      </x:c>
      <x:c r="L14" s="367" t="str">
        <x:v>予算申請時期あり</x:v>
      </x:c>
    </x:row>
    <x:row r="15">
      <x:c r="A15" s="366" t="str">
        <x:v>TC-A</x:v>
      </x:c>
      <x:c r="B15" s="148" t="str">
        <x:v>サンプル製造株式会社 第1工場</x:v>
      </x:c>
      <x:c r="C15" s="148" t="str">
        <x:v>Q403</x:v>
      </x:c>
      <x:c r="D15" s="148" t="str">
        <x:v>故障リスク</x:v>
      </x:c>
      <x:c r="E15" s="148" t="str">
        <x:v>HIGH</x:v>
      </x:c>
      <x:c r="F15" s="148" t="n">
        <x:v>100</x:v>
      </x:c>
      <x:c r="G15" s="148" t="str">
        <x:v>L3</x:v>
      </x:c>
      <x:c r="H15" s="148" t="n">
        <x:v>100</x:v>
      </x:c>
      <x:c r="I15" s="148" t="str">
        <x:v>なし</x:v>
      </x:c>
      <x:c r="J15" s="148" t="str">
        <x:v>EPI-RISK-L3-01</x:v>
      </x:c>
      <x:c r="K15" s="148" t="str">
        <x:v>故障リスク</x:v>
      </x:c>
      <x:c r="L15" s="367" t="str">
        <x:v>点検資料あり</x:v>
      </x:c>
    </x:row>
    <x:row r="16">
      <x:c r="A16" s="368" t="str">
        <x:v>TC-A</x:v>
      </x:c>
      <x:c r="B16" s="369" t="str">
        <x:v>サンプル製造株式会社 第1工場</x:v>
      </x:c>
      <x:c r="C16" s="369" t="str">
        <x:v>Q406</x:v>
      </x:c>
      <x:c r="D16" s="369" t="str">
        <x:v>省エネ効果</x:v>
      </x:c>
      <x:c r="E16" s="369" t="str">
        <x:v>MID</x:v>
      </x:c>
      <x:c r="F16" s="369" t="n">
        <x:v>65</x:v>
      </x:c>
      <x:c r="G16" s="369" t="str">
        <x:v>L2</x:v>
      </x:c>
      <x:c r="H16" s="369" t="n">
        <x:v>70</x:v>
      </x:c>
      <x:c r="I16" s="369" t="str">
        <x:v>なし</x:v>
      </x:c>
      <x:c r="J16" s="369" t="str">
        <x:v>EPI-ENE-L2-01</x:v>
      </x:c>
      <x:c r="K16" s="369" t="str">
        <x:v>省エネ機会</x:v>
      </x:c>
      <x:c r="L16" s="370" t="str">
        <x:v>効果見込みあり</x:v>
      </x:c>
    </x:row>
  </x:sheetData>
  <x:mergeCells>
    <x:mergeCell ref="A1:L1"/>
    <x:mergeCell ref="A2:L2"/>
  </x:mergeCells>
  <x:pageMargins left="0.7" right="0.7" top="0.75" bottom="0.75" header="0.3" footer="0.3"/>
</x:worksheet>
</file>

<file path=xl/worksheets/sheet18.xml><?xml version="1.0" encoding="utf-8"?>
<x:worksheet xmlns:x="http://schemas.openxmlformats.org/spreadsheetml/2006/main">
  <x:sheetFormatPr defaultRowHeight="15"/>
  <x:cols>
    <x:col min="1" max="1" width="14" hidden="0" customWidth="1"/>
    <x:col min="2" max="2" width="24" hidden="0" customWidth="1"/>
    <x:col min="3" max="3" width="14" hidden="0" customWidth="1"/>
    <x:col min="4" max="4" width="14" hidden="0" customWidth="1"/>
    <x:col min="5" max="5" width="18" hidden="0" customWidth="1"/>
    <x:col min="6" max="6" width="44" hidden="0" customWidth="1"/>
    <x:col min="7" max="7" width="22" hidden="0" customWidth="1"/>
    <x:col min="8" max="8" width="18" hidden="0" customWidth="1"/>
    <x:col min="9" max="9" width="18" hidden="0" customWidth="1"/>
    <x:col min="10" max="10" width="18" hidden="0" customWidth="1"/>
  </x:cols>
  <x:sheetData>
    <x:row r="1" ht="28" customHeight="1">
      <x:c r="A1" s="329" t="str">
        <x:v>17_自動生成サンプル</x:v>
      </x:c>
      <x:c r="B1" s="329"/>
      <x:c r="C1" s="329"/>
      <x:c r="D1" s="329"/>
      <x:c r="E1" s="329"/>
      <x:c r="F1" s="329"/>
      <x:c r="G1" s="329"/>
      <x:c r="H1" s="329"/>
      <x:c r="I1" s="329"/>
      <x:c r="J1" s="329"/>
    </x:row>
    <x:row r="2" ht="36" customHeight="1">
      <x:c r="A2" s="332" t="str">
        <x:v>TC-Aを用いたA3レポート出力前の診断結果サンプル。数値・順位・コメント・Next Actionのつながりを確認する。</x:v>
      </x:c>
      <x:c r="B2" s="332"/>
      <x:c r="C2" s="332"/>
      <x:c r="D2" s="332"/>
      <x:c r="E2" s="332"/>
      <x:c r="F2" s="332"/>
      <x:c r="G2" s="332"/>
      <x:c r="H2" s="332"/>
      <x:c r="I2" s="332"/>
      <x:c r="J2" s="332"/>
    </x:row>
    <x:row r="4">
      <x:c r="A4" s="381" t="str">
        <x:v>1. KPIサマリー（TC-A）</x:v>
      </x:c>
      <x:c r="B4" s="382"/>
      <x:c r="C4" s="382"/>
      <x:c r="D4" s="382"/>
      <x:c r="E4" s="382"/>
      <x:c r="F4" s="382"/>
      <x:c r="G4" s="382"/>
      <x:c r="H4" s="382"/>
      <x:c r="I4" s="382"/>
      <x:c r="J4" s="383"/>
    </x:row>
    <x:row r="5" ht="38" customHeight="1">
      <x:c r="A5" s="344" t="str">
        <x:v>指標</x:v>
      </x:c>
      <x:c r="B5" s="345" t="str">
        <x:v>サンプル値</x:v>
      </x:c>
      <x:c r="C5" s="345" t="str">
        <x:v>評価帯</x:v>
      </x:c>
      <x:c r="D5" s="345" t="str">
        <x:v>表示文</x:v>
      </x:c>
      <x:c r="E5" s="345" t="str">
        <x:v>信頼度注記</x:v>
      </x:c>
      <x:c r="F5" s="346" t="str">
        <x:v>備考</x:v>
      </x:c>
    </x:row>
    <x:row r="6">
      <x:c r="A6" s="363" t="str">
        <x:v>EDI</x:v>
      </x:c>
      <x:c r="B6" s="364" t="n">
        <x:v>48</x:v>
      </x:c>
      <x:c r="C6" s="364" t="str">
        <x:v>要改善</x:v>
      </x:c>
      <x:c r="D6" s="364" t="str">
        <x:v>設備の経年、故障増加、設備別電力未把握が主な低下要因です。</x:v>
      </x:c>
      <x:c r="E6" s="364" t="str">
        <x:v>個別所見はL1～L3混在</x:v>
      </x:c>
      <x:c r="F6" s="365" t="str">
        <x:v>サンプル固定値</x:v>
      </x:c>
    </x:row>
    <x:row r="7">
      <x:c r="A7" s="366" t="str">
        <x:v>DRI</x:v>
      </x:c>
      <x:c r="B7" s="148" t="n">
        <x:v>62</x:v>
      </x:c>
      <x:c r="C7" s="148" t="str">
        <x:v>判断準備中</x:v>
      </x:c>
      <x:c r="D7" s="148" t="str">
        <x:v>図面と予算条件は一部整っていますが、追加確認が必要です。</x:v>
      </x:c>
      <x:c r="E7" s="148" t="str">
        <x:v>L2中心</x:v>
      </x:c>
      <x:c r="F7" s="367" t="str"/>
    </x:row>
    <x:row r="8">
      <x:c r="A8" s="366" t="str">
        <x:v>EPI</x:v>
      </x:c>
      <x:c r="B8" s="148" t="n">
        <x:v>82</x:v>
      </x:c>
      <x:c r="C8" s="148" t="str">
        <x:v>最優先</x:v>
      </x:c>
      <x:c r="D8" s="148" t="str">
        <x:v>EOL、停止影響、故障リスク、予算期限から早期着手が望まれます。</x:v>
      </x:c>
      <x:c r="E8" s="148" t="str">
        <x:v>主要課題L3あり</x:v>
      </x:c>
      <x:c r="F8" s="367" t="str"/>
    </x:row>
    <x:row r="9">
      <x:c r="A9" s="366" t="str">
        <x:v>診断信頼度</x:v>
      </x:c>
      <x:c r="B9" s="148" t="n">
        <x:v>78</x:v>
      </x:c>
      <x:c r="C9" s="148" t="str">
        <x:v>中～高</x:v>
      </x:c>
      <x:c r="D9" s="148" t="str">
        <x:v>主要課題の一部は正式資料で確認されています。</x:v>
      </x:c>
      <x:c r="E9" s="148" t="str">
        <x:v>L3/L2/L1混在</x:v>
      </x:c>
      <x:c r="F9" s="367" t="str"/>
    </x:row>
    <x:row r="10">
      <x:c r="A10" s="368" t="str">
        <x:v>情報充足率</x:v>
      </x:c>
      <x:c r="B10" s="369" t="n">
        <x:v>72</x:v>
      </x:c>
      <x:c r="C10" s="369" t="str">
        <x:v>概ね十分</x:v>
      </x:c>
      <x:c r="D10" s="369" t="str">
        <x:v>主要判断に必要な情報は概ね揃っていますが、設備別電力データ等が不足しています。</x:v>
      </x:c>
      <x:c r="E10" s="369" t="str">
        <x:v>不足情報3件以内</x:v>
      </x:c>
      <x:c r="F10" s="370" t="str"/>
    </x:row>
    <x:row r="12">
      <x:c r="A12" s="381" t="str">
        <x:v>2. Decision Guardrail 上位3件</x:v>
      </x:c>
      <x:c r="B12" s="382"/>
      <x:c r="C12" s="382"/>
      <x:c r="D12" s="382"/>
      <x:c r="E12" s="382"/>
      <x:c r="F12" s="382"/>
      <x:c r="G12" s="382"/>
      <x:c r="H12" s="382"/>
      <x:c r="I12" s="382"/>
      <x:c r="J12" s="383"/>
    </x:row>
    <x:row r="13" ht="38" customHeight="1">
      <x:c r="A13" s="344" t="str">
        <x:v>順位</x:v>
      </x:c>
      <x:c r="B13" s="345" t="str">
        <x:v>分類</x:v>
      </x:c>
      <x:c r="C13" s="345" t="str">
        <x:v>優先度</x:v>
      </x:c>
      <x:c r="D13" s="345" t="str">
        <x:v>断定レベル</x:v>
      </x:c>
      <x:c r="E13" s="345" t="str">
        <x:v>コメントコード</x:v>
      </x:c>
      <x:c r="F13" s="345" t="str">
        <x:v>表示所見</x:v>
      </x:c>
      <x:c r="G13" s="346" t="str">
        <x:v>推奨行動</x:v>
      </x:c>
    </x:row>
    <x:row r="14">
      <x:c r="A14" s="363" t="n">
        <x:v>1</x:v>
      </x:c>
      <x:c r="B14" s="364" t="str">
        <x:v>BCP</x:v>
      </x:c>
      <x:c r="C14" s="364" t="str">
        <x:v>S</x:v>
      </x:c>
      <x:c r="D14" s="364" t="str">
        <x:v>L2</x:v>
      </x:c>
      <x:c r="E14" s="364" t="str">
        <x:v>GR-BCP-L2-01</x:v>
      </x:c>
      <x:c r="F14" s="364" t="str">
        <x:v>故障時に代替運転ができず、生産・出荷へ直接影響する可能性があります。</x:v>
      </x:c>
      <x:c r="G14" s="365" t="str">
        <x:v>停止影響、復旧時間、予備品を確認</x:v>
      </x:c>
    </x:row>
    <x:row r="15">
      <x:c r="A15" s="366" t="n">
        <x:v>2</x:v>
      </x:c>
      <x:c r="B15" s="148" t="str">
        <x:v>EOL</x:v>
      </x:c>
      <x:c r="C15" s="148" t="str">
        <x:v>A</x:v>
      </x:c>
      <x:c r="D15" s="148" t="str">
        <x:v>L3</x:v>
      </x:c>
      <x:c r="E15" s="148" t="str">
        <x:v>GR-EOL-L3-01</x:v>
      </x:c>
      <x:c r="F15" s="148" t="str">
        <x:v>メーカー保守終了が確認されており、故障時の復旧長期化リスクがあります。</x:v>
      </x:c>
      <x:c r="G15" s="367" t="str">
        <x:v>後継方式、概算費用、停止条件を整理</x:v>
      </x:c>
    </x:row>
    <x:row r="16">
      <x:c r="A16" s="368" t="n">
        <x:v>3</x:v>
      </x:c>
      <x:c r="B16" s="369" t="str">
        <x:v>期限</x:v>
      </x:c>
      <x:c r="C16" s="369" t="str">
        <x:v>A</x:v>
      </x:c>
      <x:c r="D16" s="369" t="str">
        <x:v>L3</x:v>
      </x:c>
      <x:c r="E16" s="369" t="str">
        <x:v>GR-DUE-L3-01</x:v>
      </x:c>
      <x:c r="F16" s="369" t="str">
        <x:v>次年度予算に向けた判断期限が確認されています。</x:v>
      </x:c>
      <x:c r="G16" s="370" t="str">
        <x:v>見積・社内判断期限を設定</x:v>
      </x:c>
    </x:row>
    <x:row r="18">
      <x:c r="A18" s="381" t="str">
        <x:v>3. 最重要課題TOP5</x:v>
      </x:c>
      <x:c r="B18" s="382"/>
      <x:c r="C18" s="382"/>
      <x:c r="D18" s="382"/>
      <x:c r="E18" s="382"/>
      <x:c r="F18" s="382"/>
      <x:c r="G18" s="382"/>
      <x:c r="H18" s="382"/>
      <x:c r="I18" s="382"/>
      <x:c r="J18" s="383"/>
    </x:row>
    <x:row r="19" ht="38" customHeight="1">
      <x:c r="A19" s="344" t="str">
        <x:v>順位</x:v>
      </x:c>
      <x:c r="B19" s="345" t="str">
        <x:v>課題</x:v>
      </x:c>
      <x:c r="C19" s="345" t="str">
        <x:v>ランク</x:v>
      </x:c>
      <x:c r="D19" s="345" t="str">
        <x:v>TOP_SCORE</x:v>
      </x:c>
      <x:c r="E19" s="345" t="str">
        <x:v>断定レベル</x:v>
      </x:c>
      <x:c r="F19" s="345" t="str">
        <x:v>主要根拠</x:v>
      </x:c>
      <x:c r="G19" s="345" t="str">
        <x:v>コメントコード</x:v>
      </x:c>
      <x:c r="H19" s="346" t="str">
        <x:v>CTA</x:v>
      </x:c>
    </x:row>
    <x:row r="20">
      <x:c r="A20" s="363" t="n">
        <x:v>1</x:v>
      </x:c>
      <x:c r="B20" s="364" t="str">
        <x:v>EOL・復旧リスク</x:v>
      </x:c>
      <x:c r="C20" s="364" t="str">
        <x:v>S</x:v>
      </x:c>
      <x:c r="D20" s="364" t="n">
        <x:v>92</x:v>
      </x:c>
      <x:c r="E20" s="364" t="str">
        <x:v>L3</x:v>
      </x:c>
      <x:c r="F20" s="364" t="str">
        <x:v>メーカー回答、代替なし、停止影響大</x:v>
      </x:c>
      <x:c r="G20" s="364" t="str">
        <x:v>GR-EOL-L3-01＋GR-BCP-L2-01</x:v>
      </x:c>
      <x:c r="H20" s="365" t="str">
        <x:v>CTA-MAKER</x:v>
      </x:c>
    </x:row>
    <x:row r="21">
      <x:c r="A21" s="366" t="n">
        <x:v>2</x:v>
      </x:c>
      <x:c r="B21" s="148" t="str">
        <x:v>故障リスク上昇</x:v>
      </x:c>
      <x:c r="C21" s="148" t="str">
        <x:v>A</x:v>
      </x:c>
      <x:c r="D21" s="148" t="n">
        <x:v>78</x:v>
      </x:c>
      <x:c r="E21" s="148" t="str">
        <x:v>L3</x:v>
      </x:c>
      <x:c r="F21" s="148" t="str">
        <x:v>点検・故障履歴</x:v>
      </x:c>
      <x:c r="G21" s="148" t="str">
        <x:v>EPI-RISK-L3-01</x:v>
      </x:c>
      <x:c r="H21" s="367" t="str">
        <x:v>CTA-PLAN</x:v>
      </x:c>
    </x:row>
    <x:row r="22">
      <x:c r="A22" s="366" t="n">
        <x:v>3</x:v>
      </x:c>
      <x:c r="B22" s="148" t="str">
        <x:v>主要設備の経年</x:v>
      </x:c>
      <x:c r="C22" s="148" t="str">
        <x:v>A</x:v>
      </x:c>
      <x:c r="D22" s="148" t="n">
        <x:v>72</x:v>
      </x:c>
      <x:c r="E22" s="148" t="str">
        <x:v>L3</x:v>
      </x:c>
      <x:c r="F22" s="148" t="str">
        <x:v>設備台帳・設置年</x:v>
      </x:c>
      <x:c r="G22" s="148" t="str">
        <x:v>EDI-AGE-L3-01</x:v>
      </x:c>
      <x:c r="H22" s="367" t="str">
        <x:v>CTA-EQP</x:v>
      </x:c>
    </x:row>
    <x:row r="23">
      <x:c r="A23" s="366" t="n">
        <x:v>4</x:v>
      </x:c>
      <x:c r="B23" s="148" t="str">
        <x:v>図面の現行性不足</x:v>
      </x:c>
      <x:c r="C23" s="148" t="str">
        <x:v>B</x:v>
      </x:c>
      <x:c r="D23" s="148" t="n">
        <x:v>61</x:v>
      </x:c>
      <x:c r="E23" s="148" t="str">
        <x:v>L2</x:v>
      </x:c>
      <x:c r="F23" s="148" t="str">
        <x:v>旧図面のみ</x:v>
      </x:c>
      <x:c r="G23" s="148" t="str">
        <x:v>DRI-DOC-L2-01</x:v>
      </x:c>
      <x:c r="H23" s="367" t="str">
        <x:v>CTA-DOC</x:v>
      </x:c>
    </x:row>
    <x:row r="24">
      <x:c r="A24" s="368" t="n">
        <x:v>5</x:v>
      </x:c>
      <x:c r="B24" s="369" t="str">
        <x:v>設備別電力データ不足</x:v>
      </x:c>
      <x:c r="C24" s="369" t="str">
        <x:v>B</x:v>
      </x:c>
      <x:c r="D24" s="369" t="n">
        <x:v>55</x:v>
      </x:c>
      <x:c r="E24" s="369" t="str">
        <x:v>L1</x:v>
      </x:c>
      <x:c r="F24" s="369" t="str">
        <x:v>計測資料なし</x:v>
      </x:c>
      <x:c r="G24" s="369" t="str">
        <x:v>EDI-METER-L1-01</x:v>
      </x:c>
      <x:c r="H24" s="370" t="str">
        <x:v>CTA-METER</x:v>
      </x:c>
    </x:row>
    <x:row r="26">
      <x:c r="A26" s="381" t="str">
        <x:v>4. 総合所見 自動生成サンプル</x:v>
      </x:c>
      <x:c r="B26" s="382"/>
      <x:c r="C26" s="382"/>
      <x:c r="D26" s="382"/>
      <x:c r="E26" s="382"/>
      <x:c r="F26" s="382"/>
      <x:c r="G26" s="382"/>
      <x:c r="H26" s="382"/>
      <x:c r="I26" s="382"/>
      <x:c r="J26" s="383"/>
    </x:row>
    <x:row r="27">
      <x:c r="A27" s="403" t="str">
        <x:v>主要設備の一部では、メーカー保守終了が正式資料で確認されており、故障時の部品確保や復旧長期化が懸念されます。また、対象設備が停止した場合に代替運転ができないと申告されているため、生産・出荷への影響を含めたBCP上の確認が必要です。
設備状態については、設置後20年以上の設備が多く、故障・異常の増加傾向も記録で確認されています。一方、現行図面は一部に限られ、設備別の電力使用量も十分に把握されていません。このため、更新方式や省エネ効果を確定するには、図面の現行性確認と主要設備の電力計測が必要です。
次年度予算に向けた判断期限が確認されていることから、後継方式、停止条件、概算費用を優先して整理し、計画更新・予備品確保・監視強化の比較を進めることを推奨します。</x:v>
      </x:c>
      <x:c r="B27" s="404"/>
      <x:c r="C27" s="404"/>
      <x:c r="D27" s="404"/>
      <x:c r="E27" s="404"/>
      <x:c r="F27" s="404"/>
      <x:c r="G27" s="404"/>
      <x:c r="H27" s="404"/>
      <x:c r="I27" s="404"/>
      <x:c r="J27" s="405"/>
    </x:row>
    <x:row r="28">
      <x:c r="A28" s="406"/>
      <x:c r="B28" s="407"/>
      <x:c r="C28" s="407"/>
      <x:c r="D28" s="407"/>
      <x:c r="E28" s="407"/>
      <x:c r="F28" s="407"/>
      <x:c r="G28" s="407"/>
      <x:c r="H28" s="407"/>
      <x:c r="I28" s="407"/>
      <x:c r="J28" s="408"/>
    </x:row>
    <x:row r="29">
      <x:c r="A29" s="406"/>
      <x:c r="B29" s="407"/>
      <x:c r="C29" s="407"/>
      <x:c r="D29" s="407"/>
      <x:c r="E29" s="407"/>
      <x:c r="F29" s="407"/>
      <x:c r="G29" s="407"/>
      <x:c r="H29" s="407"/>
      <x:c r="I29" s="407"/>
      <x:c r="J29" s="408"/>
    </x:row>
    <x:row r="30">
      <x:c r="A30" s="406"/>
      <x:c r="B30" s="407"/>
      <x:c r="C30" s="407"/>
      <x:c r="D30" s="407"/>
      <x:c r="E30" s="407"/>
      <x:c r="F30" s="407"/>
      <x:c r="G30" s="407"/>
      <x:c r="H30" s="407"/>
      <x:c r="I30" s="407"/>
      <x:c r="J30" s="408"/>
    </x:row>
    <x:row r="31">
      <x:c r="A31" s="406"/>
      <x:c r="B31" s="407"/>
      <x:c r="C31" s="407"/>
      <x:c r="D31" s="407"/>
      <x:c r="E31" s="407"/>
      <x:c r="F31" s="407"/>
      <x:c r="G31" s="407"/>
      <x:c r="H31" s="407"/>
      <x:c r="I31" s="407"/>
      <x:c r="J31" s="408"/>
    </x:row>
    <x:row r="32">
      <x:c r="A32" s="406"/>
      <x:c r="B32" s="407"/>
      <x:c r="C32" s="407"/>
      <x:c r="D32" s="407"/>
      <x:c r="E32" s="407"/>
      <x:c r="F32" s="407"/>
      <x:c r="G32" s="407"/>
      <x:c r="H32" s="407"/>
      <x:c r="I32" s="407"/>
      <x:c r="J32" s="408"/>
    </x:row>
    <x:row r="33">
      <x:c r="A33" s="409"/>
      <x:c r="B33" s="410"/>
      <x:c r="C33" s="410"/>
      <x:c r="D33" s="410"/>
      <x:c r="E33" s="410"/>
      <x:c r="F33" s="410"/>
      <x:c r="G33" s="410"/>
      <x:c r="H33" s="410"/>
      <x:c r="I33" s="410"/>
      <x:c r="J33" s="411"/>
    </x:row>
    <x:row r="35">
      <x:c r="A35" s="381" t="str">
        <x:v>5. Next Action</x:v>
      </x:c>
      <x:c r="B35" s="382"/>
      <x:c r="C35" s="382"/>
      <x:c r="D35" s="382"/>
      <x:c r="E35" s="382"/>
      <x:c r="F35" s="382"/>
      <x:c r="G35" s="382"/>
      <x:c r="H35" s="382"/>
      <x:c r="I35" s="382"/>
      <x:c r="J35" s="383"/>
    </x:row>
    <x:row r="36" ht="38" customHeight="1">
      <x:c r="A36" s="344" t="str">
        <x:v>順位</x:v>
      </x:c>
      <x:c r="B36" s="345" t="str">
        <x:v>行動</x:v>
      </x:c>
      <x:c r="C36" s="345" t="str">
        <x:v>期限目安</x:v>
      </x:c>
      <x:c r="D36" s="345" t="str">
        <x:v>CTA</x:v>
      </x:c>
      <x:c r="E36" s="346" t="str">
        <x:v>根拠</x:v>
      </x:c>
    </x:row>
    <x:row r="37">
      <x:c r="A37" s="363" t="n">
        <x:v>1</x:v>
      </x:c>
      <x:c r="B37" s="364" t="str">
        <x:v>対象型式・保守期限・後継方式をメーカー確認</x:v>
      </x:c>
      <x:c r="C37" s="364" t="str">
        <x:v>1か月以内</x:v>
      </x:c>
      <x:c r="D37" s="364" t="str">
        <x:v>CTA-MAKER</x:v>
      </x:c>
      <x:c r="E37" s="365" t="str">
        <x:v>EOL L3</x:v>
      </x:c>
    </x:row>
    <x:row r="38">
      <x:c r="A38" s="366" t="n">
        <x:v>2</x:v>
      </x:c>
      <x:c r="B38" s="148" t="str">
        <x:v>停止影響・復旧時間・代替手段をBCP観点で整理</x:v>
      </x:c>
      <x:c r="C38" s="148" t="str">
        <x:v>1か月以内</x:v>
      </x:c>
      <x:c r="D38" s="148" t="str">
        <x:v>CTA-BCP</x:v>
      </x:c>
      <x:c r="E38" s="367" t="str">
        <x:v>BCP L2</x:v>
      </x:c>
    </x:row>
    <x:row r="39">
      <x:c r="A39" s="368" t="n">
        <x:v>3</x:v>
      </x:c>
      <x:c r="B39" s="369" t="str">
        <x:v>現行図面確認と概算見積を取得</x:v>
      </x:c>
      <x:c r="C39" s="369" t="str">
        <x:v>3か月以内</x:v>
      </x:c>
      <x:c r="D39" s="369" t="str">
        <x:v>CTA-DOC/QUOTE</x:v>
      </x:c>
      <x:c r="E39" s="370" t="str">
        <x:v>DRI 62、予算期限</x:v>
      </x:c>
    </x:row>
  </x:sheetData>
  <x:mergeCells>
    <x:mergeCell ref="A1:J1"/>
    <x:mergeCell ref="A2:J2"/>
    <x:mergeCell ref="A4:J4"/>
    <x:mergeCell ref="A12:J12"/>
    <x:mergeCell ref="A18:J18"/>
    <x:mergeCell ref="A26:J26"/>
    <x:mergeCell ref="A27:J33"/>
    <x:mergeCell ref="A35:J35"/>
  </x:mergeCells>
  <x:pageMargins left="0.7" right="0.7" top="0.75" bottom="0.75" header="0.3" footer="0.3"/>
</x:worksheet>
</file>

<file path=xl/worksheets/sheet19.xml><?xml version="1.0" encoding="utf-8"?>
<x:worksheet xmlns:x="http://schemas.openxmlformats.org/spreadsheetml/2006/main">
  <x:sheetFormatPr defaultRowHeight="15"/>
  <x:cols>
    <x:col min="1" max="1" width="3" hidden="0" customWidth="1"/>
    <x:col min="2" max="2" width="6" hidden="0" customWidth="1"/>
    <x:col min="3" max="3" width="6" hidden="0" customWidth="1"/>
    <x:col min="4" max="4" width="6" hidden="0" customWidth="1"/>
    <x:col min="5" max="5" width="6" hidden="0" customWidth="1"/>
    <x:col min="6" max="6" width="6" hidden="0" customWidth="1"/>
    <x:col min="7" max="7" width="6" hidden="0" customWidth="1"/>
    <x:col min="8" max="8" width="6" hidden="0" customWidth="1"/>
    <x:col min="9" max="9" width="6" hidden="0" customWidth="1"/>
    <x:col min="10" max="10" width="6" hidden="0" customWidth="1"/>
    <x:col min="11" max="11" width="6" hidden="0" customWidth="1"/>
    <x:col min="12" max="12" width="6" hidden="0" customWidth="1"/>
    <x:col min="13" max="13" width="6" hidden="0" customWidth="1"/>
    <x:col min="14" max="14" width="6" hidden="0" customWidth="1"/>
    <x:col min="15" max="15" width="6" hidden="0" customWidth="1"/>
    <x:col min="16" max="16" width="6" hidden="0" customWidth="1"/>
    <x:col min="17" max="17" width="6" hidden="0" customWidth="1"/>
    <x:col min="18" max="18" width="6" hidden="0" customWidth="1"/>
    <x:col min="19" max="19" width="6" hidden="0" customWidth="1"/>
    <x:col min="20" max="20" width="6" hidden="0" customWidth="1"/>
    <x:col min="21" max="21" width="6" hidden="0" customWidth="1"/>
    <x:col min="22" max="22" width="6" hidden="0" customWidth="1"/>
    <x:col min="23" max="23" width="6" hidden="0" customWidth="1"/>
    <x:col min="24" max="24" width="6" hidden="0" customWidth="1"/>
    <x:col min="25" max="25" width="6" hidden="0" customWidth="1"/>
    <x:col min="26" max="26" width="6" hidden="0" customWidth="1"/>
    <x:col min="27" max="27" width="6" hidden="0" customWidth="1"/>
    <x:col min="28" max="28" width="6" hidden="0" customWidth="1"/>
  </x:cols>
  <x:sheetData>
    <x:row r="1" ht="18" customHeight="1">
      <x:c r="A1" s="436" t="str">
        <x:v>Energy Doctor　Executive Dashboard</x:v>
      </x:c>
      <x:c r="B1" s="437"/>
      <x:c r="C1" s="437"/>
      <x:c r="D1" s="437"/>
      <x:c r="E1" s="437"/>
      <x:c r="F1" s="437"/>
      <x:c r="G1" s="437"/>
      <x:c r="H1" s="437"/>
      <x:c r="I1" s="437"/>
      <x:c r="J1" s="437"/>
      <x:c r="K1" s="437"/>
      <x:c r="L1" s="437"/>
      <x:c r="M1" s="437"/>
      <x:c r="N1" s="437"/>
      <x:c r="O1" s="437"/>
      <x:c r="P1" s="437"/>
      <x:c r="Q1" s="437"/>
      <x:c r="R1" s="437"/>
      <x:c r="S1" s="437"/>
      <x:c r="T1" s="437"/>
      <x:c r="U1" s="437"/>
      <x:c r="V1" s="437"/>
      <x:c r="W1" s="437"/>
      <x:c r="X1" s="437"/>
      <x:c r="Y1" s="437"/>
      <x:c r="Z1" s="437"/>
      <x:c r="AA1" s="437"/>
      <x:c r="AB1" s="438"/>
    </x:row>
    <x:row r="2" ht="18" customHeight="1">
      <x:c r="A2" s="439"/>
      <x:c r="B2" s="440"/>
      <x:c r="C2" s="440"/>
      <x:c r="D2" s="440"/>
      <x:c r="E2" s="440"/>
      <x:c r="F2" s="440"/>
      <x:c r="G2" s="440"/>
      <x:c r="H2" s="440"/>
      <x:c r="I2" s="440"/>
      <x:c r="J2" s="440"/>
      <x:c r="K2" s="440"/>
      <x:c r="L2" s="440"/>
      <x:c r="M2" s="440"/>
      <x:c r="N2" s="440"/>
      <x:c r="O2" s="440"/>
      <x:c r="P2" s="440"/>
      <x:c r="Q2" s="440"/>
      <x:c r="R2" s="440"/>
      <x:c r="S2" s="440"/>
      <x:c r="T2" s="440"/>
      <x:c r="U2" s="440"/>
      <x:c r="V2" s="440"/>
      <x:c r="W2" s="440"/>
      <x:c r="X2" s="440"/>
      <x:c r="Y2" s="440"/>
      <x:c r="Z2" s="440"/>
      <x:c r="AA2" s="440"/>
      <x:c r="AB2" s="441"/>
    </x:row>
    <x:row r="3" ht="18" customHeight="1">
      <x:c r="A3" s="453" t="str">
        <x:v>サンプル製造株式会社　第1工場</x:v>
      </x:c>
      <x:c r="B3" s="454"/>
      <x:c r="C3" s="454"/>
      <x:c r="D3" s="454"/>
      <x:c r="E3" s="454"/>
      <x:c r="F3" s="454"/>
      <x:c r="G3" s="454"/>
      <x:c r="H3" s="455"/>
      <x:c r="I3" s="459" t="str">
        <x:v>診断レベル：Evidence付き診断</x:v>
      </x:c>
      <x:c r="J3" s="460"/>
      <x:c r="K3" s="460"/>
      <x:c r="L3" s="460"/>
      <x:c r="M3" s="460"/>
      <x:c r="N3" s="461"/>
      <x:c r="O3" s="459" t="str">
        <x:v>診断日：2026-07-26</x:v>
      </x:c>
      <x:c r="P3" s="460"/>
      <x:c r="Q3" s="460"/>
      <x:c r="R3" s="460"/>
      <x:c r="S3" s="460"/>
      <x:c r="T3" s="461"/>
      <x:c r="U3" s="465" t="str">
        <x:v>Version 0.5 / TC-A</x:v>
      </x:c>
      <x:c r="V3" s="466"/>
      <x:c r="W3" s="466"/>
      <x:c r="X3" s="466"/>
      <x:c r="Y3" s="466"/>
      <x:c r="Z3" s="466"/>
      <x:c r="AA3" s="466"/>
      <x:c r="AB3" s="467"/>
    </x:row>
    <x:row r="4" ht="18" customHeight="1"/>
    <x:row r="5" ht="18" customHeight="1">
      <x:c r="A5" s="478" t="str">
        <x:v>EDI</x:v>
      </x:c>
      <x:c r="B5" s="479"/>
      <x:c r="C5" s="479"/>
      <x:c r="D5" s="479"/>
      <x:c r="E5" s="479"/>
      <x:c r="F5" s="480"/>
      <x:c r="G5" s="478" t="str">
        <x:v>DRI</x:v>
      </x:c>
      <x:c r="H5" s="479"/>
      <x:c r="I5" s="479"/>
      <x:c r="J5" s="479"/>
      <x:c r="K5" s="479"/>
      <x:c r="L5" s="480"/>
      <x:c r="M5" s="478" t="str">
        <x:v>EPI</x:v>
      </x:c>
      <x:c r="N5" s="479"/>
      <x:c r="O5" s="479"/>
      <x:c r="P5" s="479"/>
      <x:c r="Q5" s="479"/>
      <x:c r="R5" s="480"/>
      <x:c r="S5" s="478" t="str">
        <x:v>診断信頼度</x:v>
      </x:c>
      <x:c r="T5" s="479"/>
      <x:c r="U5" s="479"/>
      <x:c r="V5" s="479"/>
      <x:c r="W5" s="479"/>
      <x:c r="X5" s="480"/>
      <x:c r="Y5" s="478" t="str">
        <x:v>情報充足率</x:v>
      </x:c>
      <x:c r="Z5" s="479"/>
      <x:c r="AA5" s="479"/>
      <x:c r="AB5" s="480"/>
    </x:row>
    <x:row r="6" ht="18" customHeight="1">
      <x:c r="A6" s="501" t="str">
        <x:v>48</x:v>
      </x:c>
      <x:c r="B6" s="502"/>
      <x:c r="C6" s="502"/>
      <x:c r="D6" s="502"/>
      <x:c r="E6" s="502"/>
      <x:c r="F6" s="503"/>
      <x:c r="G6" s="540" t="str">
        <x:v>62</x:v>
      </x:c>
      <x:c r="H6" s="541"/>
      <x:c r="I6" s="541"/>
      <x:c r="J6" s="541"/>
      <x:c r="K6" s="541"/>
      <x:c r="L6" s="542"/>
      <x:c r="M6" s="579" t="str">
        <x:v>82</x:v>
      </x:c>
      <x:c r="N6" s="580"/>
      <x:c r="O6" s="580"/>
      <x:c r="P6" s="580"/>
      <x:c r="Q6" s="580"/>
      <x:c r="R6" s="581"/>
      <x:c r="S6" s="618" t="str">
        <x:v>78</x:v>
      </x:c>
      <x:c r="T6" s="619"/>
      <x:c r="U6" s="619"/>
      <x:c r="V6" s="619"/>
      <x:c r="W6" s="619"/>
      <x:c r="X6" s="620"/>
      <x:c r="Y6" s="618" t="str">
        <x:v>72</x:v>
      </x:c>
      <x:c r="Z6" s="619"/>
      <x:c r="AA6" s="619"/>
      <x:c r="AB6" s="620"/>
    </x:row>
    <x:row r="7" ht="18" customHeight="1">
      <x:c r="A7" s="504"/>
      <x:c r="B7" s="505"/>
      <x:c r="C7" s="505"/>
      <x:c r="D7" s="505"/>
      <x:c r="E7" s="505"/>
      <x:c r="F7" s="506"/>
      <x:c r="G7" s="543"/>
      <x:c r="H7" s="544"/>
      <x:c r="I7" s="544"/>
      <x:c r="J7" s="544"/>
      <x:c r="K7" s="544"/>
      <x:c r="L7" s="545"/>
      <x:c r="M7" s="582"/>
      <x:c r="N7" s="583"/>
      <x:c r="O7" s="583"/>
      <x:c r="P7" s="583"/>
      <x:c r="Q7" s="583"/>
      <x:c r="R7" s="584"/>
      <x:c r="S7" s="621"/>
      <x:c r="T7" s="622"/>
      <x:c r="U7" s="622"/>
      <x:c r="V7" s="622"/>
      <x:c r="W7" s="622"/>
      <x:c r="X7" s="623"/>
      <x:c r="Y7" s="621"/>
      <x:c r="Z7" s="622"/>
      <x:c r="AA7" s="622"/>
      <x:c r="AB7" s="623"/>
    </x:row>
    <x:row r="8" ht="18" customHeight="1">
      <x:c r="A8" s="517" t="str">
        <x:v>要改善</x:v>
      </x:c>
      <x:c r="B8" s="518"/>
      <x:c r="C8" s="518"/>
      <x:c r="D8" s="518"/>
      <x:c r="E8" s="518"/>
      <x:c r="F8" s="519"/>
      <x:c r="G8" s="556" t="str">
        <x:v>判断準備中</x:v>
      </x:c>
      <x:c r="H8" s="557"/>
      <x:c r="I8" s="557"/>
      <x:c r="J8" s="557"/>
      <x:c r="K8" s="557"/>
      <x:c r="L8" s="558"/>
      <x:c r="M8" s="595" t="str">
        <x:v>最優先</x:v>
      </x:c>
      <x:c r="N8" s="596"/>
      <x:c r="O8" s="596"/>
      <x:c r="P8" s="596"/>
      <x:c r="Q8" s="596"/>
      <x:c r="R8" s="597"/>
      <x:c r="S8" s="634" t="str">
        <x:v>中～高</x:v>
      </x:c>
      <x:c r="T8" s="635"/>
      <x:c r="U8" s="635"/>
      <x:c r="V8" s="635"/>
      <x:c r="W8" s="635"/>
      <x:c r="X8" s="636"/>
      <x:c r="Y8" s="634" t="str">
        <x:v>概ね十分</x:v>
      </x:c>
      <x:c r="Z8" s="635"/>
      <x:c r="AA8" s="635"/>
      <x:c r="AB8" s="636"/>
    </x:row>
    <x:row r="9" ht="18" customHeight="1"/>
    <x:row r="10" ht="18" customHeight="1">
      <x:c r="A10" s="647" t="str">
        <x:v>Decision Guardrail</x:v>
      </x:c>
      <x:c r="B10" s="648"/>
      <x:c r="C10" s="648"/>
      <x:c r="D10" s="648"/>
      <x:c r="E10" s="648"/>
      <x:c r="F10" s="648"/>
      <x:c r="G10" s="648"/>
      <x:c r="H10" s="648"/>
      <x:c r="I10" s="648"/>
      <x:c r="J10" s="648"/>
      <x:c r="K10" s="648"/>
      <x:c r="L10" s="648"/>
      <x:c r="M10" s="648"/>
      <x:c r="N10" s="648"/>
      <x:c r="O10" s="648"/>
      <x:c r="P10" s="648"/>
      <x:c r="Q10" s="648"/>
      <x:c r="R10" s="648"/>
      <x:c r="S10" s="648"/>
      <x:c r="T10" s="648"/>
      <x:c r="U10" s="648"/>
      <x:c r="V10" s="648"/>
      <x:c r="W10" s="648"/>
      <x:c r="X10" s="648"/>
      <x:c r="Y10" s="648"/>
      <x:c r="Z10" s="648"/>
      <x:c r="AA10" s="648"/>
      <x:c r="AB10" s="649"/>
    </x:row>
    <x:row r="11" ht="18" customHeight="1">
      <x:c r="A11" s="658" t="str">
        <x:v>順位</x:v>
      </x:c>
      <x:c r="B11" s="659"/>
      <x:c r="C11" s="658" t="str">
        <x:v>分類</x:v>
      </x:c>
      <x:c r="D11" s="663"/>
      <x:c r="E11" s="663"/>
      <x:c r="F11" s="659"/>
      <x:c r="G11" s="658" t="str">
        <x:v>優先度</x:v>
      </x:c>
      <x:c r="H11" s="663"/>
      <x:c r="I11" s="659"/>
      <x:c r="J11" s="658" t="str">
        <x:v>断定</x:v>
      </x:c>
      <x:c r="K11" s="663"/>
      <x:c r="L11" s="659"/>
      <x:c r="M11" s="658" t="str">
        <x:v>所見</x:v>
      </x:c>
      <x:c r="N11" s="663"/>
      <x:c r="O11" s="663"/>
      <x:c r="P11" s="663"/>
      <x:c r="Q11" s="663"/>
      <x:c r="R11" s="663"/>
      <x:c r="S11" s="663"/>
      <x:c r="T11" s="663"/>
      <x:c r="U11" s="663"/>
      <x:c r="V11" s="659"/>
      <x:c r="W11" s="658" t="str">
        <x:v>推奨行動</x:v>
      </x:c>
      <x:c r="X11" s="663"/>
      <x:c r="Y11" s="663"/>
      <x:c r="Z11" s="663"/>
      <x:c r="AA11" s="663"/>
      <x:c r="AB11" s="659"/>
    </x:row>
    <x:row r="12" ht="18" customHeight="1">
      <x:c r="A12" s="664" t="str">
        <x:v>1</x:v>
      </x:c>
      <x:c r="B12" s="665"/>
      <x:c r="C12" s="664" t="str">
        <x:v>BCP</x:v>
      </x:c>
      <x:c r="D12" s="666"/>
      <x:c r="E12" s="666"/>
      <x:c r="F12" s="665"/>
      <x:c r="G12" s="664" t="str">
        <x:v>S</x:v>
      </x:c>
      <x:c r="H12" s="666"/>
      <x:c r="I12" s="665"/>
      <x:c r="J12" s="664" t="str">
        <x:v>L2</x:v>
      </x:c>
      <x:c r="K12" s="666"/>
      <x:c r="L12" s="665"/>
      <x:c r="M12" s="677" t="str">
        <x:v>故障時に代替運転ができず、生産・出荷へ直接影響する可能性があります。</x:v>
      </x:c>
      <x:c r="N12" s="678"/>
      <x:c r="O12" s="678"/>
      <x:c r="P12" s="678"/>
      <x:c r="Q12" s="678"/>
      <x:c r="R12" s="678"/>
      <x:c r="S12" s="678"/>
      <x:c r="T12" s="678"/>
      <x:c r="U12" s="678"/>
      <x:c r="V12" s="679"/>
      <x:c r="W12" s="677" t="str">
        <x:v>停止影響、復旧時間、予備品を確認</x:v>
      </x:c>
      <x:c r="X12" s="678"/>
      <x:c r="Y12" s="678"/>
      <x:c r="Z12" s="678"/>
      <x:c r="AA12" s="678"/>
      <x:c r="AB12" s="679"/>
    </x:row>
    <x:row r="13" ht="18" customHeight="1">
      <x:c r="A13" s="680" t="str">
        <x:v>2</x:v>
      </x:c>
      <x:c r="B13" s="681"/>
      <x:c r="C13" s="680" t="str">
        <x:v>EOL</x:v>
      </x:c>
      <x:c r="D13" s="682"/>
      <x:c r="E13" s="682"/>
      <x:c r="F13" s="681"/>
      <x:c r="G13" s="680" t="str">
        <x:v>A</x:v>
      </x:c>
      <x:c r="H13" s="682"/>
      <x:c r="I13" s="681"/>
      <x:c r="J13" s="680" t="str">
        <x:v>L3</x:v>
      </x:c>
      <x:c r="K13" s="682"/>
      <x:c r="L13" s="681"/>
      <x:c r="M13" s="693" t="str">
        <x:v>メーカー保守終了が確認されており、故障時の復旧長期化リスクがあります。</x:v>
      </x:c>
      <x:c r="N13" s="694"/>
      <x:c r="O13" s="694"/>
      <x:c r="P13" s="694"/>
      <x:c r="Q13" s="694"/>
      <x:c r="R13" s="694"/>
      <x:c r="S13" s="694"/>
      <x:c r="T13" s="694"/>
      <x:c r="U13" s="694"/>
      <x:c r="V13" s="695"/>
      <x:c r="W13" s="693" t="str">
        <x:v>後継方式、概算費用、停止条件を整理</x:v>
      </x:c>
      <x:c r="X13" s="694"/>
      <x:c r="Y13" s="694"/>
      <x:c r="Z13" s="694"/>
      <x:c r="AA13" s="694"/>
      <x:c r="AB13" s="695"/>
    </x:row>
    <x:row r="14" ht="18" customHeight="1">
      <x:c r="A14" s="696" t="str">
        <x:v>3</x:v>
      </x:c>
      <x:c r="B14" s="697"/>
      <x:c r="C14" s="696" t="str">
        <x:v>期限</x:v>
      </x:c>
      <x:c r="D14" s="698"/>
      <x:c r="E14" s="698"/>
      <x:c r="F14" s="697"/>
      <x:c r="G14" s="696" t="str">
        <x:v>A</x:v>
      </x:c>
      <x:c r="H14" s="698"/>
      <x:c r="I14" s="697"/>
      <x:c r="J14" s="696" t="str">
        <x:v>L3</x:v>
      </x:c>
      <x:c r="K14" s="698"/>
      <x:c r="L14" s="697"/>
      <x:c r="M14" s="709" t="str">
        <x:v>次年度予算に向けた判断期限が確認されています。</x:v>
      </x:c>
      <x:c r="N14" s="710"/>
      <x:c r="O14" s="710"/>
      <x:c r="P14" s="710"/>
      <x:c r="Q14" s="710"/>
      <x:c r="R14" s="710"/>
      <x:c r="S14" s="710"/>
      <x:c r="T14" s="710"/>
      <x:c r="U14" s="710"/>
      <x:c r="V14" s="711"/>
      <x:c r="W14" s="709" t="str">
        <x:v>見積・社内判断期限を設定</x:v>
      </x:c>
      <x:c r="X14" s="710"/>
      <x:c r="Y14" s="710"/>
      <x:c r="Z14" s="710"/>
      <x:c r="AA14" s="710"/>
      <x:c r="AB14" s="711"/>
    </x:row>
    <x:row r="15" ht="18" customHeight="1"/>
    <x:row r="16" ht="18" customHeight="1">
      <x:c r="A16" s="647" t="str">
        <x:v>今回決めたいこと</x:v>
      </x:c>
      <x:c r="B16" s="648"/>
      <x:c r="C16" s="648"/>
      <x:c r="D16" s="648"/>
      <x:c r="E16" s="648"/>
      <x:c r="F16" s="648"/>
      <x:c r="G16" s="648"/>
      <x:c r="H16" s="648"/>
      <x:c r="I16" s="648"/>
      <x:c r="J16" s="648"/>
      <x:c r="K16" s="648"/>
      <x:c r="L16" s="648"/>
      <x:c r="M16" s="648"/>
      <x:c r="N16" s="648"/>
      <x:c r="O16" s="648"/>
      <x:c r="P16" s="648"/>
      <x:c r="Q16" s="648"/>
      <x:c r="R16" s="648"/>
      <x:c r="S16" s="648"/>
      <x:c r="T16" s="648"/>
      <x:c r="U16" s="648"/>
      <x:c r="V16" s="648"/>
      <x:c r="W16" s="648"/>
      <x:c r="X16" s="648"/>
      <x:c r="Y16" s="648"/>
      <x:c r="Z16" s="648"/>
      <x:c r="AA16" s="648"/>
      <x:c r="AB16" s="649"/>
    </x:row>
    <x:row r="17" ht="18" customHeight="1">
      <x:c r="A17" s="731" t="str">
        <x:v>次年度予算に向けて、主要設備の更新方針を『計画更新・予備品確保・監視強化』の3案で比較し、後継方式・停止条件・概算費用を3か月以内に整理する。</x:v>
      </x:c>
      <x:c r="B17" s="732"/>
      <x:c r="C17" s="732"/>
      <x:c r="D17" s="732"/>
      <x:c r="E17" s="732"/>
      <x:c r="F17" s="732"/>
      <x:c r="G17" s="732"/>
      <x:c r="H17" s="732"/>
      <x:c r="I17" s="732"/>
      <x:c r="J17" s="732"/>
      <x:c r="K17" s="732"/>
      <x:c r="L17" s="732"/>
      <x:c r="M17" s="732"/>
      <x:c r="N17" s="732"/>
      <x:c r="O17" s="732"/>
      <x:c r="P17" s="732"/>
      <x:c r="Q17" s="732"/>
      <x:c r="R17" s="732"/>
      <x:c r="S17" s="732"/>
      <x:c r="T17" s="732"/>
      <x:c r="U17" s="732"/>
      <x:c r="V17" s="732"/>
      <x:c r="W17" s="732"/>
      <x:c r="X17" s="732"/>
      <x:c r="Y17" s="732"/>
      <x:c r="Z17" s="732"/>
      <x:c r="AA17" s="732"/>
      <x:c r="AB17" s="733"/>
    </x:row>
    <x:row r="18" ht="18" customHeight="1">
      <x:c r="A18" s="734"/>
      <x:c r="B18" s="735"/>
      <x:c r="C18" s="735"/>
      <x:c r="D18" s="735"/>
      <x:c r="E18" s="735"/>
      <x:c r="F18" s="735"/>
      <x:c r="G18" s="735"/>
      <x:c r="H18" s="735"/>
      <x:c r="I18" s="735"/>
      <x:c r="J18" s="735"/>
      <x:c r="K18" s="735"/>
      <x:c r="L18" s="735"/>
      <x:c r="M18" s="735"/>
      <x:c r="N18" s="735"/>
      <x:c r="O18" s="735"/>
      <x:c r="P18" s="735"/>
      <x:c r="Q18" s="735"/>
      <x:c r="R18" s="735"/>
      <x:c r="S18" s="735"/>
      <x:c r="T18" s="735"/>
      <x:c r="U18" s="735"/>
      <x:c r="V18" s="735"/>
      <x:c r="W18" s="735"/>
      <x:c r="X18" s="735"/>
      <x:c r="Y18" s="735"/>
      <x:c r="Z18" s="735"/>
      <x:c r="AA18" s="735"/>
      <x:c r="AB18" s="736"/>
    </x:row>
    <x:row r="19" ht="18" customHeight="1"/>
    <x:row r="20" ht="18" customHeight="1">
      <x:c r="A20" s="647" t="str">
        <x:v>4分野評価</x:v>
      </x:c>
      <x:c r="B20" s="648"/>
      <x:c r="C20" s="648"/>
      <x:c r="D20" s="648"/>
      <x:c r="E20" s="648"/>
      <x:c r="F20" s="648"/>
      <x:c r="G20" s="648"/>
      <x:c r="H20" s="648"/>
      <x:c r="I20" s="648"/>
      <x:c r="J20" s="648"/>
      <x:c r="K20" s="648"/>
      <x:c r="L20" s="648"/>
      <x:c r="M20" s="648"/>
      <x:c r="N20" s="649"/>
      <x:c r="O20" s="647" t="str">
        <x:v>最重要課題 TOP5</x:v>
      </x:c>
      <x:c r="P20" s="648"/>
      <x:c r="Q20" s="648"/>
      <x:c r="R20" s="648"/>
      <x:c r="S20" s="648"/>
      <x:c r="T20" s="648"/>
      <x:c r="U20" s="648"/>
      <x:c r="V20" s="648"/>
      <x:c r="W20" s="648"/>
      <x:c r="X20" s="648"/>
      <x:c r="Y20" s="648"/>
      <x:c r="Z20" s="648"/>
      <x:c r="AA20" s="648"/>
      <x:c r="AB20" s="649"/>
    </x:row>
    <x:row r="21" ht="18" customHeight="1">
      <x:c r="A21" s="658" t="str">
        <x:v>設備</x:v>
      </x:c>
      <x:c r="B21" s="663"/>
      <x:c r="C21" s="663"/>
      <x:c r="D21" s="663"/>
      <x:c r="E21" s="663"/>
      <x:c r="F21" s="663"/>
      <x:c r="G21" s="659"/>
      <x:c r="H21" s="658" t="str">
        <x:v>エネルギー</x:v>
      </x:c>
      <x:c r="I21" s="663"/>
      <x:c r="J21" s="663"/>
      <x:c r="K21" s="663"/>
      <x:c r="L21" s="663"/>
      <x:c r="M21" s="663"/>
      <x:c r="N21" s="659"/>
      <x:c r="O21" s="658" t="str">
        <x:v>順位</x:v>
      </x:c>
      <x:c r="P21" s="659"/>
      <x:c r="Q21" s="658" t="str">
        <x:v>課題</x:v>
      </x:c>
      <x:c r="R21" s="663"/>
      <x:c r="S21" s="663"/>
      <x:c r="T21" s="663"/>
      <x:c r="U21" s="663"/>
      <x:c r="V21" s="663"/>
      <x:c r="W21" s="659"/>
      <x:c r="X21" s="658" t="str">
        <x:v>ランク</x:v>
      </x:c>
      <x:c r="Y21" s="659"/>
      <x:c r="Z21" s="658" t="str">
        <x:v>根拠</x:v>
      </x:c>
      <x:c r="AA21" s="663"/>
      <x:c r="AB21" s="659"/>
    </x:row>
    <x:row r="22" ht="18" customHeight="1">
      <x:c r="A22" s="747" t="str">
        <x:v>42 / 100</x:v>
      </x:c>
      <x:c r="B22" s="748"/>
      <x:c r="C22" s="748"/>
      <x:c r="D22" s="748"/>
      <x:c r="E22" s="748"/>
      <x:c r="F22" s="748"/>
      <x:c r="G22" s="749"/>
      <x:c r="H22" s="773" t="str">
        <x:v>58 / 100</x:v>
      </x:c>
      <x:c r="I22" s="774"/>
      <x:c r="J22" s="774"/>
      <x:c r="K22" s="774"/>
      <x:c r="L22" s="774"/>
      <x:c r="M22" s="774"/>
      <x:c r="N22" s="775"/>
      <x:c r="O22" s="664" t="str">
        <x:v>1</x:v>
      </x:c>
      <x:c r="P22" s="665"/>
      <x:c r="Q22" s="819" t="str">
        <x:v>EOL・復旧リスク</x:v>
      </x:c>
      <x:c r="R22" s="820"/>
      <x:c r="S22" s="820"/>
      <x:c r="T22" s="820"/>
      <x:c r="U22" s="820"/>
      <x:c r="V22" s="820"/>
      <x:c r="W22" s="821"/>
      <x:c r="X22" s="664" t="str">
        <x:v>S</x:v>
      </x:c>
      <x:c r="Y22" s="665"/>
      <x:c r="Z22" s="832" t="str">
        <x:v>メーカー回答／代替なし</x:v>
      </x:c>
      <x:c r="AA22" s="833"/>
      <x:c r="AB22" s="834"/>
    </x:row>
    <x:row r="23" ht="18" customHeight="1">
      <x:c r="A23" s="760" t="str">
        <x:v>経年・故障増加・EOLが主課題</x:v>
      </x:c>
      <x:c r="B23" s="761"/>
      <x:c r="C23" s="761"/>
      <x:c r="D23" s="761"/>
      <x:c r="E23" s="761"/>
      <x:c r="F23" s="761"/>
      <x:c r="G23" s="762"/>
      <x:c r="H23" s="786" t="str">
        <x:v>設備別計測が不足</x:v>
      </x:c>
      <x:c r="I23" s="787"/>
      <x:c r="J23" s="787"/>
      <x:c r="K23" s="787"/>
      <x:c r="L23" s="787"/>
      <x:c r="M23" s="787"/>
      <x:c r="N23" s="788"/>
      <x:c r="O23" s="680" t="str">
        <x:v>2</x:v>
      </x:c>
      <x:c r="P23" s="681"/>
      <x:c r="Q23" s="838" t="str">
        <x:v>故障リスク上昇</x:v>
      </x:c>
      <x:c r="R23" s="839"/>
      <x:c r="S23" s="839"/>
      <x:c r="T23" s="839"/>
      <x:c r="U23" s="839"/>
      <x:c r="V23" s="839"/>
      <x:c r="W23" s="840"/>
      <x:c r="X23" s="680" t="str">
        <x:v>A</x:v>
      </x:c>
      <x:c r="Y23" s="681"/>
      <x:c r="Z23" s="844" t="str">
        <x:v>点検・故障履歴</x:v>
      </x:c>
      <x:c r="AA23" s="845"/>
      <x:c r="AB23" s="846"/>
    </x:row>
    <x:row r="24" ht="18" customHeight="1">
      <x:c r="A24" s="658" t="str">
        <x:v>建物・環境</x:v>
      </x:c>
      <x:c r="B24" s="663"/>
      <x:c r="C24" s="663"/>
      <x:c r="D24" s="663"/>
      <x:c r="E24" s="663"/>
      <x:c r="F24" s="663"/>
      <x:c r="G24" s="659"/>
      <x:c r="H24" s="658" t="str">
        <x:v>経営・更新管理</x:v>
      </x:c>
      <x:c r="I24" s="663"/>
      <x:c r="J24" s="663"/>
      <x:c r="K24" s="663"/>
      <x:c r="L24" s="663"/>
      <x:c r="M24" s="663"/>
      <x:c r="N24" s="659"/>
      <x:c r="O24" s="680" t="str">
        <x:v>3</x:v>
      </x:c>
      <x:c r="P24" s="681"/>
      <x:c r="Q24" s="838" t="str">
        <x:v>主要設備の経年</x:v>
      </x:c>
      <x:c r="R24" s="839"/>
      <x:c r="S24" s="839"/>
      <x:c r="T24" s="839"/>
      <x:c r="U24" s="839"/>
      <x:c r="V24" s="839"/>
      <x:c r="W24" s="840"/>
      <x:c r="X24" s="680" t="str">
        <x:v>A</x:v>
      </x:c>
      <x:c r="Y24" s="681"/>
      <x:c r="Z24" s="844" t="str">
        <x:v>設備台帳・設置年</x:v>
      </x:c>
      <x:c r="AA24" s="845"/>
      <x:c r="AB24" s="846"/>
    </x:row>
    <x:row r="25" ht="18" customHeight="1">
      <x:c r="A25" s="800" t="str">
        <x:v>72 / 100</x:v>
      </x:c>
      <x:c r="B25" s="801"/>
      <x:c r="C25" s="801"/>
      <x:c r="D25" s="801"/>
      <x:c r="E25" s="801"/>
      <x:c r="F25" s="801"/>
      <x:c r="G25" s="802"/>
      <x:c r="H25" s="773" t="str">
        <x:v>61 / 100</x:v>
      </x:c>
      <x:c r="I25" s="774"/>
      <x:c r="J25" s="774"/>
      <x:c r="K25" s="774"/>
      <x:c r="L25" s="774"/>
      <x:c r="M25" s="774"/>
      <x:c r="N25" s="775"/>
      <x:c r="O25" s="696" t="str">
        <x:v>4</x:v>
      </x:c>
      <x:c r="P25" s="697"/>
      <x:c r="Q25" s="850" t="str">
        <x:v>図面の現行性不足</x:v>
      </x:c>
      <x:c r="R25" s="851"/>
      <x:c r="S25" s="851"/>
      <x:c r="T25" s="851"/>
      <x:c r="U25" s="851"/>
      <x:c r="V25" s="851"/>
      <x:c r="W25" s="852"/>
      <x:c r="X25" s="696" t="str">
        <x:v>B</x:v>
      </x:c>
      <x:c r="Y25" s="697"/>
      <x:c r="Z25" s="856" t="str">
        <x:v>旧図面のみ</x:v>
      </x:c>
      <x:c r="AA25" s="857"/>
      <x:c r="AB25" s="858"/>
    </x:row>
    <x:row r="26" ht="18" customHeight="1">
      <x:c r="A26" s="813" t="str">
        <x:v>重大課題なし（入力範囲内）</x:v>
      </x:c>
      <x:c r="B26" s="814"/>
      <x:c r="C26" s="814"/>
      <x:c r="D26" s="814"/>
      <x:c r="E26" s="814"/>
      <x:c r="F26" s="814"/>
      <x:c r="G26" s="815"/>
      <x:c r="H26" s="786" t="str">
        <x:v>図面・予算条件に追加確認</x:v>
      </x:c>
      <x:c r="I26" s="787"/>
      <x:c r="J26" s="787"/>
      <x:c r="K26" s="787"/>
      <x:c r="L26" s="787"/>
      <x:c r="M26" s="787"/>
      <x:c r="N26" s="788"/>
      <x:c r="O26" s="696" t="str">
        <x:v>5</x:v>
      </x:c>
      <x:c r="P26" s="697"/>
      <x:c r="Q26" s="850" t="str">
        <x:v>設備別電力データ不足</x:v>
      </x:c>
      <x:c r="R26" s="851"/>
      <x:c r="S26" s="851"/>
      <x:c r="T26" s="851"/>
      <x:c r="U26" s="851"/>
      <x:c r="V26" s="851"/>
      <x:c r="W26" s="852"/>
      <x:c r="X26" s="696" t="str">
        <x:v>B</x:v>
      </x:c>
      <x:c r="Y26" s="697"/>
      <x:c r="Z26" s="856" t="str">
        <x:v>計測資料なし</x:v>
      </x:c>
      <x:c r="AA26" s="857"/>
      <x:c r="AB26" s="858"/>
    </x:row>
    <x:row r="27" ht="18" customHeight="1"/>
    <x:row r="28" ht="18" customHeight="1">
      <x:c r="A28" s="647" t="str">
        <x:v>対応ロードマップ</x:v>
      </x:c>
      <x:c r="B28" s="648"/>
      <x:c r="C28" s="648"/>
      <x:c r="D28" s="648"/>
      <x:c r="E28" s="648"/>
      <x:c r="F28" s="648"/>
      <x:c r="G28" s="648"/>
      <x:c r="H28" s="648"/>
      <x:c r="I28" s="648"/>
      <x:c r="J28" s="648"/>
      <x:c r="K28" s="648"/>
      <x:c r="L28" s="648"/>
      <x:c r="M28" s="648"/>
      <x:c r="N28" s="648"/>
      <x:c r="O28" s="648"/>
      <x:c r="P28" s="648"/>
      <x:c r="Q28" s="648"/>
      <x:c r="R28" s="648"/>
      <x:c r="S28" s="648"/>
      <x:c r="T28" s="648"/>
      <x:c r="U28" s="648"/>
      <x:c r="V28" s="648"/>
      <x:c r="W28" s="648"/>
      <x:c r="X28" s="648"/>
      <x:c r="Y28" s="648"/>
      <x:c r="Z28" s="648"/>
      <x:c r="AA28" s="648"/>
      <x:c r="AB28" s="649"/>
    </x:row>
    <x:row r="29" ht="18" customHeight="1">
      <x:c r="A29" s="658" t="str">
        <x:v>今すぐ～1か月</x:v>
      </x:c>
      <x:c r="B29" s="663"/>
      <x:c r="C29" s="663"/>
      <x:c r="D29" s="663"/>
      <x:c r="E29" s="663"/>
      <x:c r="F29" s="663"/>
      <x:c r="G29" s="659"/>
      <x:c r="H29" s="658" t="str">
        <x:v>3か月以内</x:v>
      </x:c>
      <x:c r="I29" s="663"/>
      <x:c r="J29" s="663"/>
      <x:c r="K29" s="663"/>
      <x:c r="L29" s="663"/>
      <x:c r="M29" s="663"/>
      <x:c r="N29" s="659"/>
      <x:c r="O29" s="658" t="str">
        <x:v>1年以内</x:v>
      </x:c>
      <x:c r="P29" s="663"/>
      <x:c r="Q29" s="663"/>
      <x:c r="R29" s="663"/>
      <x:c r="S29" s="663"/>
      <x:c r="T29" s="663"/>
      <x:c r="U29" s="659"/>
      <x:c r="V29" s="658" t="str">
        <x:v>中期</x:v>
      </x:c>
      <x:c r="W29" s="663"/>
      <x:c r="X29" s="663"/>
      <x:c r="Y29" s="663"/>
      <x:c r="Z29" s="663"/>
      <x:c r="AA29" s="663"/>
      <x:c r="AB29" s="659"/>
    </x:row>
    <x:row r="30" ht="18" customHeight="1">
      <x:c r="A30" s="886" t="str">
        <x:v>・メーカー保守期限と後継方式を確認
・停止影響と代替手段を整理
・対象型式を確定</x:v>
      </x:c>
      <x:c r="B30" s="887"/>
      <x:c r="C30" s="887"/>
      <x:c r="D30" s="887"/>
      <x:c r="E30" s="887"/>
      <x:c r="F30" s="887"/>
      <x:c r="G30" s="888"/>
      <x:c r="H30" s="922" t="str">
        <x:v>・現行図面を確認
・概算見積を取得
・計画更新／予備品／監視強化を比較</x:v>
      </x:c>
      <x:c r="I30" s="923"/>
      <x:c r="J30" s="923"/>
      <x:c r="K30" s="923"/>
      <x:c r="L30" s="923"/>
      <x:c r="M30" s="923"/>
      <x:c r="N30" s="924"/>
      <x:c r="O30" s="958" t="str">
        <x:v>・予算申請
・工事停止条件を確定
・更新対象を優先順位化</x:v>
      </x:c>
      <x:c r="P30" s="959"/>
      <x:c r="Q30" s="959"/>
      <x:c r="R30" s="959"/>
      <x:c r="S30" s="959"/>
      <x:c r="T30" s="959"/>
      <x:c r="U30" s="960"/>
      <x:c r="V30" s="995" t="str">
        <x:v>・設備台帳と更新計画を定期更新
・設備別電力計測を拡大</x:v>
      </x:c>
      <x:c r="W30" s="996"/>
      <x:c r="X30" s="996"/>
      <x:c r="Y30" s="996"/>
      <x:c r="Z30" s="996"/>
      <x:c r="AA30" s="996"/>
      <x:c r="AB30" s="997"/>
    </x:row>
    <x:row r="31" ht="18" customHeight="1">
      <x:c r="A31" s="889"/>
      <x:c r="B31" s="890"/>
      <x:c r="C31" s="890"/>
      <x:c r="D31" s="890"/>
      <x:c r="E31" s="890"/>
      <x:c r="F31" s="890"/>
      <x:c r="G31" s="891"/>
      <x:c r="H31" s="925"/>
      <x:c r="I31" s="926"/>
      <x:c r="J31" s="926"/>
      <x:c r="K31" s="926"/>
      <x:c r="L31" s="926"/>
      <x:c r="M31" s="926"/>
      <x:c r="N31" s="927"/>
      <x:c r="O31" s="961"/>
      <x:c r="P31" s="962"/>
      <x:c r="Q31" s="962"/>
      <x:c r="R31" s="962"/>
      <x:c r="S31" s="962"/>
      <x:c r="T31" s="962"/>
      <x:c r="U31" s="963"/>
      <x:c r="V31" s="998"/>
      <x:c r="W31" s="999"/>
      <x:c r="X31" s="999"/>
      <x:c r="Y31" s="999"/>
      <x:c r="Z31" s="999"/>
      <x:c r="AA31" s="999"/>
      <x:c r="AB31" s="1000"/>
    </x:row>
    <x:row r="32" ht="18" customHeight="1">
      <x:c r="A32" s="889"/>
      <x:c r="B32" s="890"/>
      <x:c r="C32" s="890"/>
      <x:c r="D32" s="890"/>
      <x:c r="E32" s="890"/>
      <x:c r="F32" s="890"/>
      <x:c r="G32" s="891"/>
      <x:c r="H32" s="925"/>
      <x:c r="I32" s="926"/>
      <x:c r="J32" s="926"/>
      <x:c r="K32" s="926"/>
      <x:c r="L32" s="926"/>
      <x:c r="M32" s="926"/>
      <x:c r="N32" s="927"/>
      <x:c r="O32" s="961"/>
      <x:c r="P32" s="962"/>
      <x:c r="Q32" s="962"/>
      <x:c r="R32" s="962"/>
      <x:c r="S32" s="962"/>
      <x:c r="T32" s="962"/>
      <x:c r="U32" s="963"/>
      <x:c r="V32" s="998"/>
      <x:c r="W32" s="999"/>
      <x:c r="X32" s="999"/>
      <x:c r="Y32" s="999"/>
      <x:c r="Z32" s="999"/>
      <x:c r="AA32" s="999"/>
      <x:c r="AB32" s="1000"/>
    </x:row>
    <x:row r="33" ht="18" customHeight="1">
      <x:c r="A33" s="892"/>
      <x:c r="B33" s="893"/>
      <x:c r="C33" s="893"/>
      <x:c r="D33" s="893"/>
      <x:c r="E33" s="893"/>
      <x:c r="F33" s="893"/>
      <x:c r="G33" s="894"/>
      <x:c r="H33" s="928"/>
      <x:c r="I33" s="929"/>
      <x:c r="J33" s="929"/>
      <x:c r="K33" s="929"/>
      <x:c r="L33" s="929"/>
      <x:c r="M33" s="929"/>
      <x:c r="N33" s="930"/>
      <x:c r="O33" s="964"/>
      <x:c r="P33" s="965"/>
      <x:c r="Q33" s="965"/>
      <x:c r="R33" s="965"/>
      <x:c r="S33" s="965"/>
      <x:c r="T33" s="965"/>
      <x:c r="U33" s="966"/>
      <x:c r="V33" s="1001"/>
      <x:c r="W33" s="1002"/>
      <x:c r="X33" s="1002"/>
      <x:c r="Y33" s="1002"/>
      <x:c r="Z33" s="1002"/>
      <x:c r="AA33" s="1002"/>
      <x:c r="AB33" s="1003"/>
    </x:row>
    <x:row r="34" ht="18" customHeight="1"/>
    <x:row r="35" ht="18" customHeight="1">
      <x:c r="A35" s="647" t="str">
        <x:v>Evidence概要</x:v>
      </x:c>
      <x:c r="B35" s="648"/>
      <x:c r="C35" s="648"/>
      <x:c r="D35" s="648"/>
      <x:c r="E35" s="648"/>
      <x:c r="F35" s="648"/>
      <x:c r="G35" s="648"/>
      <x:c r="H35" s="648"/>
      <x:c r="I35" s="648"/>
      <x:c r="J35" s="648"/>
      <x:c r="K35" s="648"/>
      <x:c r="L35" s="648"/>
      <x:c r="M35" s="648"/>
      <x:c r="N35" s="649"/>
      <x:c r="O35" s="647" t="str">
        <x:v>Next Action</x:v>
      </x:c>
      <x:c r="P35" s="648"/>
      <x:c r="Q35" s="648"/>
      <x:c r="R35" s="648"/>
      <x:c r="S35" s="648"/>
      <x:c r="T35" s="648"/>
      <x:c r="U35" s="648"/>
      <x:c r="V35" s="648"/>
      <x:c r="W35" s="648"/>
      <x:c r="X35" s="648"/>
      <x:c r="Y35" s="648"/>
      <x:c r="Z35" s="648"/>
      <x:c r="AA35" s="648"/>
      <x:c r="AB35" s="649"/>
    </x:row>
    <x:row r="36" ht="18" customHeight="1">
      <x:c r="A36" s="1032" t="str">
        <x:v>確認済み：メーカー回答、設備台帳、故障履歴、点検資料
自己申告：代替運転なし、生産停止影響大
不足：現行図面、設備別電力データ、正式停止影響試算</x:v>
      </x:c>
      <x:c r="B36" s="1033"/>
      <x:c r="C36" s="1033"/>
      <x:c r="D36" s="1033"/>
      <x:c r="E36" s="1033"/>
      <x:c r="F36" s="1033"/>
      <x:c r="G36" s="1033"/>
      <x:c r="H36" s="1033"/>
      <x:c r="I36" s="1033"/>
      <x:c r="J36" s="1033"/>
      <x:c r="K36" s="1033"/>
      <x:c r="L36" s="1033"/>
      <x:c r="M36" s="1033"/>
      <x:c r="N36" s="1034"/>
      <x:c r="O36" s="658" t="str">
        <x:v>順位</x:v>
      </x:c>
      <x:c r="P36" s="659"/>
      <x:c r="Q36" s="658" t="str">
        <x:v>行動</x:v>
      </x:c>
      <x:c r="R36" s="663"/>
      <x:c r="S36" s="663"/>
      <x:c r="T36" s="663"/>
      <x:c r="U36" s="663"/>
      <x:c r="V36" s="663"/>
      <x:c r="W36" s="663"/>
      <x:c r="X36" s="659"/>
      <x:c r="Y36" s="658" t="str">
        <x:v>期限</x:v>
      </x:c>
      <x:c r="Z36" s="663"/>
      <x:c r="AA36" s="663"/>
      <x:c r="AB36" s="659"/>
    </x:row>
    <x:row r="37" ht="18" customHeight="1">
      <x:c r="A37" s="1035"/>
      <x:c r="B37" s="1036"/>
      <x:c r="C37" s="1036"/>
      <x:c r="D37" s="1036"/>
      <x:c r="E37" s="1036"/>
      <x:c r="F37" s="1036"/>
      <x:c r="G37" s="1036"/>
      <x:c r="H37" s="1036"/>
      <x:c r="I37" s="1036"/>
      <x:c r="J37" s="1036"/>
      <x:c r="K37" s="1036"/>
      <x:c r="L37" s="1036"/>
      <x:c r="M37" s="1036"/>
      <x:c r="N37" s="1037"/>
      <x:c r="O37" s="1041" t="str">
        <x:v>1</x:v>
      </x:c>
      <x:c r="P37" s="1042"/>
      <x:c r="Q37" s="1053" t="str">
        <x:v>型式・保守期限・後継方式をメーカー確認</x:v>
      </x:c>
      <x:c r="R37" s="1054"/>
      <x:c r="S37" s="1054"/>
      <x:c r="T37" s="1054"/>
      <x:c r="U37" s="1054"/>
      <x:c r="V37" s="1054"/>
      <x:c r="W37" s="1054"/>
      <x:c r="X37" s="1055"/>
      <x:c r="Y37" s="1041" t="str">
        <x:v>1か月以内</x:v>
      </x:c>
      <x:c r="Z37" s="1056"/>
      <x:c r="AA37" s="1056"/>
      <x:c r="AB37" s="1042"/>
    </x:row>
    <x:row r="38" ht="18" customHeight="1">
      <x:c r="A38" s="1035"/>
      <x:c r="B38" s="1036"/>
      <x:c r="C38" s="1036"/>
      <x:c r="D38" s="1036"/>
      <x:c r="E38" s="1036"/>
      <x:c r="F38" s="1036"/>
      <x:c r="G38" s="1036"/>
      <x:c r="H38" s="1036"/>
      <x:c r="I38" s="1036"/>
      <x:c r="J38" s="1036"/>
      <x:c r="K38" s="1036"/>
      <x:c r="L38" s="1036"/>
      <x:c r="M38" s="1036"/>
      <x:c r="N38" s="1037"/>
      <x:c r="O38" s="1041" t="str">
        <x:v>2</x:v>
      </x:c>
      <x:c r="P38" s="1042"/>
      <x:c r="Q38" s="1053" t="str">
        <x:v>停止影響・復旧時間・代替手段をBCP観点で整理</x:v>
      </x:c>
      <x:c r="R38" s="1054"/>
      <x:c r="S38" s="1054"/>
      <x:c r="T38" s="1054"/>
      <x:c r="U38" s="1054"/>
      <x:c r="V38" s="1054"/>
      <x:c r="W38" s="1054"/>
      <x:c r="X38" s="1055"/>
      <x:c r="Y38" s="1041" t="str">
        <x:v>1か月以内</x:v>
      </x:c>
      <x:c r="Z38" s="1056"/>
      <x:c r="AA38" s="1056"/>
      <x:c r="AB38" s="1042"/>
    </x:row>
    <x:row r="39" ht="18" customHeight="1">
      <x:c r="A39" s="1038"/>
      <x:c r="B39" s="1039"/>
      <x:c r="C39" s="1039"/>
      <x:c r="D39" s="1039"/>
      <x:c r="E39" s="1039"/>
      <x:c r="F39" s="1039"/>
      <x:c r="G39" s="1039"/>
      <x:c r="H39" s="1039"/>
      <x:c r="I39" s="1039"/>
      <x:c r="J39" s="1039"/>
      <x:c r="K39" s="1039"/>
      <x:c r="L39" s="1039"/>
      <x:c r="M39" s="1039"/>
      <x:c r="N39" s="1040"/>
      <x:c r="O39" s="1041" t="str">
        <x:v>3</x:v>
      </x:c>
      <x:c r="P39" s="1042"/>
      <x:c r="Q39" s="1053" t="str">
        <x:v>現行図面確認と概算見積を取得</x:v>
      </x:c>
      <x:c r="R39" s="1054"/>
      <x:c r="S39" s="1054"/>
      <x:c r="T39" s="1054"/>
      <x:c r="U39" s="1054"/>
      <x:c r="V39" s="1054"/>
      <x:c r="W39" s="1054"/>
      <x:c r="X39" s="1055"/>
      <x:c r="Y39" s="1041" t="str">
        <x:v>3か月以内</x:v>
      </x:c>
      <x:c r="Z39" s="1056"/>
      <x:c r="AA39" s="1056"/>
      <x:c r="AB39" s="1042"/>
    </x:row>
    <x:row r="40" ht="18" customHeight="1"/>
    <x:row r="41" ht="18" customHeight="1">
      <x:c r="A41" s="1085" t="str">
        <x:v>総括：設備状態は要改善、判断準備は途中段階ですが、EPIは最優先です。EOLとBCPを中心に、次年度予算に間に合うよう3か月以内に判断材料を整備してください。</x:v>
      </x:c>
      <x:c r="B41" s="1086"/>
      <x:c r="C41" s="1086"/>
      <x:c r="D41" s="1086"/>
      <x:c r="E41" s="1086"/>
      <x:c r="F41" s="1086"/>
      <x:c r="G41" s="1086"/>
      <x:c r="H41" s="1086"/>
      <x:c r="I41" s="1086"/>
      <x:c r="J41" s="1086"/>
      <x:c r="K41" s="1086"/>
      <x:c r="L41" s="1086"/>
      <x:c r="M41" s="1086"/>
      <x:c r="N41" s="1086"/>
      <x:c r="O41" s="1086"/>
      <x:c r="P41" s="1086"/>
      <x:c r="Q41" s="1086"/>
      <x:c r="R41" s="1086"/>
      <x:c r="S41" s="1086"/>
      <x:c r="T41" s="1086"/>
      <x:c r="U41" s="1086"/>
      <x:c r="V41" s="1086"/>
      <x:c r="W41" s="1086"/>
      <x:c r="X41" s="1086"/>
      <x:c r="Y41" s="1086"/>
      <x:c r="Z41" s="1086"/>
      <x:c r="AA41" s="1086"/>
      <x:c r="AB41" s="1087"/>
    </x:row>
    <x:row r="42" ht="18" customHeight="1">
      <x:c r="A42" s="1088"/>
      <x:c r="B42" s="1089"/>
      <x:c r="C42" s="1089"/>
      <x:c r="D42" s="1089"/>
      <x:c r="E42" s="1089"/>
      <x:c r="F42" s="1089"/>
      <x:c r="G42" s="1089"/>
      <x:c r="H42" s="1089"/>
      <x:c r="I42" s="1089"/>
      <x:c r="J42" s="1089"/>
      <x:c r="K42" s="1089"/>
      <x:c r="L42" s="1089"/>
      <x:c r="M42" s="1089"/>
      <x:c r="N42" s="1089"/>
      <x:c r="O42" s="1089"/>
      <x:c r="P42" s="1089"/>
      <x:c r="Q42" s="1089"/>
      <x:c r="R42" s="1089"/>
      <x:c r="S42" s="1089"/>
      <x:c r="T42" s="1089"/>
      <x:c r="U42" s="1089"/>
      <x:c r="V42" s="1089"/>
      <x:c r="W42" s="1089"/>
      <x:c r="X42" s="1089"/>
      <x:c r="Y42" s="1089"/>
      <x:c r="Z42" s="1089"/>
      <x:c r="AA42" s="1089"/>
      <x:c r="AB42" s="1090"/>
    </x:row>
    <x:row r="43" ht="18" customHeight="1">
      <x:c r="A43" s="1091"/>
      <x:c r="B43" s="1092"/>
      <x:c r="C43" s="1092"/>
      <x:c r="D43" s="1092"/>
      <x:c r="E43" s="1092"/>
      <x:c r="F43" s="1092"/>
      <x:c r="G43" s="1092"/>
      <x:c r="H43" s="1092"/>
      <x:c r="I43" s="1092"/>
      <x:c r="J43" s="1092"/>
      <x:c r="K43" s="1092"/>
      <x:c r="L43" s="1092"/>
      <x:c r="M43" s="1092"/>
      <x:c r="N43" s="1092"/>
      <x:c r="O43" s="1092"/>
      <x:c r="P43" s="1092"/>
      <x:c r="Q43" s="1092"/>
      <x:c r="R43" s="1092"/>
      <x:c r="S43" s="1092"/>
      <x:c r="T43" s="1092"/>
      <x:c r="U43" s="1092"/>
      <x:c r="V43" s="1092"/>
      <x:c r="W43" s="1092"/>
      <x:c r="X43" s="1092"/>
      <x:c r="Y43" s="1092"/>
      <x:c r="Z43" s="1092"/>
      <x:c r="AA43" s="1092"/>
      <x:c r="AB43" s="1093"/>
    </x:row>
    <x:row r="44" ht="18" customHeight="1">
      <x:c r="A44" s="1114" t="str">
        <x:v>注：本ページは自己診断・Evidence付き診断のサンプルです。未確認事項を含むため、正式な設備更新判断には現地確認・メーカー確認・専門レビューが必要です。</x:v>
      </x:c>
      <x:c r="B44" s="1115"/>
      <x:c r="C44" s="1115"/>
      <x:c r="D44" s="1115"/>
      <x:c r="E44" s="1115"/>
      <x:c r="F44" s="1115"/>
      <x:c r="G44" s="1115"/>
      <x:c r="H44" s="1115"/>
      <x:c r="I44" s="1115"/>
      <x:c r="J44" s="1115"/>
      <x:c r="K44" s="1115"/>
      <x:c r="L44" s="1115"/>
      <x:c r="M44" s="1115"/>
      <x:c r="N44" s="1115"/>
      <x:c r="O44" s="1115"/>
      <x:c r="P44" s="1115"/>
      <x:c r="Q44" s="1115"/>
      <x:c r="R44" s="1115"/>
      <x:c r="S44" s="1115"/>
      <x:c r="T44" s="1115"/>
      <x:c r="U44" s="1115"/>
      <x:c r="V44" s="1115"/>
      <x:c r="W44" s="1115"/>
      <x:c r="X44" s="1115"/>
      <x:c r="Y44" s="1115"/>
      <x:c r="Z44" s="1115"/>
      <x:c r="AA44" s="1115"/>
      <x:c r="AB44" s="1116"/>
    </x:row>
    <x:row r="45" ht="18" customHeight="1">
      <x:c r="A45" s="1117"/>
      <x:c r="B45" s="1118"/>
      <x:c r="C45" s="1118"/>
      <x:c r="D45" s="1118"/>
      <x:c r="E45" s="1118"/>
      <x:c r="F45" s="1118"/>
      <x:c r="G45" s="1118"/>
      <x:c r="H45" s="1118"/>
      <x:c r="I45" s="1118"/>
      <x:c r="J45" s="1118"/>
      <x:c r="K45" s="1118"/>
      <x:c r="L45" s="1118"/>
      <x:c r="M45" s="1118"/>
      <x:c r="N45" s="1118"/>
      <x:c r="O45" s="1118"/>
      <x:c r="P45" s="1118"/>
      <x:c r="Q45" s="1118"/>
      <x:c r="R45" s="1118"/>
      <x:c r="S45" s="1118"/>
      <x:c r="T45" s="1118"/>
      <x:c r="U45" s="1118"/>
      <x:c r="V45" s="1118"/>
      <x:c r="W45" s="1118"/>
      <x:c r="X45" s="1118"/>
      <x:c r="Y45" s="1118"/>
      <x:c r="Z45" s="1118"/>
      <x:c r="AA45" s="1118"/>
      <x:c r="AB45" s="1119"/>
    </x:row>
  </x:sheetData>
  <x:mergeCells>
    <x:mergeCell ref="A1:AB2"/>
    <x:mergeCell ref="A3:H3"/>
    <x:mergeCell ref="I3:N3"/>
    <x:mergeCell ref="O3:T3"/>
    <x:mergeCell ref="U3:AB3"/>
    <x:mergeCell ref="A5:F5"/>
    <x:mergeCell ref="A6:F7"/>
    <x:mergeCell ref="A8:F8"/>
    <x:mergeCell ref="G5:L5"/>
    <x:mergeCell ref="G6:L7"/>
    <x:mergeCell ref="G8:L8"/>
    <x:mergeCell ref="M5:R5"/>
    <x:mergeCell ref="M6:R7"/>
    <x:mergeCell ref="M8:R8"/>
    <x:mergeCell ref="S5:X5"/>
    <x:mergeCell ref="S6:X7"/>
    <x:mergeCell ref="S8:X8"/>
    <x:mergeCell ref="Y5:AB5"/>
    <x:mergeCell ref="Y6:AB7"/>
    <x:mergeCell ref="Y8:AB8"/>
    <x:mergeCell ref="A10:AB10"/>
    <x:mergeCell ref="A11:B11"/>
    <x:mergeCell ref="C11:F11"/>
    <x:mergeCell ref="G11:I11"/>
    <x:mergeCell ref="J11:L11"/>
    <x:mergeCell ref="M11:V11"/>
    <x:mergeCell ref="W11:AB11"/>
    <x:mergeCell ref="A12:B12"/>
    <x:mergeCell ref="C12:F12"/>
    <x:mergeCell ref="G12:I12"/>
    <x:mergeCell ref="J12:L12"/>
    <x:mergeCell ref="M12:V12"/>
    <x:mergeCell ref="W12:AB12"/>
    <x:mergeCell ref="A13:B13"/>
    <x:mergeCell ref="C13:F13"/>
    <x:mergeCell ref="G13:I13"/>
    <x:mergeCell ref="J13:L13"/>
    <x:mergeCell ref="M13:V13"/>
    <x:mergeCell ref="W13:AB13"/>
    <x:mergeCell ref="A14:B14"/>
    <x:mergeCell ref="C14:F14"/>
    <x:mergeCell ref="G14:I14"/>
    <x:mergeCell ref="J14:L14"/>
    <x:mergeCell ref="M14:V14"/>
    <x:mergeCell ref="W14:AB14"/>
    <x:mergeCell ref="A16:AB16"/>
    <x:mergeCell ref="A17:AB18"/>
    <x:mergeCell ref="A20:N20"/>
    <x:mergeCell ref="A21:G21"/>
    <x:mergeCell ref="A22:G22"/>
    <x:mergeCell ref="A23:G23"/>
    <x:mergeCell ref="H21:N21"/>
    <x:mergeCell ref="H22:N22"/>
    <x:mergeCell ref="H23:N23"/>
    <x:mergeCell ref="A24:G24"/>
    <x:mergeCell ref="A25:G25"/>
    <x:mergeCell ref="A26:G26"/>
    <x:mergeCell ref="H24:N24"/>
    <x:mergeCell ref="H25:N25"/>
    <x:mergeCell ref="H26:N26"/>
    <x:mergeCell ref="O20:AB20"/>
    <x:mergeCell ref="O21:P21"/>
    <x:mergeCell ref="Q21:W21"/>
    <x:mergeCell ref="X21:Y21"/>
    <x:mergeCell ref="Z21:AB21"/>
    <x:mergeCell ref="O22:P22"/>
    <x:mergeCell ref="Q22:W22"/>
    <x:mergeCell ref="X22:Y22"/>
    <x:mergeCell ref="Z22:AB22"/>
    <x:mergeCell ref="O23:P23"/>
    <x:mergeCell ref="Q23:W23"/>
    <x:mergeCell ref="X23:Y23"/>
    <x:mergeCell ref="Z23:AB23"/>
    <x:mergeCell ref="O24:P24"/>
    <x:mergeCell ref="Q24:W24"/>
    <x:mergeCell ref="X24:Y24"/>
    <x:mergeCell ref="Z24:AB24"/>
    <x:mergeCell ref="O25:P25"/>
    <x:mergeCell ref="Q25:W25"/>
    <x:mergeCell ref="X25:Y25"/>
    <x:mergeCell ref="Z25:AB25"/>
    <x:mergeCell ref="O26:P26"/>
    <x:mergeCell ref="Q26:W26"/>
    <x:mergeCell ref="X26:Y26"/>
    <x:mergeCell ref="Z26:AB26"/>
    <x:mergeCell ref="A28:AB28"/>
    <x:mergeCell ref="A29:G29"/>
    <x:mergeCell ref="H29:N29"/>
    <x:mergeCell ref="O29:U29"/>
    <x:mergeCell ref="V29:AB29"/>
    <x:mergeCell ref="A30:G33"/>
    <x:mergeCell ref="H30:N33"/>
    <x:mergeCell ref="O30:U33"/>
    <x:mergeCell ref="V30:AB33"/>
    <x:mergeCell ref="A35:N35"/>
    <x:mergeCell ref="A36:N39"/>
    <x:mergeCell ref="O35:AB35"/>
    <x:mergeCell ref="O36:P36"/>
    <x:mergeCell ref="Q36:X36"/>
    <x:mergeCell ref="Y36:AB36"/>
    <x:mergeCell ref="O37:P37"/>
    <x:mergeCell ref="Q37:X37"/>
    <x:mergeCell ref="Y37:AB37"/>
    <x:mergeCell ref="O38:P38"/>
    <x:mergeCell ref="Q38:X38"/>
    <x:mergeCell ref="Y38:AB38"/>
    <x:mergeCell ref="O39:P39"/>
    <x:mergeCell ref="Q39:X39"/>
    <x:mergeCell ref="Y39:AB39"/>
    <x:mergeCell ref="A41:AB43"/>
    <x:mergeCell ref="A44:AB45"/>
  </x:mergeCells>
  <x:pageMargins left="0.7" right="0.7" top="0.75" bottom="0.75" header="0.3" footer="0.3"/>
</x:worksheet>
</file>

<file path=xl/worksheets/sheet20.xml><?xml version="1.0" encoding="utf-8"?>
<x:worksheet xmlns:x="http://schemas.openxmlformats.org/spreadsheetml/2006/main">
  <x:sheetFormatPr defaultRowHeight="15"/>
  <x:cols>
    <x:col min="1" max="1" width="3" hidden="0" customWidth="1"/>
    <x:col min="2" max="2" width="6" hidden="0" customWidth="1"/>
    <x:col min="3" max="3" width="6" hidden="0" customWidth="1"/>
    <x:col min="4" max="4" width="6" hidden="0" customWidth="1"/>
    <x:col min="5" max="5" width="6" hidden="0" customWidth="1"/>
    <x:col min="6" max="6" width="6" hidden="0" customWidth="1"/>
    <x:col min="7" max="7" width="6" hidden="0" customWidth="1"/>
    <x:col min="8" max="8" width="6" hidden="0" customWidth="1"/>
    <x:col min="9" max="9" width="6" hidden="0" customWidth="1"/>
    <x:col min="10" max="10" width="6" hidden="0" customWidth="1"/>
    <x:col min="11" max="11" width="6" hidden="0" customWidth="1"/>
    <x:col min="12" max="12" width="6" hidden="0" customWidth="1"/>
    <x:col min="13" max="13" width="6" hidden="0" customWidth="1"/>
    <x:col min="14" max="14" width="6" hidden="0" customWidth="1"/>
    <x:col min="15" max="15" width="6" hidden="0" customWidth="1"/>
    <x:col min="16" max="16" width="6" hidden="0" customWidth="1"/>
    <x:col min="17" max="17" width="6" hidden="0" customWidth="1"/>
    <x:col min="18" max="18" width="6" hidden="0" customWidth="1"/>
    <x:col min="19" max="19" width="6" hidden="0" customWidth="1"/>
    <x:col min="20" max="20" width="6" hidden="0" customWidth="1"/>
    <x:col min="21" max="21" width="6" hidden="0" customWidth="1"/>
    <x:col min="22" max="22" width="6" hidden="0" customWidth="1"/>
    <x:col min="23" max="23" width="6" hidden="0" customWidth="1"/>
    <x:col min="24" max="24" width="6" hidden="0" customWidth="1"/>
    <x:col min="25" max="25" width="6" hidden="0" customWidth="1"/>
    <x:col min="26" max="26" width="6" hidden="0" customWidth="1"/>
    <x:col min="27" max="27" width="6" hidden="0" customWidth="1"/>
    <x:col min="28" max="28" width="6" hidden="0" customWidth="1"/>
  </x:cols>
  <x:sheetData>
    <x:row r="1" ht="18" customHeight="1">
      <x:c r="A1" s="436" t="str">
        <x:v>Energy Doctor　指標詳細・診断所見</x:v>
      </x:c>
      <x:c r="B1" s="437"/>
      <x:c r="C1" s="437"/>
      <x:c r="D1" s="437"/>
      <x:c r="E1" s="437"/>
      <x:c r="F1" s="437"/>
      <x:c r="G1" s="437"/>
      <x:c r="H1" s="437"/>
      <x:c r="I1" s="437"/>
      <x:c r="J1" s="437"/>
      <x:c r="K1" s="437"/>
      <x:c r="L1" s="437"/>
      <x:c r="M1" s="437"/>
      <x:c r="N1" s="437"/>
      <x:c r="O1" s="437"/>
      <x:c r="P1" s="437"/>
      <x:c r="Q1" s="437"/>
      <x:c r="R1" s="437"/>
      <x:c r="S1" s="437"/>
      <x:c r="T1" s="437"/>
      <x:c r="U1" s="437"/>
      <x:c r="V1" s="437"/>
      <x:c r="W1" s="437"/>
      <x:c r="X1" s="437"/>
      <x:c r="Y1" s="437"/>
      <x:c r="Z1" s="437"/>
      <x:c r="AA1" s="437"/>
      <x:c r="AB1" s="438"/>
    </x:row>
    <x:row r="2" ht="18" customHeight="1">
      <x:c r="A2" s="439"/>
      <x:c r="B2" s="440"/>
      <x:c r="C2" s="440"/>
      <x:c r="D2" s="440"/>
      <x:c r="E2" s="440"/>
      <x:c r="F2" s="440"/>
      <x:c r="G2" s="440"/>
      <x:c r="H2" s="440"/>
      <x:c r="I2" s="440"/>
      <x:c r="J2" s="440"/>
      <x:c r="K2" s="440"/>
      <x:c r="L2" s="440"/>
      <x:c r="M2" s="440"/>
      <x:c r="N2" s="440"/>
      <x:c r="O2" s="440"/>
      <x:c r="P2" s="440"/>
      <x:c r="Q2" s="440"/>
      <x:c r="R2" s="440"/>
      <x:c r="S2" s="440"/>
      <x:c r="T2" s="440"/>
      <x:c r="U2" s="440"/>
      <x:c r="V2" s="440"/>
      <x:c r="W2" s="440"/>
      <x:c r="X2" s="440"/>
      <x:c r="Y2" s="440"/>
      <x:c r="Z2" s="440"/>
      <x:c r="AA2" s="440"/>
      <x:c r="AB2" s="441"/>
    </x:row>
    <x:row r="3" ht="18" customHeight="1">
      <x:c r="A3" s="453" t="str">
        <x:v>サンプル製造株式会社　第1工場</x:v>
      </x:c>
      <x:c r="B3" s="454"/>
      <x:c r="C3" s="454"/>
      <x:c r="D3" s="454"/>
      <x:c r="E3" s="454"/>
      <x:c r="F3" s="454"/>
      <x:c r="G3" s="454"/>
      <x:c r="H3" s="455"/>
      <x:c r="I3" s="459" t="str">
        <x:v>診断レベル：Evidence付き診断</x:v>
      </x:c>
      <x:c r="J3" s="460"/>
      <x:c r="K3" s="460"/>
      <x:c r="L3" s="460"/>
      <x:c r="M3" s="460"/>
      <x:c r="N3" s="461"/>
      <x:c r="O3" s="459" t="str">
        <x:v>診断信頼度：78（中～高）</x:v>
      </x:c>
      <x:c r="P3" s="460"/>
      <x:c r="Q3" s="460"/>
      <x:c r="R3" s="460"/>
      <x:c r="S3" s="460"/>
      <x:c r="T3" s="461"/>
      <x:c r="U3" s="465" t="str">
        <x:v>情報充足率：72（概ね十分）</x:v>
      </x:c>
      <x:c r="V3" s="466"/>
      <x:c r="W3" s="466"/>
      <x:c r="X3" s="466"/>
      <x:c r="Y3" s="466"/>
      <x:c r="Z3" s="466"/>
      <x:c r="AA3" s="466"/>
      <x:c r="AB3" s="467"/>
    </x:row>
    <x:row r="4" ht="18" customHeight="1"/>
    <x:row r="5" ht="18" customHeight="1">
      <x:c r="A5" s="647" t="str">
        <x:v>5指標サマリー</x:v>
      </x:c>
      <x:c r="B5" s="648"/>
      <x:c r="C5" s="648"/>
      <x:c r="D5" s="648"/>
      <x:c r="E5" s="648"/>
      <x:c r="F5" s="648"/>
      <x:c r="G5" s="648"/>
      <x:c r="H5" s="648"/>
      <x:c r="I5" s="648"/>
      <x:c r="J5" s="648"/>
      <x:c r="K5" s="648"/>
      <x:c r="L5" s="648"/>
      <x:c r="M5" s="648"/>
      <x:c r="N5" s="648"/>
      <x:c r="O5" s="648"/>
      <x:c r="P5" s="648"/>
      <x:c r="Q5" s="648"/>
      <x:c r="R5" s="648"/>
      <x:c r="S5" s="648"/>
      <x:c r="T5" s="648"/>
      <x:c r="U5" s="648"/>
      <x:c r="V5" s="648"/>
      <x:c r="W5" s="648"/>
      <x:c r="X5" s="648"/>
      <x:c r="Y5" s="648"/>
      <x:c r="Z5" s="648"/>
      <x:c r="AA5" s="648"/>
      <x:c r="AB5" s="649"/>
    </x:row>
    <x:row r="6" ht="18" customHeight="1">
      <x:c r="A6" s="1130" t="str">
        <x:v>EDI 48／要改善</x:v>
      </x:c>
      <x:c r="B6" s="1131"/>
      <x:c r="C6" s="1131"/>
      <x:c r="D6" s="1131"/>
      <x:c r="E6" s="1131"/>
      <x:c r="F6" s="1132"/>
      <x:c r="G6" s="1143" t="str">
        <x:v>DRI 62／判断準備中</x:v>
      </x:c>
      <x:c r="H6" s="1144"/>
      <x:c r="I6" s="1144"/>
      <x:c r="J6" s="1144"/>
      <x:c r="K6" s="1144"/>
      <x:c r="L6" s="1145"/>
      <x:c r="M6" s="1156" t="str">
        <x:v>EPI 82／最優先</x:v>
      </x:c>
      <x:c r="N6" s="1157"/>
      <x:c r="O6" s="1157"/>
      <x:c r="P6" s="1157"/>
      <x:c r="Q6" s="1157"/>
      <x:c r="R6" s="1158"/>
      <x:c r="S6" s="1169" t="str">
        <x:v>信頼度 78／中～高</x:v>
      </x:c>
      <x:c r="T6" s="1170"/>
      <x:c r="U6" s="1170"/>
      <x:c r="V6" s="1170"/>
      <x:c r="W6" s="1170"/>
      <x:c r="X6" s="1171"/>
      <x:c r="Y6" s="1169" t="str">
        <x:v>充足率 72／概ね十分</x:v>
      </x:c>
      <x:c r="Z6" s="1170"/>
      <x:c r="AA6" s="1170"/>
      <x:c r="AB6" s="1171"/>
    </x:row>
    <x:row r="7" ht="18" customHeight="1"/>
    <x:row r="8" ht="18" customHeight="1">
      <x:c r="A8" s="647" t="str">
        <x:v>① EDI 詳細</x:v>
      </x:c>
      <x:c r="B8" s="648"/>
      <x:c r="C8" s="648"/>
      <x:c r="D8" s="648"/>
      <x:c r="E8" s="648"/>
      <x:c r="F8" s="648"/>
      <x:c r="G8" s="648"/>
      <x:c r="H8" s="648"/>
      <x:c r="I8" s="648"/>
      <x:c r="J8" s="648"/>
      <x:c r="K8" s="648"/>
      <x:c r="L8" s="648"/>
      <x:c r="M8" s="648"/>
      <x:c r="N8" s="649"/>
      <x:c r="O8" s="647" t="str">
        <x:v>② DRI 詳細</x:v>
      </x:c>
      <x:c r="P8" s="648"/>
      <x:c r="Q8" s="648"/>
      <x:c r="R8" s="648"/>
      <x:c r="S8" s="648"/>
      <x:c r="T8" s="648"/>
      <x:c r="U8" s="648"/>
      <x:c r="V8" s="648"/>
      <x:c r="W8" s="648"/>
      <x:c r="X8" s="648"/>
      <x:c r="Y8" s="648"/>
      <x:c r="Z8" s="648"/>
      <x:c r="AA8" s="648"/>
      <x:c r="AB8" s="649"/>
    </x:row>
    <x:row r="9" ht="18" customHeight="1">
      <x:c r="A9" s="658" t="str">
        <x:v>分野</x:v>
      </x:c>
      <x:c r="B9" s="663"/>
      <x:c r="C9" s="663"/>
      <x:c r="D9" s="659"/>
      <x:c r="E9" s="658" t="str">
        <x:v>点数</x:v>
      </x:c>
      <x:c r="F9" s="663"/>
      <x:c r="G9" s="659"/>
      <x:c r="H9" s="658" t="str">
        <x:v>主要所見</x:v>
      </x:c>
      <x:c r="I9" s="663"/>
      <x:c r="J9" s="663"/>
      <x:c r="K9" s="663"/>
      <x:c r="L9" s="663"/>
      <x:c r="M9" s="663"/>
      <x:c r="N9" s="659"/>
      <x:c r="O9" s="658" t="str">
        <x:v>判断可能な項目</x:v>
      </x:c>
      <x:c r="P9" s="663"/>
      <x:c r="Q9" s="663"/>
      <x:c r="R9" s="663"/>
      <x:c r="S9" s="663"/>
      <x:c r="T9" s="663"/>
      <x:c r="U9" s="659"/>
      <x:c r="V9" s="658" t="str">
        <x:v>不足・追加確認</x:v>
      </x:c>
      <x:c r="W9" s="663"/>
      <x:c r="X9" s="663"/>
      <x:c r="Y9" s="663"/>
      <x:c r="Z9" s="663"/>
      <x:c r="AA9" s="663"/>
      <x:c r="AB9" s="659"/>
    </x:row>
    <x:row r="10" ht="18" customHeight="1">
      <x:c r="A10" s="838" t="str">
        <x:v>設備</x:v>
      </x:c>
      <x:c r="B10" s="839"/>
      <x:c r="C10" s="839"/>
      <x:c r="D10" s="840"/>
      <x:c r="E10" s="680" t="str">
        <x:v>42</x:v>
      </x:c>
      <x:c r="F10" s="682"/>
      <x:c r="G10" s="681"/>
      <x:c r="H10" s="693" t="str">
        <x:v>経年、故障増加、EOLが状態低下の主要因</x:v>
      </x:c>
      <x:c r="I10" s="694"/>
      <x:c r="J10" s="694"/>
      <x:c r="K10" s="694"/>
      <x:c r="L10" s="694"/>
      <x:c r="M10" s="694"/>
      <x:c r="N10" s="695"/>
      <x:c r="O10" s="995" t="str">
        <x:v>・メーカー保守終了の有無
・主要設備の設置年
・故障増加傾向
・次年度予算の時期</x:v>
      </x:c>
      <x:c r="P10" s="996"/>
      <x:c r="Q10" s="996"/>
      <x:c r="R10" s="996"/>
      <x:c r="S10" s="996"/>
      <x:c r="T10" s="996"/>
      <x:c r="U10" s="997"/>
      <x:c r="V10" s="958" t="str">
        <x:v>・現行図面の版・改造反映
・停止影響の定量化
・概算見積と工事範囲
・設備別電力データ</x:v>
      </x:c>
      <x:c r="W10" s="959"/>
      <x:c r="X10" s="959"/>
      <x:c r="Y10" s="959"/>
      <x:c r="Z10" s="959"/>
      <x:c r="AA10" s="959"/>
      <x:c r="AB10" s="960"/>
    </x:row>
    <x:row r="11" ht="18" customHeight="1">
      <x:c r="A11" s="850" t="str">
        <x:v>エネルギー</x:v>
      </x:c>
      <x:c r="B11" s="851"/>
      <x:c r="C11" s="851"/>
      <x:c r="D11" s="852"/>
      <x:c r="E11" s="696" t="str">
        <x:v>58</x:v>
      </x:c>
      <x:c r="F11" s="698"/>
      <x:c r="G11" s="697"/>
      <x:c r="H11" s="709" t="str">
        <x:v>設備別電力データが不足</x:v>
      </x:c>
      <x:c r="I11" s="710"/>
      <x:c r="J11" s="710"/>
      <x:c r="K11" s="710"/>
      <x:c r="L11" s="710"/>
      <x:c r="M11" s="710"/>
      <x:c r="N11" s="711"/>
      <x:c r="O11" s="998"/>
      <x:c r="P11" s="999"/>
      <x:c r="Q11" s="999"/>
      <x:c r="R11" s="999"/>
      <x:c r="S11" s="999"/>
      <x:c r="T11" s="999"/>
      <x:c r="U11" s="1000"/>
      <x:c r="V11" s="961"/>
      <x:c r="W11" s="962"/>
      <x:c r="X11" s="962"/>
      <x:c r="Y11" s="962"/>
      <x:c r="Z11" s="962"/>
      <x:c r="AA11" s="962"/>
      <x:c r="AB11" s="963"/>
    </x:row>
    <x:row r="12" ht="18" customHeight="1">
      <x:c r="A12" s="1182" t="str">
        <x:v>建物・環境</x:v>
      </x:c>
      <x:c r="B12" s="1183"/>
      <x:c r="C12" s="1183"/>
      <x:c r="D12" s="1184"/>
      <x:c r="E12" s="1188" t="str">
        <x:v>72</x:v>
      </x:c>
      <x:c r="F12" s="1189"/>
      <x:c r="G12" s="1190"/>
      <x:c r="H12" s="1200" t="str">
        <x:v>重大課題なし（入力範囲内）</x:v>
      </x:c>
      <x:c r="I12" s="1201"/>
      <x:c r="J12" s="1201"/>
      <x:c r="K12" s="1201"/>
      <x:c r="L12" s="1201"/>
      <x:c r="M12" s="1201"/>
      <x:c r="N12" s="1202"/>
      <x:c r="O12" s="998"/>
      <x:c r="P12" s="999"/>
      <x:c r="Q12" s="999"/>
      <x:c r="R12" s="999"/>
      <x:c r="S12" s="999"/>
      <x:c r="T12" s="999"/>
      <x:c r="U12" s="1000"/>
      <x:c r="V12" s="961"/>
      <x:c r="W12" s="962"/>
      <x:c r="X12" s="962"/>
      <x:c r="Y12" s="962"/>
      <x:c r="Z12" s="962"/>
      <x:c r="AA12" s="962"/>
      <x:c r="AB12" s="963"/>
    </x:row>
    <x:row r="13" ht="18" customHeight="1">
      <x:c r="A13" s="850" t="str">
        <x:v>経営・更新管理</x:v>
      </x:c>
      <x:c r="B13" s="851"/>
      <x:c r="C13" s="851"/>
      <x:c r="D13" s="852"/>
      <x:c r="E13" s="696" t="str">
        <x:v>61</x:v>
      </x:c>
      <x:c r="F13" s="698"/>
      <x:c r="G13" s="697"/>
      <x:c r="H13" s="709" t="str">
        <x:v>台帳はあるが、更新計画と図面に改善余地</x:v>
      </x:c>
      <x:c r="I13" s="710"/>
      <x:c r="J13" s="710"/>
      <x:c r="K13" s="710"/>
      <x:c r="L13" s="710"/>
      <x:c r="M13" s="710"/>
      <x:c r="N13" s="711"/>
      <x:c r="O13" s="998"/>
      <x:c r="P13" s="999"/>
      <x:c r="Q13" s="999"/>
      <x:c r="R13" s="999"/>
      <x:c r="S13" s="999"/>
      <x:c r="T13" s="999"/>
      <x:c r="U13" s="1000"/>
      <x:c r="V13" s="961"/>
      <x:c r="W13" s="962"/>
      <x:c r="X13" s="962"/>
      <x:c r="Y13" s="962"/>
      <x:c r="Z13" s="962"/>
      <x:c r="AA13" s="962"/>
      <x:c r="AB13" s="963"/>
    </x:row>
    <x:row r="14" ht="18" customHeight="1">
      <x:c r="O14" s="1001"/>
      <x:c r="P14" s="1002"/>
      <x:c r="Q14" s="1002"/>
      <x:c r="R14" s="1002"/>
      <x:c r="S14" s="1002"/>
      <x:c r="T14" s="1002"/>
      <x:c r="U14" s="1003"/>
      <x:c r="V14" s="964"/>
      <x:c r="W14" s="965"/>
      <x:c r="X14" s="965"/>
      <x:c r="Y14" s="965"/>
      <x:c r="Z14" s="965"/>
      <x:c r="AA14" s="965"/>
      <x:c r="AB14" s="966"/>
    </x:row>
    <x:row r="15" ht="18" customHeight="1"/>
    <x:row r="16" ht="18" customHeight="1">
      <x:c r="A16" s="647" t="str">
        <x:v>③ EPI 詳細</x:v>
      </x:c>
      <x:c r="B16" s="648"/>
      <x:c r="C16" s="648"/>
      <x:c r="D16" s="648"/>
      <x:c r="E16" s="648"/>
      <x:c r="F16" s="648"/>
      <x:c r="G16" s="648"/>
      <x:c r="H16" s="648"/>
      <x:c r="I16" s="648"/>
      <x:c r="J16" s="648"/>
      <x:c r="K16" s="648"/>
      <x:c r="L16" s="648"/>
      <x:c r="M16" s="648"/>
      <x:c r="N16" s="649"/>
      <x:c r="O16" s="647" t="str">
        <x:v>④ 診断品質</x:v>
      </x:c>
      <x:c r="P16" s="648"/>
      <x:c r="Q16" s="648"/>
      <x:c r="R16" s="648"/>
      <x:c r="S16" s="648"/>
      <x:c r="T16" s="648"/>
      <x:c r="U16" s="648"/>
      <x:c r="V16" s="648"/>
      <x:c r="W16" s="648"/>
      <x:c r="X16" s="648"/>
      <x:c r="Y16" s="648"/>
      <x:c r="Z16" s="648"/>
      <x:c r="AA16" s="648"/>
      <x:c r="AB16" s="649"/>
    </x:row>
    <x:row r="17" ht="18" customHeight="1">
      <x:c r="A17" s="658" t="str">
        <x:v>要素</x:v>
      </x:c>
      <x:c r="B17" s="663"/>
      <x:c r="C17" s="663"/>
      <x:c r="D17" s="659"/>
      <x:c r="E17" s="658" t="str">
        <x:v>評価</x:v>
      </x:c>
      <x:c r="F17" s="663"/>
      <x:c r="G17" s="659"/>
      <x:c r="H17" s="658" t="str">
        <x:v>理由</x:v>
      </x:c>
      <x:c r="I17" s="663"/>
      <x:c r="J17" s="663"/>
      <x:c r="K17" s="663"/>
      <x:c r="L17" s="663"/>
      <x:c r="M17" s="663"/>
      <x:c r="N17" s="659"/>
      <x:c r="O17" s="658" t="str">
        <x:v>要素</x:v>
      </x:c>
      <x:c r="P17" s="663"/>
      <x:c r="Q17" s="663"/>
      <x:c r="R17" s="659"/>
      <x:c r="S17" s="658" t="str">
        <x:v>点数</x:v>
      </x:c>
      <x:c r="T17" s="663"/>
      <x:c r="U17" s="659"/>
      <x:c r="V17" s="658" t="str">
        <x:v>評価</x:v>
      </x:c>
      <x:c r="W17" s="663"/>
      <x:c r="X17" s="663"/>
      <x:c r="Y17" s="663"/>
      <x:c r="Z17" s="663"/>
      <x:c r="AA17" s="663"/>
      <x:c r="AB17" s="659"/>
    </x:row>
    <x:row r="18" ht="18" customHeight="1">
      <x:c r="A18" s="819" t="str">
        <x:v>緊急性</x:v>
      </x:c>
      <x:c r="B18" s="820"/>
      <x:c r="C18" s="820"/>
      <x:c r="D18" s="821"/>
      <x:c r="E18" s="664" t="str">
        <x:v>高</x:v>
      </x:c>
      <x:c r="F18" s="666"/>
      <x:c r="G18" s="665"/>
      <x:c r="H18" s="677" t="str">
        <x:v>予算期限とEOL対応が必要</x:v>
      </x:c>
      <x:c r="I18" s="678"/>
      <x:c r="J18" s="678"/>
      <x:c r="K18" s="678"/>
      <x:c r="L18" s="678"/>
      <x:c r="M18" s="678"/>
      <x:c r="N18" s="679"/>
      <x:c r="O18" s="1206" t="str">
        <x:v>Evidence品質</x:v>
      </x:c>
      <x:c r="P18" s="1207"/>
      <x:c r="Q18" s="1207"/>
      <x:c r="R18" s="1208"/>
      <x:c r="S18" s="1041" t="str">
        <x:v>82</x:v>
      </x:c>
      <x:c r="T18" s="1056"/>
      <x:c r="U18" s="1042"/>
      <x:c r="V18" s="1053" t="str">
        <x:v>メーカー回答・点検資料あり</x:v>
      </x:c>
      <x:c r="W18" s="1054"/>
      <x:c r="X18" s="1054"/>
      <x:c r="Y18" s="1054"/>
      <x:c r="Z18" s="1054"/>
      <x:c r="AA18" s="1054"/>
      <x:c r="AB18" s="1055"/>
    </x:row>
    <x:row r="19" ht="18" customHeight="1">
      <x:c r="A19" s="819" t="str">
        <x:v>事業影響</x:v>
      </x:c>
      <x:c r="B19" s="820"/>
      <x:c r="C19" s="820"/>
      <x:c r="D19" s="821"/>
      <x:c r="E19" s="664" t="str">
        <x:v>高</x:v>
      </x:c>
      <x:c r="F19" s="666"/>
      <x:c r="G19" s="665"/>
      <x:c r="H19" s="677" t="str">
        <x:v>代替運転なし、生産停止影響大</x:v>
      </x:c>
      <x:c r="I19" s="678"/>
      <x:c r="J19" s="678"/>
      <x:c r="K19" s="678"/>
      <x:c r="L19" s="678"/>
      <x:c r="M19" s="678"/>
      <x:c r="N19" s="679"/>
      <x:c r="O19" s="1206" t="str">
        <x:v>対象一致</x:v>
      </x:c>
      <x:c r="P19" s="1207"/>
      <x:c r="Q19" s="1207"/>
      <x:c r="R19" s="1208"/>
      <x:c r="S19" s="1041" t="str">
        <x:v>85</x:v>
      </x:c>
      <x:c r="T19" s="1056"/>
      <x:c r="U19" s="1042"/>
      <x:c r="V19" s="1053" t="str">
        <x:v>主要設備の型式は特定済み</x:v>
      </x:c>
      <x:c r="W19" s="1054"/>
      <x:c r="X19" s="1054"/>
      <x:c r="Y19" s="1054"/>
      <x:c r="Z19" s="1054"/>
      <x:c r="AA19" s="1054"/>
      <x:c r="AB19" s="1055"/>
    </x:row>
    <x:row r="20" ht="18" customHeight="1">
      <x:c r="A20" s="819" t="str">
        <x:v>故障・供給リスク</x:v>
      </x:c>
      <x:c r="B20" s="820"/>
      <x:c r="C20" s="820"/>
      <x:c r="D20" s="821"/>
      <x:c r="E20" s="664" t="str">
        <x:v>高</x:v>
      </x:c>
      <x:c r="F20" s="666"/>
      <x:c r="G20" s="665"/>
      <x:c r="H20" s="677" t="str">
        <x:v>故障増加、メーカー保守終了</x:v>
      </x:c>
      <x:c r="I20" s="678"/>
      <x:c r="J20" s="678"/>
      <x:c r="K20" s="678"/>
      <x:c r="L20" s="678"/>
      <x:c r="M20" s="678"/>
      <x:c r="N20" s="679"/>
      <x:c r="O20" s="1206" t="str">
        <x:v>鮮度</x:v>
      </x:c>
      <x:c r="P20" s="1207"/>
      <x:c r="Q20" s="1207"/>
      <x:c r="R20" s="1208"/>
      <x:c r="S20" s="1041" t="str">
        <x:v>78</x:v>
      </x:c>
      <x:c r="T20" s="1056"/>
      <x:c r="U20" s="1042"/>
      <x:c r="V20" s="1053" t="str">
        <x:v>一部資料は更新確認が必要</x:v>
      </x:c>
      <x:c r="W20" s="1054"/>
      <x:c r="X20" s="1054"/>
      <x:c r="Y20" s="1054"/>
      <x:c r="Z20" s="1054"/>
      <x:c r="AA20" s="1054"/>
      <x:c r="AB20" s="1055"/>
    </x:row>
    <x:row r="21" ht="18" customHeight="1">
      <x:c r="A21" s="850" t="str">
        <x:v>実施機会・効果</x:v>
      </x:c>
      <x:c r="B21" s="851"/>
      <x:c r="C21" s="851"/>
      <x:c r="D21" s="852"/>
      <x:c r="E21" s="696" t="str">
        <x:v>中</x:v>
      </x:c>
      <x:c r="F21" s="698"/>
      <x:c r="G21" s="697"/>
      <x:c r="H21" s="709" t="str">
        <x:v>予算時期あり、省エネ効果は要試算</x:v>
      </x:c>
      <x:c r="I21" s="710"/>
      <x:c r="J21" s="710"/>
      <x:c r="K21" s="710"/>
      <x:c r="L21" s="710"/>
      <x:c r="M21" s="710"/>
      <x:c r="N21" s="711"/>
      <x:c r="O21" s="1206" t="str">
        <x:v>確認主体</x:v>
      </x:c>
      <x:c r="P21" s="1207"/>
      <x:c r="Q21" s="1207"/>
      <x:c r="R21" s="1208"/>
      <x:c r="S21" s="1041" t="str">
        <x:v>75</x:v>
      </x:c>
      <x:c r="T21" s="1056"/>
      <x:c r="U21" s="1042"/>
      <x:c r="V21" s="1053" t="str">
        <x:v>メーカー・社内担当の確認混在</x:v>
      </x:c>
      <x:c r="W21" s="1054"/>
      <x:c r="X21" s="1054"/>
      <x:c r="Y21" s="1054"/>
      <x:c r="Z21" s="1054"/>
      <x:c r="AA21" s="1054"/>
      <x:c r="AB21" s="1055"/>
    </x:row>
    <x:row r="22" ht="18" customHeight="1">
      <x:c r="O22" s="1206" t="str">
        <x:v>整合性</x:v>
      </x:c>
      <x:c r="P22" s="1207"/>
      <x:c r="Q22" s="1207"/>
      <x:c r="R22" s="1208"/>
      <x:c r="S22" s="1041" t="str">
        <x:v>70</x:v>
      </x:c>
      <x:c r="T22" s="1056"/>
      <x:c r="U22" s="1042"/>
      <x:c r="V22" s="1053" t="str">
        <x:v>重要矛盾なし、軽微な追加確認あり</x:v>
      </x:c>
      <x:c r="W22" s="1054"/>
      <x:c r="X22" s="1054"/>
      <x:c r="Y22" s="1054"/>
      <x:c r="Z22" s="1054"/>
      <x:c r="AA22" s="1054"/>
      <x:c r="AB22" s="1055"/>
    </x:row>
    <x:row r="23" ht="18" customHeight="1"/>
    <x:row r="24" ht="18" customHeight="1">
      <x:c r="A24" s="647" t="str">
        <x:v>Evidence一覧</x:v>
      </x:c>
      <x:c r="B24" s="648"/>
      <x:c r="C24" s="648"/>
      <x:c r="D24" s="648"/>
      <x:c r="E24" s="648"/>
      <x:c r="F24" s="648"/>
      <x:c r="G24" s="648"/>
      <x:c r="H24" s="648"/>
      <x:c r="I24" s="648"/>
      <x:c r="J24" s="648"/>
      <x:c r="K24" s="648"/>
      <x:c r="L24" s="648"/>
      <x:c r="M24" s="648"/>
      <x:c r="N24" s="649"/>
      <x:c r="O24" s="647" t="str">
        <x:v>不足情報・更新条件</x:v>
      </x:c>
      <x:c r="P24" s="648"/>
      <x:c r="Q24" s="648"/>
      <x:c r="R24" s="648"/>
      <x:c r="S24" s="648"/>
      <x:c r="T24" s="648"/>
      <x:c r="U24" s="648"/>
      <x:c r="V24" s="648"/>
      <x:c r="W24" s="648"/>
      <x:c r="X24" s="648"/>
      <x:c r="Y24" s="648"/>
      <x:c r="Z24" s="648"/>
      <x:c r="AA24" s="648"/>
      <x:c r="AB24" s="649"/>
    </x:row>
    <x:row r="25" ht="18" customHeight="1">
      <x:c r="A25" s="658" t="str">
        <x:v>資料</x:v>
      </x:c>
      <x:c r="B25" s="663"/>
      <x:c r="C25" s="663"/>
      <x:c r="D25" s="663"/>
      <x:c r="E25" s="659"/>
      <x:c r="F25" s="658" t="str">
        <x:v>状態</x:v>
      </x:c>
      <x:c r="G25" s="663"/>
      <x:c r="H25" s="659"/>
      <x:c r="I25" s="658" t="str">
        <x:v>用途</x:v>
      </x:c>
      <x:c r="J25" s="663"/>
      <x:c r="K25" s="663"/>
      <x:c r="L25" s="663"/>
      <x:c r="M25" s="663"/>
      <x:c r="N25" s="659"/>
      <x:c r="O25" s="958" t="str">
        <x:v>1. 現行図面の版・改造反映状況
2. 停止影響額と想定復旧時間
3. 概算見積と更新対象範囲
4. 設備別電力使用量
上記を追加すると、推奨判断を『仮方向』から正式比較へ更新できます。</x:v>
      </x:c>
      <x:c r="P25" s="959"/>
      <x:c r="Q25" s="959"/>
      <x:c r="R25" s="959"/>
      <x:c r="S25" s="959"/>
      <x:c r="T25" s="959"/>
      <x:c r="U25" s="959"/>
      <x:c r="V25" s="959"/>
      <x:c r="W25" s="959"/>
      <x:c r="X25" s="959"/>
      <x:c r="Y25" s="959"/>
      <x:c r="Z25" s="959"/>
      <x:c r="AA25" s="959"/>
      <x:c r="AB25" s="960"/>
    </x:row>
    <x:row r="26" ht="18" customHeight="1">
      <x:c r="A26" s="1218" t="str">
        <x:v>メーカー保守回答</x:v>
      </x:c>
      <x:c r="B26" s="1219"/>
      <x:c r="C26" s="1219"/>
      <x:c r="D26" s="1219"/>
      <x:c r="E26" s="1220"/>
      <x:c r="F26" s="1231" t="str">
        <x:v>確認済 L3</x:v>
      </x:c>
      <x:c r="G26" s="1232"/>
      <x:c r="H26" s="1233"/>
      <x:c r="I26" s="1218" t="str">
        <x:v>EOL・後継確認</x:v>
      </x:c>
      <x:c r="J26" s="1219"/>
      <x:c r="K26" s="1219"/>
      <x:c r="L26" s="1219"/>
      <x:c r="M26" s="1219"/>
      <x:c r="N26" s="1220"/>
      <x:c r="O26" s="961"/>
      <x:c r="P26" s="962"/>
      <x:c r="Q26" s="962"/>
      <x:c r="R26" s="962"/>
      <x:c r="S26" s="962"/>
      <x:c r="T26" s="962"/>
      <x:c r="U26" s="962"/>
      <x:c r="V26" s="962"/>
      <x:c r="W26" s="962"/>
      <x:c r="X26" s="962"/>
      <x:c r="Y26" s="962"/>
      <x:c r="Z26" s="962"/>
      <x:c r="AA26" s="962"/>
      <x:c r="AB26" s="963"/>
    </x:row>
    <x:row r="27" ht="18" customHeight="1">
      <x:c r="A27" s="1218" t="str">
        <x:v>設備台帳</x:v>
      </x:c>
      <x:c r="B27" s="1219"/>
      <x:c r="C27" s="1219"/>
      <x:c r="D27" s="1219"/>
      <x:c r="E27" s="1220"/>
      <x:c r="F27" s="1231" t="str">
        <x:v>確認済 L3</x:v>
      </x:c>
      <x:c r="G27" s="1232"/>
      <x:c r="H27" s="1233"/>
      <x:c r="I27" s="1218" t="str">
        <x:v>設置年・対象設備</x:v>
      </x:c>
      <x:c r="J27" s="1219"/>
      <x:c r="K27" s="1219"/>
      <x:c r="L27" s="1219"/>
      <x:c r="M27" s="1219"/>
      <x:c r="N27" s="1220"/>
      <x:c r="O27" s="961"/>
      <x:c r="P27" s="962"/>
      <x:c r="Q27" s="962"/>
      <x:c r="R27" s="962"/>
      <x:c r="S27" s="962"/>
      <x:c r="T27" s="962"/>
      <x:c r="U27" s="962"/>
      <x:c r="V27" s="962"/>
      <x:c r="W27" s="962"/>
      <x:c r="X27" s="962"/>
      <x:c r="Y27" s="962"/>
      <x:c r="Z27" s="962"/>
      <x:c r="AA27" s="962"/>
      <x:c r="AB27" s="963"/>
    </x:row>
    <x:row r="28" ht="18" customHeight="1">
      <x:c r="A28" s="1218" t="str">
        <x:v>故障履歴</x:v>
      </x:c>
      <x:c r="B28" s="1219"/>
      <x:c r="C28" s="1219"/>
      <x:c r="D28" s="1219"/>
      <x:c r="E28" s="1220"/>
      <x:c r="F28" s="1231" t="str">
        <x:v>確認済 L3</x:v>
      </x:c>
      <x:c r="G28" s="1232"/>
      <x:c r="H28" s="1233"/>
      <x:c r="I28" s="1218" t="str">
        <x:v>故障傾向</x:v>
      </x:c>
      <x:c r="J28" s="1219"/>
      <x:c r="K28" s="1219"/>
      <x:c r="L28" s="1219"/>
      <x:c r="M28" s="1219"/>
      <x:c r="N28" s="1220"/>
      <x:c r="O28" s="961"/>
      <x:c r="P28" s="962"/>
      <x:c r="Q28" s="962"/>
      <x:c r="R28" s="962"/>
      <x:c r="S28" s="962"/>
      <x:c r="T28" s="962"/>
      <x:c r="U28" s="962"/>
      <x:c r="V28" s="962"/>
      <x:c r="W28" s="962"/>
      <x:c r="X28" s="962"/>
      <x:c r="Y28" s="962"/>
      <x:c r="Z28" s="962"/>
      <x:c r="AA28" s="962"/>
      <x:c r="AB28" s="963"/>
    </x:row>
    <x:row r="29" ht="18" customHeight="1">
      <x:c r="A29" s="1218" t="str">
        <x:v>点検資料</x:v>
      </x:c>
      <x:c r="B29" s="1219"/>
      <x:c r="C29" s="1219"/>
      <x:c r="D29" s="1219"/>
      <x:c r="E29" s="1220"/>
      <x:c r="F29" s="1231" t="str">
        <x:v>確認済 L3</x:v>
      </x:c>
      <x:c r="G29" s="1232"/>
      <x:c r="H29" s="1233"/>
      <x:c r="I29" s="1218" t="str">
        <x:v>故障リスク</x:v>
      </x:c>
      <x:c r="J29" s="1219"/>
      <x:c r="K29" s="1219"/>
      <x:c r="L29" s="1219"/>
      <x:c r="M29" s="1219"/>
      <x:c r="N29" s="1220"/>
      <x:c r="O29" s="961"/>
      <x:c r="P29" s="962"/>
      <x:c r="Q29" s="962"/>
      <x:c r="R29" s="962"/>
      <x:c r="S29" s="962"/>
      <x:c r="T29" s="962"/>
      <x:c r="U29" s="962"/>
      <x:c r="V29" s="962"/>
      <x:c r="W29" s="962"/>
      <x:c r="X29" s="962"/>
      <x:c r="Y29" s="962"/>
      <x:c r="Z29" s="962"/>
      <x:c r="AA29" s="962"/>
      <x:c r="AB29" s="963"/>
    </x:row>
    <x:row r="30" ht="18" customHeight="1">
      <x:c r="A30" s="1218" t="str">
        <x:v>旧図面</x:v>
      </x:c>
      <x:c r="B30" s="1219"/>
      <x:c r="C30" s="1219"/>
      <x:c r="D30" s="1219"/>
      <x:c r="E30" s="1220"/>
      <x:c r="F30" s="1231" t="str">
        <x:v>一部確認 L2</x:v>
      </x:c>
      <x:c r="G30" s="1232"/>
      <x:c r="H30" s="1233"/>
      <x:c r="I30" s="1218" t="str">
        <x:v>工事範囲</x:v>
      </x:c>
      <x:c r="J30" s="1219"/>
      <x:c r="K30" s="1219"/>
      <x:c r="L30" s="1219"/>
      <x:c r="M30" s="1219"/>
      <x:c r="N30" s="1220"/>
      <x:c r="O30" s="964"/>
      <x:c r="P30" s="965"/>
      <x:c r="Q30" s="965"/>
      <x:c r="R30" s="965"/>
      <x:c r="S30" s="965"/>
      <x:c r="T30" s="965"/>
      <x:c r="U30" s="965"/>
      <x:c r="V30" s="965"/>
      <x:c r="W30" s="965"/>
      <x:c r="X30" s="965"/>
      <x:c r="Y30" s="965"/>
      <x:c r="Z30" s="965"/>
      <x:c r="AA30" s="965"/>
      <x:c r="AB30" s="966"/>
    </x:row>
    <x:row r="31" ht="18" customHeight="1"/>
    <x:row r="32" ht="18" customHeight="1">
      <x:c r="A32" s="647" t="str">
        <x:v>⑤ 総合所見・推奨判断</x:v>
      </x:c>
      <x:c r="B32" s="648"/>
      <x:c r="C32" s="648"/>
      <x:c r="D32" s="648"/>
      <x:c r="E32" s="648"/>
      <x:c r="F32" s="648"/>
      <x:c r="G32" s="648"/>
      <x:c r="H32" s="648"/>
      <x:c r="I32" s="648"/>
      <x:c r="J32" s="648"/>
      <x:c r="K32" s="648"/>
      <x:c r="L32" s="648"/>
      <x:c r="M32" s="648"/>
      <x:c r="N32" s="648"/>
      <x:c r="O32" s="648"/>
      <x:c r="P32" s="648"/>
      <x:c r="Q32" s="648"/>
      <x:c r="R32" s="648"/>
      <x:c r="S32" s="648"/>
      <x:c r="T32" s="648"/>
      <x:c r="U32" s="648"/>
      <x:c r="V32" s="648"/>
      <x:c r="W32" s="648"/>
      <x:c r="X32" s="648"/>
      <x:c r="Y32" s="648"/>
      <x:c r="Z32" s="648"/>
      <x:c r="AA32" s="648"/>
      <x:c r="AB32" s="649"/>
    </x:row>
    <x:row r="33" ht="18" customHeight="1">
      <x:c r="A33" s="1263" t="str">
        <x:v>主要設備の一部では、メーカー保守終了が正式資料で確認されており、故障時の部品確保や復旧長期化が懸念されます。また、対象設備が停止した場合に代替運転ができないと申告されているため、生産・出荷への影響を含めたBCP上の確認が必要です。
設備状態については、設置後20年以上の設備が多く、故障・異常の増加傾向も記録で確認されています。一方、現行図面は一部に限られ、設備別の電力使用量も十分に把握されていません。このため、更新方式や省エネ効果を確定するには、図面の現行性確認と主要設備の電力計測が必要です。
推奨判断は、計画更新を第一候補とし、予備品確保および監視強化を代替案として比較することです。次年度予算に向け、後継方式、停止条件、概算費用を3か月以内に整理してください。</x:v>
      </x:c>
      <x:c r="B33" s="1264"/>
      <x:c r="C33" s="1264"/>
      <x:c r="D33" s="1264"/>
      <x:c r="E33" s="1264"/>
      <x:c r="F33" s="1264"/>
      <x:c r="G33" s="1264"/>
      <x:c r="H33" s="1264"/>
      <x:c r="I33" s="1264"/>
      <x:c r="J33" s="1264"/>
      <x:c r="K33" s="1264"/>
      <x:c r="L33" s="1264"/>
      <x:c r="M33" s="1264"/>
      <x:c r="N33" s="1264"/>
      <x:c r="O33" s="1264"/>
      <x:c r="P33" s="1264"/>
      <x:c r="Q33" s="1264"/>
      <x:c r="R33" s="1264"/>
      <x:c r="S33" s="1264"/>
      <x:c r="T33" s="1264"/>
      <x:c r="U33" s="1264"/>
      <x:c r="V33" s="1264"/>
      <x:c r="W33" s="1264"/>
      <x:c r="X33" s="1264"/>
      <x:c r="Y33" s="1264"/>
      <x:c r="Z33" s="1264"/>
      <x:c r="AA33" s="1264"/>
      <x:c r="AB33" s="1265"/>
    </x:row>
    <x:row r="34" ht="18" customHeight="1">
      <x:c r="A34" s="1266"/>
      <x:c r="B34" s="1267"/>
      <x:c r="C34" s="1267"/>
      <x:c r="D34" s="1267"/>
      <x:c r="E34" s="1267"/>
      <x:c r="F34" s="1267"/>
      <x:c r="G34" s="1267"/>
      <x:c r="H34" s="1267"/>
      <x:c r="I34" s="1267"/>
      <x:c r="J34" s="1267"/>
      <x:c r="K34" s="1267"/>
      <x:c r="L34" s="1267"/>
      <x:c r="M34" s="1267"/>
      <x:c r="N34" s="1267"/>
      <x:c r="O34" s="1267"/>
      <x:c r="P34" s="1267"/>
      <x:c r="Q34" s="1267"/>
      <x:c r="R34" s="1267"/>
      <x:c r="S34" s="1267"/>
      <x:c r="T34" s="1267"/>
      <x:c r="U34" s="1267"/>
      <x:c r="V34" s="1267"/>
      <x:c r="W34" s="1267"/>
      <x:c r="X34" s="1267"/>
      <x:c r="Y34" s="1267"/>
      <x:c r="Z34" s="1267"/>
      <x:c r="AA34" s="1267"/>
      <x:c r="AB34" s="1268"/>
    </x:row>
    <x:row r="35" ht="18" customHeight="1">
      <x:c r="A35" s="1266"/>
      <x:c r="B35" s="1267"/>
      <x:c r="C35" s="1267"/>
      <x:c r="D35" s="1267"/>
      <x:c r="E35" s="1267"/>
      <x:c r="F35" s="1267"/>
      <x:c r="G35" s="1267"/>
      <x:c r="H35" s="1267"/>
      <x:c r="I35" s="1267"/>
      <x:c r="J35" s="1267"/>
      <x:c r="K35" s="1267"/>
      <x:c r="L35" s="1267"/>
      <x:c r="M35" s="1267"/>
      <x:c r="N35" s="1267"/>
      <x:c r="O35" s="1267"/>
      <x:c r="P35" s="1267"/>
      <x:c r="Q35" s="1267"/>
      <x:c r="R35" s="1267"/>
      <x:c r="S35" s="1267"/>
      <x:c r="T35" s="1267"/>
      <x:c r="U35" s="1267"/>
      <x:c r="V35" s="1267"/>
      <x:c r="W35" s="1267"/>
      <x:c r="X35" s="1267"/>
      <x:c r="Y35" s="1267"/>
      <x:c r="Z35" s="1267"/>
      <x:c r="AA35" s="1267"/>
      <x:c r="AB35" s="1268"/>
    </x:row>
    <x:row r="36" ht="18" customHeight="1">
      <x:c r="A36" s="1266"/>
      <x:c r="B36" s="1267"/>
      <x:c r="C36" s="1267"/>
      <x:c r="D36" s="1267"/>
      <x:c r="E36" s="1267"/>
      <x:c r="F36" s="1267"/>
      <x:c r="G36" s="1267"/>
      <x:c r="H36" s="1267"/>
      <x:c r="I36" s="1267"/>
      <x:c r="J36" s="1267"/>
      <x:c r="K36" s="1267"/>
      <x:c r="L36" s="1267"/>
      <x:c r="M36" s="1267"/>
      <x:c r="N36" s="1267"/>
      <x:c r="O36" s="1267"/>
      <x:c r="P36" s="1267"/>
      <x:c r="Q36" s="1267"/>
      <x:c r="R36" s="1267"/>
      <x:c r="S36" s="1267"/>
      <x:c r="T36" s="1267"/>
      <x:c r="U36" s="1267"/>
      <x:c r="V36" s="1267"/>
      <x:c r="W36" s="1267"/>
      <x:c r="X36" s="1267"/>
      <x:c r="Y36" s="1267"/>
      <x:c r="Z36" s="1267"/>
      <x:c r="AA36" s="1267"/>
      <x:c r="AB36" s="1268"/>
    </x:row>
    <x:row r="37" ht="18" customHeight="1">
      <x:c r="A37" s="1266"/>
      <x:c r="B37" s="1267"/>
      <x:c r="C37" s="1267"/>
      <x:c r="D37" s="1267"/>
      <x:c r="E37" s="1267"/>
      <x:c r="F37" s="1267"/>
      <x:c r="G37" s="1267"/>
      <x:c r="H37" s="1267"/>
      <x:c r="I37" s="1267"/>
      <x:c r="J37" s="1267"/>
      <x:c r="K37" s="1267"/>
      <x:c r="L37" s="1267"/>
      <x:c r="M37" s="1267"/>
      <x:c r="N37" s="1267"/>
      <x:c r="O37" s="1267"/>
      <x:c r="P37" s="1267"/>
      <x:c r="Q37" s="1267"/>
      <x:c r="R37" s="1267"/>
      <x:c r="S37" s="1267"/>
      <x:c r="T37" s="1267"/>
      <x:c r="U37" s="1267"/>
      <x:c r="V37" s="1267"/>
      <x:c r="W37" s="1267"/>
      <x:c r="X37" s="1267"/>
      <x:c r="Y37" s="1267"/>
      <x:c r="Z37" s="1267"/>
      <x:c r="AA37" s="1267"/>
      <x:c r="AB37" s="1268"/>
    </x:row>
    <x:row r="38" ht="18" customHeight="1">
      <x:c r="A38" s="1266"/>
      <x:c r="B38" s="1267"/>
      <x:c r="C38" s="1267"/>
      <x:c r="D38" s="1267"/>
      <x:c r="E38" s="1267"/>
      <x:c r="F38" s="1267"/>
      <x:c r="G38" s="1267"/>
      <x:c r="H38" s="1267"/>
      <x:c r="I38" s="1267"/>
      <x:c r="J38" s="1267"/>
      <x:c r="K38" s="1267"/>
      <x:c r="L38" s="1267"/>
      <x:c r="M38" s="1267"/>
      <x:c r="N38" s="1267"/>
      <x:c r="O38" s="1267"/>
      <x:c r="P38" s="1267"/>
      <x:c r="Q38" s="1267"/>
      <x:c r="R38" s="1267"/>
      <x:c r="S38" s="1267"/>
      <x:c r="T38" s="1267"/>
      <x:c r="U38" s="1267"/>
      <x:c r="V38" s="1267"/>
      <x:c r="W38" s="1267"/>
      <x:c r="X38" s="1267"/>
      <x:c r="Y38" s="1267"/>
      <x:c r="Z38" s="1267"/>
      <x:c r="AA38" s="1267"/>
      <x:c r="AB38" s="1268"/>
    </x:row>
    <x:row r="39" ht="18" customHeight="1">
      <x:c r="A39" s="1269"/>
      <x:c r="B39" s="1270"/>
      <x:c r="C39" s="1270"/>
      <x:c r="D39" s="1270"/>
      <x:c r="E39" s="1270"/>
      <x:c r="F39" s="1270"/>
      <x:c r="G39" s="1270"/>
      <x:c r="H39" s="1270"/>
      <x:c r="I39" s="1270"/>
      <x:c r="J39" s="1270"/>
      <x:c r="K39" s="1270"/>
      <x:c r="L39" s="1270"/>
      <x:c r="M39" s="1270"/>
      <x:c r="N39" s="1270"/>
      <x:c r="O39" s="1270"/>
      <x:c r="P39" s="1270"/>
      <x:c r="Q39" s="1270"/>
      <x:c r="R39" s="1270"/>
      <x:c r="S39" s="1270"/>
      <x:c r="T39" s="1270"/>
      <x:c r="U39" s="1270"/>
      <x:c r="V39" s="1270"/>
      <x:c r="W39" s="1270"/>
      <x:c r="X39" s="1270"/>
      <x:c r="Y39" s="1270"/>
      <x:c r="Z39" s="1270"/>
      <x:c r="AA39" s="1270"/>
      <x:c r="AB39" s="1271"/>
    </x:row>
    <x:row r="40" ht="18" customHeight="1"/>
    <x:row r="41" ht="18" customHeight="1">
      <x:c r="A41" s="647" t="str">
        <x:v>⑥ 指標の見方・免責・更新条件</x:v>
      </x:c>
      <x:c r="B41" s="648"/>
      <x:c r="C41" s="648"/>
      <x:c r="D41" s="648"/>
      <x:c r="E41" s="648"/>
      <x:c r="F41" s="648"/>
      <x:c r="G41" s="648"/>
      <x:c r="H41" s="648"/>
      <x:c r="I41" s="648"/>
      <x:c r="J41" s="648"/>
      <x:c r="K41" s="648"/>
      <x:c r="L41" s="648"/>
      <x:c r="M41" s="648"/>
      <x:c r="N41" s="648"/>
      <x:c r="O41" s="648"/>
      <x:c r="P41" s="648"/>
      <x:c r="Q41" s="648"/>
      <x:c r="R41" s="648"/>
      <x:c r="S41" s="648"/>
      <x:c r="T41" s="648"/>
      <x:c r="U41" s="648"/>
      <x:c r="V41" s="648"/>
      <x:c r="W41" s="648"/>
      <x:c r="X41" s="648"/>
      <x:c r="Y41" s="648"/>
      <x:c r="Z41" s="648"/>
      <x:c r="AA41" s="648"/>
      <x:c r="AB41" s="649"/>
    </x:row>
    <x:row r="42" ht="18" customHeight="1">
      <x:c r="A42" s="1300" t="str">
        <x:v>・EDIとDRIは高いほど良好、EPIは高いほど早期対応が必要です。
・Decision GuardrailはKPI点数とは独立し、安全・法令・BCP等の重大条件を表示します。
・個別所見の断定レベルは、総合スコアではなく個別Evidenceの質に従います。
・本レポートは自己診断および提出資料に基づく判断支援資料であり、法令適合、安全保証、機器寿命、投資効果を保証するものではありません。
・現地確認、メーカー回答、専門レビュー、見積取得により内容を更新し、正式Energy Doctor診断へ移行します。</x:v>
      </x:c>
      <x:c r="B42" s="1301"/>
      <x:c r="C42" s="1301"/>
      <x:c r="D42" s="1301"/>
      <x:c r="E42" s="1301"/>
      <x:c r="F42" s="1301"/>
      <x:c r="G42" s="1301"/>
      <x:c r="H42" s="1301"/>
      <x:c r="I42" s="1301"/>
      <x:c r="J42" s="1301"/>
      <x:c r="K42" s="1301"/>
      <x:c r="L42" s="1301"/>
      <x:c r="M42" s="1301"/>
      <x:c r="N42" s="1301"/>
      <x:c r="O42" s="1301"/>
      <x:c r="P42" s="1301"/>
      <x:c r="Q42" s="1301"/>
      <x:c r="R42" s="1301"/>
      <x:c r="S42" s="1301"/>
      <x:c r="T42" s="1301"/>
      <x:c r="U42" s="1301"/>
      <x:c r="V42" s="1301"/>
      <x:c r="W42" s="1301"/>
      <x:c r="X42" s="1301"/>
      <x:c r="Y42" s="1301"/>
      <x:c r="Z42" s="1301"/>
      <x:c r="AA42" s="1301"/>
      <x:c r="AB42" s="1302"/>
    </x:row>
    <x:row r="43" ht="18" customHeight="1">
      <x:c r="A43" s="1303"/>
      <x:c r="B43" s="1304"/>
      <x:c r="C43" s="1304"/>
      <x:c r="D43" s="1304"/>
      <x:c r="E43" s="1304"/>
      <x:c r="F43" s="1304"/>
      <x:c r="G43" s="1304"/>
      <x:c r="H43" s="1304"/>
      <x:c r="I43" s="1304"/>
      <x:c r="J43" s="1304"/>
      <x:c r="K43" s="1304"/>
      <x:c r="L43" s="1304"/>
      <x:c r="M43" s="1304"/>
      <x:c r="N43" s="1304"/>
      <x:c r="O43" s="1304"/>
      <x:c r="P43" s="1304"/>
      <x:c r="Q43" s="1304"/>
      <x:c r="R43" s="1304"/>
      <x:c r="S43" s="1304"/>
      <x:c r="T43" s="1304"/>
      <x:c r="U43" s="1304"/>
      <x:c r="V43" s="1304"/>
      <x:c r="W43" s="1304"/>
      <x:c r="X43" s="1304"/>
      <x:c r="Y43" s="1304"/>
      <x:c r="Z43" s="1304"/>
      <x:c r="AA43" s="1304"/>
      <x:c r="AB43" s="1305"/>
    </x:row>
    <x:row r="44" ht="18" customHeight="1">
      <x:c r="A44" s="1303"/>
      <x:c r="B44" s="1304"/>
      <x:c r="C44" s="1304"/>
      <x:c r="D44" s="1304"/>
      <x:c r="E44" s="1304"/>
      <x:c r="F44" s="1304"/>
      <x:c r="G44" s="1304"/>
      <x:c r="H44" s="1304"/>
      <x:c r="I44" s="1304"/>
      <x:c r="J44" s="1304"/>
      <x:c r="K44" s="1304"/>
      <x:c r="L44" s="1304"/>
      <x:c r="M44" s="1304"/>
      <x:c r="N44" s="1304"/>
      <x:c r="O44" s="1304"/>
      <x:c r="P44" s="1304"/>
      <x:c r="Q44" s="1304"/>
      <x:c r="R44" s="1304"/>
      <x:c r="S44" s="1304"/>
      <x:c r="T44" s="1304"/>
      <x:c r="U44" s="1304"/>
      <x:c r="V44" s="1304"/>
      <x:c r="W44" s="1304"/>
      <x:c r="X44" s="1304"/>
      <x:c r="Y44" s="1304"/>
      <x:c r="Z44" s="1304"/>
      <x:c r="AA44" s="1304"/>
      <x:c r="AB44" s="1305"/>
    </x:row>
    <x:row r="45" ht="18" customHeight="1">
      <x:c r="A45" s="1303"/>
      <x:c r="B45" s="1304"/>
      <x:c r="C45" s="1304"/>
      <x:c r="D45" s="1304"/>
      <x:c r="E45" s="1304"/>
      <x:c r="F45" s="1304"/>
      <x:c r="G45" s="1304"/>
      <x:c r="H45" s="1304"/>
      <x:c r="I45" s="1304"/>
      <x:c r="J45" s="1304"/>
      <x:c r="K45" s="1304"/>
      <x:c r="L45" s="1304"/>
      <x:c r="M45" s="1304"/>
      <x:c r="N45" s="1304"/>
      <x:c r="O45" s="1304"/>
      <x:c r="P45" s="1304"/>
      <x:c r="Q45" s="1304"/>
      <x:c r="R45" s="1304"/>
      <x:c r="S45" s="1304"/>
      <x:c r="T45" s="1304"/>
      <x:c r="U45" s="1304"/>
      <x:c r="V45" s="1304"/>
      <x:c r="W45" s="1304"/>
      <x:c r="X45" s="1304"/>
      <x:c r="Y45" s="1304"/>
      <x:c r="Z45" s="1304"/>
      <x:c r="AA45" s="1304"/>
      <x:c r="AB45" s="1305"/>
    </x:row>
    <x:row r="46" ht="18" customHeight="1">
      <x:c r="A46" s="1303"/>
      <x:c r="B46" s="1304"/>
      <x:c r="C46" s="1304"/>
      <x:c r="D46" s="1304"/>
      <x:c r="E46" s="1304"/>
      <x:c r="F46" s="1304"/>
      <x:c r="G46" s="1304"/>
      <x:c r="H46" s="1304"/>
      <x:c r="I46" s="1304"/>
      <x:c r="J46" s="1304"/>
      <x:c r="K46" s="1304"/>
      <x:c r="L46" s="1304"/>
      <x:c r="M46" s="1304"/>
      <x:c r="N46" s="1304"/>
      <x:c r="O46" s="1304"/>
      <x:c r="P46" s="1304"/>
      <x:c r="Q46" s="1304"/>
      <x:c r="R46" s="1304"/>
      <x:c r="S46" s="1304"/>
      <x:c r="T46" s="1304"/>
      <x:c r="U46" s="1304"/>
      <x:c r="V46" s="1304"/>
      <x:c r="W46" s="1304"/>
      <x:c r="X46" s="1304"/>
      <x:c r="Y46" s="1304"/>
      <x:c r="Z46" s="1304"/>
      <x:c r="AA46" s="1304"/>
      <x:c r="AB46" s="1305"/>
    </x:row>
    <x:row r="47" ht="18" customHeight="1">
      <x:c r="A47" s="1306"/>
      <x:c r="B47" s="1307"/>
      <x:c r="C47" s="1307"/>
      <x:c r="D47" s="1307"/>
      <x:c r="E47" s="1307"/>
      <x:c r="F47" s="1307"/>
      <x:c r="G47" s="1307"/>
      <x:c r="H47" s="1307"/>
      <x:c r="I47" s="1307"/>
      <x:c r="J47" s="1307"/>
      <x:c r="K47" s="1307"/>
      <x:c r="L47" s="1307"/>
      <x:c r="M47" s="1307"/>
      <x:c r="N47" s="1307"/>
      <x:c r="O47" s="1307"/>
      <x:c r="P47" s="1307"/>
      <x:c r="Q47" s="1307"/>
      <x:c r="R47" s="1307"/>
      <x:c r="S47" s="1307"/>
      <x:c r="T47" s="1307"/>
      <x:c r="U47" s="1307"/>
      <x:c r="V47" s="1307"/>
      <x:c r="W47" s="1307"/>
      <x:c r="X47" s="1307"/>
      <x:c r="Y47" s="1307"/>
      <x:c r="Z47" s="1307"/>
      <x:c r="AA47" s="1307"/>
      <x:c r="AB47" s="1308"/>
    </x:row>
  </x:sheetData>
  <x:mergeCells>
    <x:mergeCell ref="A1:AB2"/>
    <x:mergeCell ref="A3:H3"/>
    <x:mergeCell ref="I3:N3"/>
    <x:mergeCell ref="O3:T3"/>
    <x:mergeCell ref="U3:AB3"/>
    <x:mergeCell ref="A5:AB5"/>
    <x:mergeCell ref="A6:F6"/>
    <x:mergeCell ref="G6:L6"/>
    <x:mergeCell ref="M6:R6"/>
    <x:mergeCell ref="S6:X6"/>
    <x:mergeCell ref="Y6:AB6"/>
    <x:mergeCell ref="A8:N8"/>
    <x:mergeCell ref="A9:D9"/>
    <x:mergeCell ref="E9:G9"/>
    <x:mergeCell ref="H9:N9"/>
    <x:mergeCell ref="A10:D10"/>
    <x:mergeCell ref="E10:G10"/>
    <x:mergeCell ref="H10:N10"/>
    <x:mergeCell ref="A11:D11"/>
    <x:mergeCell ref="E11:G11"/>
    <x:mergeCell ref="H11:N11"/>
    <x:mergeCell ref="A12:D12"/>
    <x:mergeCell ref="E12:G12"/>
    <x:mergeCell ref="H12:N12"/>
    <x:mergeCell ref="A13:D13"/>
    <x:mergeCell ref="E13:G13"/>
    <x:mergeCell ref="H13:N13"/>
    <x:mergeCell ref="O8:AB8"/>
    <x:mergeCell ref="O9:U9"/>
    <x:mergeCell ref="V9:AB9"/>
    <x:mergeCell ref="O10:U14"/>
    <x:mergeCell ref="V10:AB14"/>
    <x:mergeCell ref="A16:N16"/>
    <x:mergeCell ref="A17:D17"/>
    <x:mergeCell ref="E17:G17"/>
    <x:mergeCell ref="H17:N17"/>
    <x:mergeCell ref="A18:D18"/>
    <x:mergeCell ref="E18:G18"/>
    <x:mergeCell ref="H18:N18"/>
    <x:mergeCell ref="A19:D19"/>
    <x:mergeCell ref="E19:G19"/>
    <x:mergeCell ref="H19:N19"/>
    <x:mergeCell ref="A20:D20"/>
    <x:mergeCell ref="E20:G20"/>
    <x:mergeCell ref="H20:N20"/>
    <x:mergeCell ref="A21:D21"/>
    <x:mergeCell ref="E21:G21"/>
    <x:mergeCell ref="H21:N21"/>
    <x:mergeCell ref="O16:AB16"/>
    <x:mergeCell ref="O17:R17"/>
    <x:mergeCell ref="S17:U17"/>
    <x:mergeCell ref="V17:AB17"/>
    <x:mergeCell ref="O18:R18"/>
    <x:mergeCell ref="S18:U18"/>
    <x:mergeCell ref="V18:AB18"/>
    <x:mergeCell ref="O19:R19"/>
    <x:mergeCell ref="S19:U19"/>
    <x:mergeCell ref="V19:AB19"/>
    <x:mergeCell ref="O20:R20"/>
    <x:mergeCell ref="S20:U20"/>
    <x:mergeCell ref="V20:AB20"/>
    <x:mergeCell ref="O21:R21"/>
    <x:mergeCell ref="S21:U21"/>
    <x:mergeCell ref="V21:AB21"/>
    <x:mergeCell ref="O22:R22"/>
    <x:mergeCell ref="S22:U22"/>
    <x:mergeCell ref="V22:AB22"/>
    <x:mergeCell ref="A24:N24"/>
    <x:mergeCell ref="A25:E25"/>
    <x:mergeCell ref="F25:H25"/>
    <x:mergeCell ref="I25:N25"/>
    <x:mergeCell ref="A26:E26"/>
    <x:mergeCell ref="F26:H26"/>
    <x:mergeCell ref="I26:N26"/>
    <x:mergeCell ref="A27:E27"/>
    <x:mergeCell ref="F27:H27"/>
    <x:mergeCell ref="I27:N27"/>
    <x:mergeCell ref="A28:E28"/>
    <x:mergeCell ref="F28:H28"/>
    <x:mergeCell ref="I28:N28"/>
    <x:mergeCell ref="A29:E29"/>
    <x:mergeCell ref="F29:H29"/>
    <x:mergeCell ref="I29:N29"/>
    <x:mergeCell ref="A30:E30"/>
    <x:mergeCell ref="F30:H30"/>
    <x:mergeCell ref="I30:N30"/>
    <x:mergeCell ref="O24:AB24"/>
    <x:mergeCell ref="O25:AB30"/>
    <x:mergeCell ref="A32:AB32"/>
    <x:mergeCell ref="A33:AB39"/>
    <x:mergeCell ref="A41:AB41"/>
    <x:mergeCell ref="A42:AB47"/>
  </x:mergeCells>
  <x:pageMargins left="0.7" right="0.7" top="0.75" bottom="0.75" header="0.3" footer="0.3"/>
</x:worksheet>
</file>

<file path=xl/worksheets/sheet21.xml><?xml version="1.0" encoding="utf-8"?>
<x:worksheet xmlns:x="http://schemas.openxmlformats.org/spreadsheetml/2006/main">
  <x:sheetFormatPr defaultRowHeight="15"/>
  <x:cols>
    <x:col min="1" max="1" width="12" hidden="0" customWidth="1"/>
    <x:col min="2" max="2" width="22" hidden="0" customWidth="1"/>
    <x:col min="3" max="3" width="28" hidden="0" customWidth="1"/>
    <x:col min="4" max="4" width="40" hidden="0" customWidth="1"/>
    <x:col min="5" max="5" width="24" hidden="0" customWidth="1"/>
    <x:col min="6" max="6" width="24" hidden="0" customWidth="1"/>
    <x:col min="7" max="7" width="14" hidden="0" customWidth="1"/>
    <x:col min="8" max="8" width="18" hidden="0" customWidth="1"/>
    <x:col min="9" max="9" width="20" hidden="0" customWidth="1"/>
    <x:col min="10" max="10" width="28" hidden="0" customWidth="1"/>
    <x:col min="11" max="11" width="26" hidden="0" customWidth="1"/>
    <x:col min="12" max="12" width="18" hidden="0" customWidth="1"/>
    <x:col min="13" max="13" width="16" hidden="0" customWidth="1"/>
    <x:col min="14" max="14" width="14" hidden="0" customWidth="1"/>
  </x:cols>
  <x:sheetData>
    <x:row r="1" ht="28" customHeight="1">
      <x:c r="A1" s="1480" t="str">
        <x:v>20_LP画面遷移</x:v>
      </x:c>
      <x:c r="B1" s="1480"/>
      <x:c r="C1" s="1480"/>
      <x:c r="D1" s="1480"/>
      <x:c r="E1" s="1480"/>
      <x:c r="F1" s="1480"/>
      <x:c r="G1" s="1480"/>
      <x:c r="H1" s="1480"/>
      <x:c r="I1" s="1480"/>
      <x:c r="J1" s="1480"/>
      <x:c r="K1" s="1480"/>
      <x:c r="L1" s="1480"/>
      <x:c r="M1" s="1480"/>
      <x:c r="N1" s="1480"/>
    </x:row>
    <x:row r="2" ht="36" customHeight="1">
      <x:c r="A2" s="1483" t="str">
        <x:v>LPから自己診断、Evidence添付、A3レポート発行、相談申込までのユーザー体験を画面単位で定義。</x:v>
      </x:c>
      <x:c r="B2" s="1483"/>
      <x:c r="C2" s="1483"/>
      <x:c r="D2" s="1483"/>
      <x:c r="E2" s="1483"/>
      <x:c r="F2" s="1483"/>
      <x:c r="G2" s="1483"/>
      <x:c r="H2" s="1483"/>
      <x:c r="I2" s="1483"/>
      <x:c r="J2" s="1483"/>
      <x:c r="K2" s="1483"/>
      <x:c r="L2" s="1483"/>
      <x:c r="M2" s="1483"/>
      <x:c r="N2" s="1483"/>
    </x:row>
    <x:row r="4" ht="38" customHeight="1">
      <x:c r="A4" s="1495" t="str">
        <x:v>画面ID</x:v>
      </x:c>
      <x:c r="B4" s="1496" t="str">
        <x:v>画面名</x:v>
      </x:c>
      <x:c r="C4" s="1496" t="str">
        <x:v>目的</x:v>
      </x:c>
      <x:c r="D4" s="1496" t="str">
        <x:v>主表示内容</x:v>
      </x:c>
      <x:c r="E4" s="1496" t="str">
        <x:v>主CTA</x:v>
      </x:c>
      <x:c r="F4" s="1496" t="str">
        <x:v>入力項目</x:v>
      </x:c>
      <x:c r="G4" s="1496" t="str">
        <x:v>遷移元</x:v>
      </x:c>
      <x:c r="H4" s="1496" t="str">
        <x:v>遷移先</x:v>
      </x:c>
      <x:c r="I4" s="1496" t="str">
        <x:v>必須条件</x:v>
      </x:c>
      <x:c r="J4" s="1496" t="str">
        <x:v>離脱防止</x:v>
      </x:c>
      <x:c r="K4" s="1496" t="str">
        <x:v>エラー時表示</x:v>
      </x:c>
      <x:c r="L4" s="1496" t="str">
        <x:v>計測KPI</x:v>
      </x:c>
      <x:c r="M4" s="1496" t="str">
        <x:v>担当</x:v>
      </x:c>
      <x:c r="N4" s="1497" t="str">
        <x:v>設計状態</x:v>
      </x:c>
    </x:row>
    <x:row r="5">
      <x:c r="A5" s="1517" t="str">
        <x:v>SCR-00</x:v>
      </x:c>
      <x:c r="B5" s="1518" t="str">
        <x:v>LPファーストビュー</x:v>
      </x:c>
      <x:c r="C5" s="1518" t="str">
        <x:v>A3・2ページの判断資料価値を理解させる</x:v>
      </x:c>
      <x:c r="D5" s="1518" t="str">
        <x:v>キャッチコピー、A3サンプル、5指標、30秒/3分/30分メッセージ</x:v>
      </x:c>
      <x:c r="E5" s="1518" t="str">
        <x:v>無料自己診断を始める</x:v>
      </x:c>
      <x:c r="F5" s="1518" t="str">
        <x:v>なし</x:v>
      </x:c>
      <x:c r="G5" s="1518" t="str">
        <x:v>検索・広告・営業案内</x:v>
      </x:c>
      <x:c r="H5" s="1518" t="str">
        <x:v>SCR-01</x:v>
      </x:c>
      <x:c r="I5" s="1518" t="str">
        <x:v>なし</x:v>
      </x:c>
      <x:c r="J5" s="1518" t="str">
        <x:v>質問数・所要時間・成果物を明示</x:v>
      </x:c>
      <x:c r="K5" s="1518" t="str">
        <x:v>ページ再読込案内</x:v>
      </x:c>
      <x:c r="L5" s="1518" t="str">
        <x:v>CTAクリック率</x:v>
      </x:c>
      <x:c r="M5" s="1518" t="str">
        <x:v>営業/マーケ</x:v>
      </x:c>
      <x:c r="N5" s="1519" t="str">
        <x:v>確定候補</x:v>
      </x:c>
    </x:row>
    <x:row r="6">
      <x:c r="A6" s="1520" t="str">
        <x:v>SCR-01</x:v>
      </x:c>
      <x:c r="B6" s="1521" t="str">
        <x:v>診断概要・同意</x:v>
      </x:c>
      <x:c r="C6" s="1521" t="str">
        <x:v>診断範囲と免責を理解させる</x:v>
      </x:c>
      <x:c r="D6" s="1521" t="str">
        <x:v>診断レベル、所要時間、Evidence任意、個人情報・機密注意</x:v>
      </x:c>
      <x:c r="E6" s="1521" t="str">
        <x:v>同意して開始</x:v>
      </x:c>
      <x:c r="F6" s="1521" t="str">
        <x:v>同意チェック</x:v>
      </x:c>
      <x:c r="G6" s="1521" t="str">
        <x:v>SCR-00</x:v>
      </x:c>
      <x:c r="H6" s="1521" t="str">
        <x:v>SCR-02</x:v>
      </x:c>
      <x:c r="I6" s="1521" t="str">
        <x:v>同意必須</x:v>
      </x:c>
      <x:c r="J6" s="1521" t="str">
        <x:v>途中保存と再開可を明示</x:v>
      </x:c>
      <x:c r="K6" s="1521" t="str">
        <x:v>同意不足を表示</x:v>
      </x:c>
      <x:c r="L6" s="1521" t="str">
        <x:v>開始率</x:v>
      </x:c>
      <x:c r="M6" s="1521" t="str">
        <x:v>営業/法務</x:v>
      </x:c>
      <x:c r="N6" s="1522" t="str">
        <x:v>確定候補</x:v>
      </x:c>
    </x:row>
    <x:row r="7">
      <x:c r="A7" s="1520" t="str">
        <x:v>SCR-02</x:v>
      </x:c>
      <x:c r="B7" s="1521" t="str">
        <x:v>会社・工場情報</x:v>
      </x:c>
      <x:c r="C7" s="1521" t="str">
        <x:v>対象と診断単位を特定</x:v>
      </x:c>
      <x:c r="D7" s="1521" t="str">
        <x:v>会社名、工場名、業種、所在地、回答者役割</x:v>
      </x:c>
      <x:c r="E7" s="1521" t="str">
        <x:v>次へ</x:v>
      </x:c>
      <x:c r="F7" s="1521" t="str">
        <x:v>Q001～Q004</x:v>
      </x:c>
      <x:c r="G7" s="1521" t="str">
        <x:v>SCR-01</x:v>
      </x:c>
      <x:c r="H7" s="1521" t="str">
        <x:v>SCR-03</x:v>
      </x:c>
      <x:c r="I7" s="1521" t="str">
        <x:v>Q001～Q004</x:v>
      </x:c>
      <x:c r="J7" s="1521" t="str">
        <x:v>入力例を表示</x:v>
      </x:c>
      <x:c r="K7" s="1521" t="str">
        <x:v>必須項目を強調</x:v>
      </x:c>
      <x:c r="L7" s="1521" t="str">
        <x:v>完了率・離脱率</x:v>
      </x:c>
      <x:c r="M7" s="1521" t="str">
        <x:v>ユーザー</x:v>
      </x:c>
      <x:c r="N7" s="1522" t="str">
        <x:v>確定候補</x:v>
      </x:c>
    </x:row>
    <x:row r="8">
      <x:c r="A8" s="1520" t="str">
        <x:v>SCR-03</x:v>
      </x:c>
      <x:c r="B8" s="1521" t="str">
        <x:v>Decision Guardrail質問</x:v>
      </x:c>
      <x:c r="C8" s="1521" t="str">
        <x:v>重大リスクを早期把握</x:v>
      </x:c>
      <x:c r="D8" s="1521" t="str">
        <x:v>安全、法令、EOL、BCP、期限、顧客要求</x:v>
      </x:c>
      <x:c r="E8" s="1521" t="str">
        <x:v>次へ</x:v>
      </x:c>
      <x:c r="F8" s="1521" t="str">
        <x:v>Q101～Q112</x:v>
      </x:c>
      <x:c r="G8" s="1521" t="str">
        <x:v>SCR-02</x:v>
      </x:c>
      <x:c r="H8" s="1521" t="str">
        <x:v>SCR-04</x:v>
      </x:c>
      <x:c r="I8" s="1521" t="str">
        <x:v>全問必須</x:v>
      </x:c>
      <x:c r="J8" s="1521" t="str">
        <x:v>重大回答時に注意表示するが診断は継続</x:v>
      </x:c>
      <x:c r="K8" s="1521" t="str">
        <x:v>未回答箇所へスクロール</x:v>
      </x:c>
      <x:c r="L8" s="1521" t="str">
        <x:v>Guardrail発動率</x:v>
      </x:c>
      <x:c r="M8" s="1521" t="str">
        <x:v>ユーザー</x:v>
      </x:c>
      <x:c r="N8" s="1522" t="str">
        <x:v>確定候補</x:v>
      </x:c>
    </x:row>
    <x:row r="9">
      <x:c r="A9" s="1520" t="str">
        <x:v>SCR-04</x:v>
      </x:c>
      <x:c r="B9" s="1521" t="str">
        <x:v>EDI質問</x:v>
      </x:c>
      <x:c r="C9" s="1521" t="str">
        <x:v>設備・エネルギー・建屋・管理状態を評価</x:v>
      </x:c>
      <x:c r="D9" s="1521" t="str">
        <x:v>4分野の質問、進捗表示</x:v>
      </x:c>
      <x:c r="E9" s="1521" t="str">
        <x:v>次へ</x:v>
      </x:c>
      <x:c r="F9" s="1521" t="str">
        <x:v>Q201～Q264</x:v>
      </x:c>
      <x:c r="G9" s="1521" t="str">
        <x:v>SCR-03</x:v>
      </x:c>
      <x:c r="H9" s="1521" t="str">
        <x:v>SCR-05</x:v>
      </x:c>
      <x:c r="I9" s="1521" t="str">
        <x:v>全問必須</x:v>
      </x:c>
      <x:c r="J9" s="1521" t="str">
        <x:v>分野ごとに折りたたみ、残問数表示</x:v>
      </x:c>
      <x:c r="K9" s="1521" t="str">
        <x:v>不明回答を許容</x:v>
      </x:c>
      <x:c r="L9" s="1521" t="str">
        <x:v>EDI回答完了率</x:v>
      </x:c>
      <x:c r="M9" s="1521" t="str">
        <x:v>ユーザー</x:v>
      </x:c>
      <x:c r="N9" s="1522" t="str">
        <x:v>確定候補</x:v>
      </x:c>
    </x:row>
    <x:row r="10">
      <x:c r="A10" s="1520" t="str">
        <x:v>SCR-05</x:v>
      </x:c>
      <x:c r="B10" s="1521" t="str">
        <x:v>DRI質問</x:v>
      </x:c>
      <x:c r="C10" s="1521" t="str">
        <x:v>判断材料の整備度を評価</x:v>
      </x:c>
      <x:c r="D10" s="1521" t="str">
        <x:v>図面、履歴、停止条件、予算、体制</x:v>
      </x:c>
      <x:c r="E10" s="1521" t="str">
        <x:v>次へ</x:v>
      </x:c>
      <x:c r="F10" s="1521" t="str">
        <x:v>Q301～Q312</x:v>
      </x:c>
      <x:c r="G10" s="1521" t="str">
        <x:v>SCR-04</x:v>
      </x:c>
      <x:c r="H10" s="1521" t="str">
        <x:v>SCR-06</x:v>
      </x:c>
      <x:c r="I10" s="1521" t="str">
        <x:v>全問必須</x:v>
      </x:c>
      <x:c r="J10" s="1521" t="str">
        <x:v>『分からない』選択可</x:v>
      </x:c>
      <x:c r="K10" s="1521" t="str">
        <x:v>回答矛盾の即時警告はしない</x:v>
      </x:c>
      <x:c r="L10" s="1521" t="str">
        <x:v>DRI回答完了率</x:v>
      </x:c>
      <x:c r="M10" s="1521" t="str">
        <x:v>ユーザー</x:v>
      </x:c>
      <x:c r="N10" s="1522" t="str">
        <x:v>確定候補</x:v>
      </x:c>
    </x:row>
    <x:row r="11">
      <x:c r="A11" s="1520" t="str">
        <x:v>SCR-06</x:v>
      </x:c>
      <x:c r="B11" s="1521" t="str">
        <x:v>EPI質問</x:v>
      </x:c>
      <x:c r="C11" s="1521" t="str">
        <x:v>対応時期・優先度を評価</x:v>
      </x:c>
      <x:c r="D11" s="1521" t="str">
        <x:v>緊急度、影響、供給リスク、実施機会</x:v>
      </x:c>
      <x:c r="E11" s="1521" t="str">
        <x:v>次へ</x:v>
      </x:c>
      <x:c r="F11" s="1521" t="str">
        <x:v>Q401～Q409</x:v>
      </x:c>
      <x:c r="G11" s="1521" t="str">
        <x:v>SCR-05</x:v>
      </x:c>
      <x:c r="H11" s="1521" t="str">
        <x:v>SCR-07</x:v>
      </x:c>
      <x:c r="I11" s="1521" t="str">
        <x:v>全問必須</x:v>
      </x:c>
      <x:c r="J11" s="1521" t="str">
        <x:v>期限質問には例示を表示</x:v>
      </x:c>
      <x:c r="K11" s="1521" t="str">
        <x:v>日付・選択不整合を表示</x:v>
      </x:c>
      <x:c r="L11" s="1521" t="str">
        <x:v>EPI回答完了率</x:v>
      </x:c>
      <x:c r="M11" s="1521" t="str">
        <x:v>ユーザー</x:v>
      </x:c>
      <x:c r="N11" s="1522" t="str">
        <x:v>確定候補</x:v>
      </x:c>
    </x:row>
    <x:row r="12">
      <x:c r="A12" s="1520" t="str">
        <x:v>SCR-07</x:v>
      </x:c>
      <x:c r="B12" s="1521" t="str">
        <x:v>Evidence添付</x:v>
      </x:c>
      <x:c r="C12" s="1521" t="str">
        <x:v>診断信頼度を高める</x:v>
      </x:c>
      <x:c r="D12" s="1521" t="str">
        <x:v>写真、図面、点検報告、メーカー回答、見積</x:v>
      </x:c>
      <x:c r="E12" s="1521" t="str">
        <x:v>添付して診断／添付せず診断</x:v>
      </x:c>
      <x:c r="F12" s="1521" t="str">
        <x:v>Q501～Q503</x:v>
      </x:c>
      <x:c r="G12" s="1521" t="str">
        <x:v>SCR-06</x:v>
      </x:c>
      <x:c r="H12" s="1521" t="str">
        <x:v>SCR-08</x:v>
      </x:c>
      <x:c r="I12" s="1521" t="str">
        <x:v>任意</x:v>
      </x:c>
      <x:c r="J12" s="1521" t="str">
        <x:v>添付の効果を信頼度向上として説明</x:v>
      </x:c>
      <x:c r="K12" s="1521" t="str">
        <x:v>容量・形式・機密注意</x:v>
      </x:c>
      <x:c r="L12" s="1521" t="str">
        <x:v>添付率・資料種別</x:v>
      </x:c>
      <x:c r="M12" s="1521" t="str">
        <x:v>ユーザー</x:v>
      </x:c>
      <x:c r="N12" s="1522" t="str">
        <x:v>確定候補</x:v>
      </x:c>
    </x:row>
    <x:row r="13">
      <x:c r="A13" s="1520" t="str">
        <x:v>SCR-08</x:v>
      </x:c>
      <x:c r="B13" s="1521" t="str">
        <x:v>回答確認</x:v>
      </x:c>
      <x:c r="C13" s="1521" t="str">
        <x:v>誤回答と不足を減らす</x:v>
      </x:c>
      <x:c r="D13" s="1521" t="str">
        <x:v>回答サマリー、不明項目、添付一覧、矛盾候補</x:v>
      </x:c>
      <x:c r="E13" s="1521" t="str">
        <x:v>診断結果を作成</x:v>
      </x:c>
      <x:c r="F13" s="1521" t="str">
        <x:v>全回答</x:v>
      </x:c>
      <x:c r="G13" s="1521" t="str">
        <x:v>SCR-07</x:v>
      </x:c>
      <x:c r="H13" s="1521" t="str">
        <x:v>SCR-09</x:v>
      </x:c>
      <x:c r="I13" s="1521" t="str">
        <x:v>必須質問完了</x:v>
      </x:c>
      <x:c r="J13" s="1521" t="str">
        <x:v>修正リンクを各セクションへ表示</x:v>
      </x:c>
      <x:c r="K13" s="1521" t="str">
        <x:v>未回答・矛盾候補を表示</x:v>
      </x:c>
      <x:c r="L13" s="1521" t="str">
        <x:v>診断実行率</x:v>
      </x:c>
      <x:c r="M13" s="1521" t="str">
        <x:v>ユーザー</x:v>
      </x:c>
      <x:c r="N13" s="1522" t="str">
        <x:v>確定候補</x:v>
      </x:c>
    </x:row>
    <x:row r="14">
      <x:c r="A14" s="1520" t="str">
        <x:v>SCR-09</x:v>
      </x:c>
      <x:c r="B14" s="1521" t="str">
        <x:v>診断処理中</x:v>
      </x:c>
      <x:c r="C14" s="1521" t="str">
        <x:v>待機中の離脱を防ぐ</x:v>
      </x:c>
      <x:c r="D14" s="1521" t="str">
        <x:v>処理ステップ、プログレス、免責</x:v>
      </x:c>
      <x:c r="E14" s="1521" t="str">
        <x:v>なし</x:v>
      </x:c>
      <x:c r="F14" s="1521" t="str">
        <x:v>なし</x:v>
      </x:c>
      <x:c r="G14" s="1521" t="str">
        <x:v>SCR-08</x:v>
      </x:c>
      <x:c r="H14" s="1521" t="str">
        <x:v>SCR-10</x:v>
      </x:c>
      <x:c r="I14" s="1521" t="str">
        <x:v>処理正常終了</x:v>
      </x:c>
      <x:c r="J14" s="1521" t="str">
        <x:v>30秒以内目標、処理内容を表示</x:v>
      </x:c>
      <x:c r="K14" s="1521" t="str">
        <x:v>再実行・問い合わせ</x:v>
      </x:c>
      <x:c r="L14" s="1521" t="str">
        <x:v>処理時間・失敗率</x:v>
      </x:c>
      <x:c r="M14" s="1521" t="str">
        <x:v>システム</x:v>
      </x:c>
      <x:c r="N14" s="1522" t="str">
        <x:v>確定候補</x:v>
      </x:c>
    </x:row>
    <x:row r="15">
      <x:c r="A15" s="1520" t="str">
        <x:v>SCR-10</x:v>
      </x:c>
      <x:c r="B15" s="1521" t="str">
        <x:v>結果サマリー</x:v>
      </x:c>
      <x:c r="C15" s="1521" t="str">
        <x:v>価値を即時提示</x:v>
      </x:c>
      <x:c r="D15" s="1521" t="str">
        <x:v>5指標、Guardrail、TOP5、今回決めたいこと</x:v>
      </x:c>
      <x:c r="E15" s="1521" t="str">
        <x:v>A3レポートを見る</x:v>
      </x:c>
      <x:c r="F15" s="1521" t="str">
        <x:v>なし</x:v>
      </x:c>
      <x:c r="G15" s="1521" t="str">
        <x:v>SCR-09</x:v>
      </x:c>
      <x:c r="H15" s="1521" t="str">
        <x:v>SCR-11</x:v>
      </x:c>
      <x:c r="I15" s="1521" t="str">
        <x:v>診断結果生成</x:v>
      </x:c>
      <x:c r="J15" s="1521" t="str">
        <x:v>重要所見を上部表示</x:v>
      </x:c>
      <x:c r="K15" s="1521" t="str">
        <x:v>参考値・判定保留を明示</x:v>
      </x:c>
      <x:c r="L15" s="1521" t="str">
        <x:v>結果閲覧率</x:v>
      </x:c>
      <x:c r="M15" s="1521" t="str">
        <x:v>システム</x:v>
      </x:c>
      <x:c r="N15" s="1522" t="str">
        <x:v>確定候補</x:v>
      </x:c>
    </x:row>
    <x:row r="16">
      <x:c r="A16" s="1520" t="str">
        <x:v>SCR-11</x:v>
      </x:c>
      <x:c r="B16" s="1521" t="str">
        <x:v>A3レポートプレビュー</x:v>
      </x:c>
      <x:c r="C16" s="1521" t="str">
        <x:v>成果物を見せ相談へ接続</x:v>
      </x:c>
      <x:c r="D16" s="1521" t="str">
        <x:v>P1/P2プレビュー、診断レベル、利用上の注意</x:v>
      </x:c>
      <x:c r="E16" s="1521" t="str">
        <x:v>PDF取得／相談する</x:v>
      </x:c>
      <x:c r="F16" s="1521" t="str">
        <x:v>氏名、メール等はPDF送付時のみ</x:v>
      </x:c>
      <x:c r="G16" s="1521" t="str">
        <x:v>SCR-10</x:v>
      </x:c>
      <x:c r="H16" s="1521" t="str">
        <x:v>SCR-12/SCR-13</x:v>
      </x:c>
      <x:c r="I16" s="1521" t="str">
        <x:v>結果存在</x:v>
      </x:c>
      <x:c r="J16" s="1521" t="str">
        <x:v>拡大表示・ページ切替</x:v>
      </x:c>
      <x:c r="K16" s="1521" t="str">
        <x:v>生成失敗時は再生成</x:v>
      </x:c>
      <x:c r="L16" s="1521" t="str">
        <x:v>PDF取得率</x:v>
      </x:c>
      <x:c r="M16" s="1521" t="str">
        <x:v>システム</x:v>
      </x:c>
      <x:c r="N16" s="1522" t="str">
        <x:v>確定候補</x:v>
      </x:c>
    </x:row>
    <x:row r="17">
      <x:c r="A17" s="1520" t="str">
        <x:v>SCR-12</x:v>
      </x:c>
      <x:c r="B17" s="1521" t="str">
        <x:v>レポート取得</x:v>
      </x:c>
      <x:c r="C17" s="1521" t="str">
        <x:v>連絡先取得とPDF発行</x:v>
      </x:c>
      <x:c r="D17" s="1521" t="str">
        <x:v>連絡先、利用目的、個人情報同意</x:v>
      </x:c>
      <x:c r="E17" s="1521" t="str">
        <x:v>PDFを受け取る</x:v>
      </x:c>
      <x:c r="F17" s="1521" t="str">
        <x:v>氏名、会社メール、電話任意</x:v>
      </x:c>
      <x:c r="G17" s="1521" t="str">
        <x:v>SCR-11</x:v>
      </x:c>
      <x:c r="H17" s="1521" t="str">
        <x:v>SCR-14</x:v>
      </x:c>
      <x:c r="I17" s="1521" t="str">
        <x:v>メール・同意必須</x:v>
      </x:c>
      <x:c r="J17" s="1521" t="str">
        <x:v>入力項目を最小化</x:v>
      </x:c>
      <x:c r="K17" s="1521" t="str">
        <x:v>メール形式等を表示</x:v>
      </x:c>
      <x:c r="L17" s="1521" t="str">
        <x:v>CV率</x:v>
      </x:c>
      <x:c r="M17" s="1521" t="str">
        <x:v>営業/システム</x:v>
      </x:c>
      <x:c r="N17" s="1522" t="str">
        <x:v>確定候補</x:v>
      </x:c>
    </x:row>
    <x:row r="18">
      <x:c r="A18" s="1520" t="str">
        <x:v>SCR-13</x:v>
      </x:c>
      <x:c r="B18" s="1521" t="str">
        <x:v>相談申込</x:v>
      </x:c>
      <x:c r="C18" s="1521" t="str">
        <x:v>案件化</x:v>
      </x:c>
      <x:c r="D18" s="1521" t="str">
        <x:v>相談テーマ、希望連絡方法、希望時期</x:v>
      </x:c>
      <x:c r="E18" s="1521" t="str">
        <x:v>相談を申し込む</x:v>
      </x:c>
      <x:c r="F18" s="1521" t="str">
        <x:v>相談種別、自由記述</x:v>
      </x:c>
      <x:c r="G18" s="1521" t="str">
        <x:v>SCR-11</x:v>
      </x:c>
      <x:c r="H18" s="1521" t="str">
        <x:v>SCR-14</x:v>
      </x:c>
      <x:c r="I18" s="1521" t="str">
        <x:v>連絡先必須</x:v>
      </x:c>
      <x:c r="J18" s="1521" t="str">
        <x:v>診断結果を自動添付</x:v>
      </x:c>
      <x:c r="K18" s="1521" t="str">
        <x:v>入力不足表示</x:v>
      </x:c>
      <x:c r="L18" s="1521" t="str">
        <x:v>相談申込率</x:v>
      </x:c>
      <x:c r="M18" s="1521" t="str">
        <x:v>営業</x:v>
      </x:c>
      <x:c r="N18" s="1522" t="str">
        <x:v>確定候補</x:v>
      </x:c>
    </x:row>
    <x:row r="19">
      <x:c r="A19" s="1523" t="str">
        <x:v>SCR-14</x:v>
      </x:c>
      <x:c r="B19" s="1524" t="str">
        <x:v>完了</x:v>
      </x:c>
      <x:c r="C19" s="1524" t="str">
        <x:v>次の行動を明確化</x:v>
      </x:c>
      <x:c r="D19" s="1524" t="str">
        <x:v>送付完了、相談受付、次の流れ</x:v>
      </x:c>
      <x:c r="E19" s="1524" t="str">
        <x:v>閉じる／関連サービスを見る</x:v>
      </x:c>
      <x:c r="F19" s="1524" t="str">
        <x:v>なし</x:v>
      </x:c>
      <x:c r="G19" s="1524" t="str">
        <x:v>SCR-12/SCR-13</x:v>
      </x:c>
      <x:c r="H19" s="1524" t="str">
        <x:v>終了</x:v>
      </x:c>
      <x:c r="I19" s="1524" t="str">
        <x:v>対応目安を表示</x:v>
      </x:c>
      <x:c r="J19" s="1524" t="str">
        <x:v>送信失敗時の再送</x:v>
      </x:c>
      <x:c r="K19" s="1524" t="str">
        <x:v>完了率</x:v>
      </x:c>
      <x:c r="L19" s="1524" t="str">
        <x:v>営業/システム</x:v>
      </x:c>
      <x:c r="M19" s="1524" t="str">
        <x:v>確定候補</x:v>
      </x:c>
      <x:c r="N19" s="1525"/>
    </x:row>
  </x:sheetData>
  <x:mergeCells>
    <x:mergeCell ref="A1:N1"/>
    <x:mergeCell ref="A2:N2"/>
  </x:mergeCells>
  <x:pageMargins left="0.7" right="0.7" top="0.75" bottom="0.75" header="0.3" footer="0.3"/>
</x:worksheet>
</file>

<file path=xl/worksheets/sheet22.xml><?xml version="1.0" encoding="utf-8"?>
<x:worksheet xmlns:x="http://schemas.openxmlformats.org/spreadsheetml/2006/main">
  <x:sheetFormatPr defaultRowHeight="15"/>
  <x:cols>
    <x:col min="1" max="1" width="12" hidden="0" customWidth="1"/>
    <x:col min="2" max="2" width="12" hidden="0" customWidth="1"/>
    <x:col min="3" max="3" width="10" hidden="0" customWidth="1"/>
    <x:col min="4" max="4" width="28" hidden="0" customWidth="1"/>
    <x:col min="5" max="5" width="16" hidden="0" customWidth="1"/>
    <x:col min="6" max="6" width="10" hidden="0" customWidth="1"/>
    <x:col min="7" max="7" width="18" hidden="0" customWidth="1"/>
    <x:col min="8" max="8" width="14" hidden="0" customWidth="1"/>
    <x:col min="9" max="9" width="28" hidden="0" customWidth="1"/>
    <x:col min="10" max="10" width="30" hidden="0" customWidth="1"/>
    <x:col min="11" max="11" width="20" hidden="0" customWidth="1"/>
    <x:col min="12" max="12" width="18" hidden="0" customWidth="1"/>
    <x:col min="13" max="13" width="24" hidden="0" customWidth="1"/>
    <x:col min="14" max="14" width="24" hidden="0" customWidth="1"/>
    <x:col min="15" max="15" width="28" hidden="0" customWidth="1"/>
    <x:col min="16" max="16" width="14" hidden="0" customWidth="1"/>
  </x:cols>
  <x:sheetData>
    <x:row r="1" ht="28" customHeight="1">
      <x:c r="A1" s="1480" t="str">
        <x:v>21_UI項目仕様</x:v>
      </x:c>
      <x:c r="B1" s="1480"/>
      <x:c r="C1" s="1480"/>
      <x:c r="D1" s="1480"/>
      <x:c r="E1" s="1480"/>
      <x:c r="F1" s="1480"/>
      <x:c r="G1" s="1480"/>
      <x:c r="H1" s="1480"/>
      <x:c r="I1" s="1480"/>
      <x:c r="J1" s="1480"/>
      <x:c r="K1" s="1480"/>
      <x:c r="L1" s="1480"/>
      <x:c r="M1" s="1480"/>
      <x:c r="N1" s="1480"/>
      <x:c r="O1" s="1480"/>
      <x:c r="P1" s="1480"/>
    </x:row>
    <x:row r="2" ht="36" customHeight="1">
      <x:c r="A2" s="1483" t="str">
        <x:v>自己診断画面で表示・入力する項目のUI仕様、検証、保存、Evidence連携、レポート出力先を定義。</x:v>
      </x:c>
      <x:c r="B2" s="1483"/>
      <x:c r="C2" s="1483"/>
      <x:c r="D2" s="1483"/>
      <x:c r="E2" s="1483"/>
      <x:c r="F2" s="1483"/>
      <x:c r="G2" s="1483"/>
      <x:c r="H2" s="1483"/>
      <x:c r="I2" s="1483"/>
      <x:c r="J2" s="1483"/>
      <x:c r="K2" s="1483"/>
      <x:c r="L2" s="1483"/>
      <x:c r="M2" s="1483"/>
      <x:c r="N2" s="1483"/>
      <x:c r="O2" s="1483"/>
      <x:c r="P2" s="1483"/>
    </x:row>
    <x:row r="4" ht="38" customHeight="1">
      <x:c r="A4" s="1495" t="str">
        <x:v>UI項目ID</x:v>
      </x:c>
      <x:c r="B4" s="1496" t="str">
        <x:v>画面ID</x:v>
      </x:c>
      <x:c r="C4" s="1496" t="str">
        <x:v>質問ID</x:v>
      </x:c>
      <x:c r="D4" s="1496" t="str">
        <x:v>表示ラベル</x:v>
      </x:c>
      <x:c r="E4" s="1496" t="str">
        <x:v>UI種別</x:v>
      </x:c>
      <x:c r="F4" s="1496" t="str">
        <x:v>必須</x:v>
      </x:c>
      <x:c r="G4" s="1496" t="str">
        <x:v>選択肢ID</x:v>
      </x:c>
      <x:c r="H4" s="1496" t="str">
        <x:v>初期値</x:v>
      </x:c>
      <x:c r="I4" s="1496" t="str">
        <x:v>入力検証</x:v>
      </x:c>
      <x:c r="J4" s="1496" t="str">
        <x:v>ヘルプ文</x:v>
      </x:c>
      <x:c r="K4" s="1496" t="str">
        <x:v>条件表示</x:v>
      </x:c>
      <x:c r="L4" s="1496" t="str">
        <x:v>保存形式</x:v>
      </x:c>
      <x:c r="M4" s="1496" t="str">
        <x:v>Evidence連携</x:v>
      </x:c>
      <x:c r="N4" s="1496" t="str">
        <x:v>レポート出力</x:v>
      </x:c>
      <x:c r="O4" s="1496" t="str">
        <x:v>エラー文</x:v>
      </x:c>
      <x:c r="P4" s="1497" t="str">
        <x:v>設計状態</x:v>
      </x:c>
    </x:row>
    <x:row r="5">
      <x:c r="A5" s="1517" t="str">
        <x:v>UI-001</x:v>
      </x:c>
      <x:c r="B5" s="1518" t="str">
        <x:v>SCR-02</x:v>
      </x:c>
      <x:c r="C5" s="1518" t="str">
        <x:v>Q001</x:v>
      </x:c>
      <x:c r="D5" s="1518" t="str">
        <x:v>会社名</x:v>
      </x:c>
      <x:c r="E5" s="1518" t="str">
        <x:v>テキスト</x:v>
      </x:c>
      <x:c r="F5" s="1518" t="str">
        <x:v>必須</x:v>
      </x:c>
      <x:c r="G5" s="1518" t="str"/>
      <x:c r="H5" s="1518" t="str"/>
      <x:c r="I5" s="1518" t="str">
        <x:v>1～100文字</x:v>
      </x:c>
      <x:c r="J5" s="1518" t="str">
        <x:v>法人名または屋号を入力</x:v>
      </x:c>
      <x:c r="K5" s="1518" t="str">
        <x:v>常時</x:v>
      </x:c>
      <x:c r="L5" s="1518" t="str">
        <x:v>string</x:v>
      </x:c>
      <x:c r="M5" s="1518" t="str">
        <x:v>なし</x:v>
      </x:c>
      <x:c r="N5" s="1518" t="str">
        <x:v>R1-BASIC-01</x:v>
      </x:c>
      <x:c r="O5" s="1518" t="str">
        <x:v>会社名を入力してください。</x:v>
      </x:c>
      <x:c r="P5" s="1519" t="str">
        <x:v>確定候補</x:v>
      </x:c>
    </x:row>
    <x:row r="6">
      <x:c r="A6" s="1520" t="str">
        <x:v>UI-002</x:v>
      </x:c>
      <x:c r="B6" s="1521" t="str">
        <x:v>SCR-02</x:v>
      </x:c>
      <x:c r="C6" s="1521" t="str">
        <x:v>Q002</x:v>
      </x:c>
      <x:c r="D6" s="1521" t="str">
        <x:v>工場・事業所名</x:v>
      </x:c>
      <x:c r="E6" s="1521" t="str">
        <x:v>テキスト</x:v>
      </x:c>
      <x:c r="F6" s="1521" t="str">
        <x:v>必須</x:v>
      </x:c>
      <x:c r="G6" s="1521" t="str"/>
      <x:c r="H6" s="1521" t="str"/>
      <x:c r="I6" s="1521" t="str">
        <x:v>1～100文字</x:v>
      </x:c>
      <x:c r="J6" s="1521" t="str">
        <x:v>診断対象単位を入力</x:v>
      </x:c>
      <x:c r="K6" s="1521" t="str">
        <x:v>常時</x:v>
      </x:c>
      <x:c r="L6" s="1521" t="str">
        <x:v>string</x:v>
      </x:c>
      <x:c r="M6" s="1521" t="str">
        <x:v>なし</x:v>
      </x:c>
      <x:c r="N6" s="1521" t="str">
        <x:v>R1-BASIC-01</x:v>
      </x:c>
      <x:c r="O6" s="1521" t="str">
        <x:v>工場・事業所名を入力してください。</x:v>
      </x:c>
      <x:c r="P6" s="1522" t="str">
        <x:v>確定候補</x:v>
      </x:c>
    </x:row>
    <x:row r="7">
      <x:c r="A7" s="1520" t="str">
        <x:v>UI-003</x:v>
      </x:c>
      <x:c r="B7" s="1521" t="str">
        <x:v>SCR-02</x:v>
      </x:c>
      <x:c r="C7" s="1521" t="str">
        <x:v>Q003</x:v>
      </x:c>
      <x:c r="D7" s="1521" t="str">
        <x:v>業種</x:v>
      </x:c>
      <x:c r="E7" s="1521" t="str">
        <x:v>セレクト</x:v>
      </x:c>
      <x:c r="F7" s="1521" t="str">
        <x:v>必須</x:v>
      </x:c>
      <x:c r="G7" s="1521" t="str">
        <x:v>ANS-INDUSTRY</x:v>
      </x:c>
      <x:c r="H7" s="1521" t="str"/>
      <x:c r="I7" s="1521" t="str">
        <x:v>選択必須</x:v>
      </x:c>
      <x:c r="J7" s="1521" t="str">
        <x:v>主な業種を選択</x:v>
      </x:c>
      <x:c r="K7" s="1521" t="str">
        <x:v>常時</x:v>
      </x:c>
      <x:c r="L7" s="1521" t="str">
        <x:v>enum</x:v>
      </x:c>
      <x:c r="M7" s="1521" t="str">
        <x:v>なし</x:v>
      </x:c>
      <x:c r="N7" s="1521" t="str">
        <x:v>R1-BASIC-01</x:v>
      </x:c>
      <x:c r="O7" s="1521" t="str">
        <x:v>業種を選択してください。</x:v>
      </x:c>
      <x:c r="P7" s="1522" t="str">
        <x:v>確定候補</x:v>
      </x:c>
    </x:row>
    <x:row r="8">
      <x:c r="A8" s="1520" t="str">
        <x:v>UI-004</x:v>
      </x:c>
      <x:c r="B8" s="1521" t="str">
        <x:v>SCR-02</x:v>
      </x:c>
      <x:c r="C8" s="1521" t="str">
        <x:v>Q004</x:v>
      </x:c>
      <x:c r="D8" s="1521" t="str">
        <x:v>回答者の役割</x:v>
      </x:c>
      <x:c r="E8" s="1521" t="str">
        <x:v>セレクト</x:v>
      </x:c>
      <x:c r="F8" s="1521" t="str">
        <x:v>必須</x:v>
      </x:c>
      <x:c r="G8" s="1521" t="str">
        <x:v>ANS-ROLE</x:v>
      </x:c>
      <x:c r="H8" s="1521" t="str"/>
      <x:c r="I8" s="1521" t="str">
        <x:v>選択必須</x:v>
      </x:c>
      <x:c r="J8" s="1521" t="str">
        <x:v>主な役割を選択</x:v>
      </x:c>
      <x:c r="K8" s="1521" t="str">
        <x:v>常時</x:v>
      </x:c>
      <x:c r="L8" s="1521" t="str">
        <x:v>enum</x:v>
      </x:c>
      <x:c r="M8" s="1521" t="str">
        <x:v>なし</x:v>
      </x:c>
      <x:c r="N8" s="1521" t="str">
        <x:v>R1-BASIC-01/R1-KPI-CONF</x:v>
      </x:c>
      <x:c r="O8" s="1521" t="str">
        <x:v>役割を選択してください。</x:v>
      </x:c>
      <x:c r="P8" s="1522" t="str">
        <x:v>確定候補</x:v>
      </x:c>
    </x:row>
    <x:row r="9">
      <x:c r="A9" s="1520" t="str">
        <x:v>UI-101</x:v>
      </x:c>
      <x:c r="B9" s="1521" t="str">
        <x:v>SCR-03</x:v>
      </x:c>
      <x:c r="C9" s="1521" t="str">
        <x:v>Q101</x:v>
      </x:c>
      <x:c r="D9" s="1521" t="str">
        <x:v>異常兆候</x:v>
      </x:c>
      <x:c r="E9" s="1521" t="str">
        <x:v>ラジオ</x:v>
      </x:c>
      <x:c r="F9" s="1521" t="str">
        <x:v>必須</x:v>
      </x:c>
      <x:c r="G9" s="1521" t="str">
        <x:v>ANS-SEVERITY4</x:v>
      </x:c>
      <x:c r="H9" s="1521" t="str"/>
      <x:c r="I9" s="1521" t="str">
        <x:v>選択必須</x:v>
      </x:c>
      <x:c r="J9" s="1521" t="str">
        <x:v>直近1か月以内の状況</x:v>
      </x:c>
      <x:c r="K9" s="1521" t="str">
        <x:v>常時</x:v>
      </x:c>
      <x:c r="L9" s="1521" t="str">
        <x:v>enum</x:v>
      </x:c>
      <x:c r="M9" s="1521" t="str">
        <x:v>写真・点検記録</x:v>
      </x:c>
      <x:c r="N9" s="1521" t="str">
        <x:v>R1-GR-01/R1-TOP-01</x:v>
      </x:c>
      <x:c r="O9" s="1521" t="str">
        <x:v>回答を選択してください。</x:v>
      </x:c>
      <x:c r="P9" s="1522" t="str">
        <x:v>確定候補</x:v>
      </x:c>
    </x:row>
    <x:row r="10">
      <x:c r="A10" s="1520" t="str">
        <x:v>UI-103</x:v>
      </x:c>
      <x:c r="B10" s="1521" t="str">
        <x:v>SCR-03</x:v>
      </x:c>
      <x:c r="C10" s="1521" t="str">
        <x:v>Q103</x:v>
      </x:c>
      <x:c r="D10" s="1521" t="str">
        <x:v>未是正の点検指摘</x:v>
      </x:c>
      <x:c r="E10" s="1521" t="str">
        <x:v>ラジオ</x:v>
      </x:c>
      <x:c r="F10" s="1521" t="str">
        <x:v>必須</x:v>
      </x:c>
      <x:c r="G10" s="1521" t="str">
        <x:v>ANS-FINDING4</x:v>
      </x:c>
      <x:c r="H10" s="1521" t="str"/>
      <x:c r="I10" s="1521" t="str">
        <x:v>選択必須</x:v>
      </x:c>
      <x:c r="J10" s="1521" t="str">
        <x:v>期限付き指摘と推奨事項を区別</x:v>
      </x:c>
      <x:c r="K10" s="1521" t="str">
        <x:v>常時</x:v>
      </x:c>
      <x:c r="L10" s="1521" t="str">
        <x:v>enum</x:v>
      </x:c>
      <x:c r="M10" s="1521" t="str">
        <x:v>点検報告書</x:v>
      </x:c>
      <x:c r="N10" s="1521" t="str">
        <x:v>R1-GR-01</x:v>
      </x:c>
      <x:c r="O10" s="1521" t="str">
        <x:v>回答を選択してください。</x:v>
      </x:c>
      <x:c r="P10" s="1522" t="str">
        <x:v>確定候補</x:v>
      </x:c>
    </x:row>
    <x:row r="11">
      <x:c r="A11" s="1520" t="str">
        <x:v>UI-106</x:v>
      </x:c>
      <x:c r="B11" s="1521" t="str">
        <x:v>SCR-03</x:v>
      </x:c>
      <x:c r="C11" s="1521" t="str">
        <x:v>Q106</x:v>
      </x:c>
      <x:c r="D11" s="1521" t="str">
        <x:v>メーカー保守終了・部品供給終了</x:v>
      </x:c>
      <x:c r="E11" s="1521" t="str">
        <x:v>ラジオ</x:v>
      </x:c>
      <x:c r="F11" s="1521" t="str">
        <x:v>必須</x:v>
      </x:c>
      <x:c r="G11" s="1521" t="str">
        <x:v>ANS-YESNOUNK</x:v>
      </x:c>
      <x:c r="H11" s="1521" t="str"/>
      <x:c r="I11" s="1521" t="str">
        <x:v>選択必須</x:v>
      </x:c>
      <x:c r="J11" s="1521" t="str">
        <x:v>分からない場合も選択可能</x:v>
      </x:c>
      <x:c r="K11" s="1521" t="str">
        <x:v>常時</x:v>
      </x:c>
      <x:c r="L11" s="1521" t="str">
        <x:v>enum</x:v>
      </x:c>
      <x:c r="M11" s="1521" t="str">
        <x:v>メーカー回答・型式資料</x:v>
      </x:c>
      <x:c r="N11" s="1521" t="str">
        <x:v>R1-GR-01/R1-KPI-EPI</x:v>
      </x:c>
      <x:c r="O11" s="1521" t="str">
        <x:v>回答を選択してください。</x:v>
      </x:c>
      <x:c r="P11" s="1522" t="str">
        <x:v>確定候補</x:v>
      </x:c>
    </x:row>
    <x:row r="12">
      <x:c r="A12" s="1520" t="str">
        <x:v>UI-108</x:v>
      </x:c>
      <x:c r="B12" s="1521" t="str">
        <x:v>SCR-03</x:v>
      </x:c>
      <x:c r="C12" s="1521" t="str">
        <x:v>Q108</x:v>
      </x:c>
      <x:c r="D12" s="1521" t="str">
        <x:v>設備停止時の影響</x:v>
      </x:c>
      <x:c r="E12" s="1521" t="str">
        <x:v>ラジオ</x:v>
      </x:c>
      <x:c r="F12" s="1521" t="str">
        <x:v>必須</x:v>
      </x:c>
      <x:c r="G12" s="1521" t="str">
        <x:v>ANS-IMPACT4</x:v>
      </x:c>
      <x:c r="H12" s="1521" t="str"/>
      <x:c r="I12" s="1521" t="str">
        <x:v>選択必須</x:v>
      </x:c>
      <x:c r="J12" s="1521" t="str">
        <x:v>最大影響を回答</x:v>
      </x:c>
      <x:c r="K12" s="1521" t="str">
        <x:v>常時</x:v>
      </x:c>
      <x:c r="L12" s="1521" t="str">
        <x:v>enum</x:v>
      </x:c>
      <x:c r="M12" s="1521" t="str">
        <x:v>BCP・停止損失資料</x:v>
      </x:c>
      <x:c r="N12" s="1521" t="str">
        <x:v>R1-GR-01/R1-HM-01</x:v>
      </x:c>
      <x:c r="O12" s="1521" t="str">
        <x:v>回答を選択してください。</x:v>
      </x:c>
      <x:c r="P12" s="1522" t="str">
        <x:v>確定候補</x:v>
      </x:c>
    </x:row>
    <x:row r="13">
      <x:c r="A13" s="1520" t="str">
        <x:v>UI-109</x:v>
      </x:c>
      <x:c r="B13" s="1521" t="str">
        <x:v>SCR-03</x:v>
      </x:c>
      <x:c r="C13" s="1521" t="str">
        <x:v>Q109</x:v>
      </x:c>
      <x:c r="D13" s="1521" t="str">
        <x:v>代替運転・外注の可否</x:v>
      </x:c>
      <x:c r="E13" s="1521" t="str">
        <x:v>ラジオ</x:v>
      </x:c>
      <x:c r="F13" s="1521" t="str">
        <x:v>必須</x:v>
      </x:c>
      <x:c r="G13" s="1521" t="str">
        <x:v>ANS-BACKUP4</x:v>
      </x:c>
      <x:c r="H13" s="1521" t="str"/>
      <x:c r="I13" s="1521" t="str">
        <x:v>選択必須</x:v>
      </x:c>
      <x:c r="J13" s="1521" t="str">
        <x:v>一部代替の場合は一部を選択</x:v>
      </x:c>
      <x:c r="K13" s="1521" t="str">
        <x:v>常時</x:v>
      </x:c>
      <x:c r="L13" s="1521" t="str">
        <x:v>enum</x:v>
      </x:c>
      <x:c r="M13" s="1521" t="str">
        <x:v>設備構成図・BCP</x:v>
      </x:c>
      <x:c r="N13" s="1521" t="str">
        <x:v>R1-GR-01</x:v>
      </x:c>
      <x:c r="O13" s="1521" t="str">
        <x:v>回答を選択してください。</x:v>
      </x:c>
      <x:c r="P13" s="1522" t="str">
        <x:v>確定候補</x:v>
      </x:c>
    </x:row>
    <x:row r="14">
      <x:c r="A14" s="1520" t="str">
        <x:v>UI-111</x:v>
      </x:c>
      <x:c r="B14" s="1521" t="str">
        <x:v>SCR-03</x:v>
      </x:c>
      <x:c r="C14" s="1521" t="str">
        <x:v>Q111</x:v>
      </x:c>
      <x:c r="D14" s="1521" t="str">
        <x:v>対応期限</x:v>
      </x:c>
      <x:c r="E14" s="1521" t="str">
        <x:v>ラジオ</x:v>
      </x:c>
      <x:c r="F14" s="1521" t="str">
        <x:v>必須</x:v>
      </x:c>
      <x:c r="G14" s="1521" t="str">
        <x:v>ANS-DEADLINE4</x:v>
      </x:c>
      <x:c r="H14" s="1521" t="str"/>
      <x:c r="I14" s="1521" t="str">
        <x:v>選択必須</x:v>
      </x:c>
      <x:c r="J14" s="1521" t="str">
        <x:v>監査・予算・定修等を含む</x:v>
      </x:c>
      <x:c r="K14" s="1521" t="str">
        <x:v>常時</x:v>
      </x:c>
      <x:c r="L14" s="1521" t="str">
        <x:v>enum</x:v>
      </x:c>
      <x:c r="M14" s="1521" t="str">
        <x:v>期限資料</x:v>
      </x:c>
      <x:c r="N14" s="1521" t="str">
        <x:v>R1-GR-01/R1-RM-01</x:v>
      </x:c>
      <x:c r="O14" s="1521" t="str">
        <x:v>回答を選択してください。</x:v>
      </x:c>
      <x:c r="P14" s="1522" t="str">
        <x:v>確定候補</x:v>
      </x:c>
    </x:row>
    <x:row r="15">
      <x:c r="A15" s="1520" t="str">
        <x:v>UI-201</x:v>
      </x:c>
      <x:c r="B15" s="1521" t="str">
        <x:v>SCR-04</x:v>
      </x:c>
      <x:c r="C15" s="1521" t="str">
        <x:v>Q201</x:v>
      </x:c>
      <x:c r="D15" s="1521" t="str">
        <x:v>主要設備の設置年</x:v>
      </x:c>
      <x:c r="E15" s="1521" t="str">
        <x:v>年入力＋不明</x:v>
      </x:c>
      <x:c r="F15" s="1521" t="str">
        <x:v>必須</x:v>
      </x:c>
      <x:c r="G15" s="1521" t="str">
        <x:v>ANS-YEARKNOWN</x:v>
      </x:c>
      <x:c r="H15" s="1521" t="str"/>
      <x:c r="I15" s="1521" t="str">
        <x:v>1900～現在年</x:v>
      </x:c>
      <x:c r="J15" s="1521" t="str">
        <x:v>概算年代でも可</x:v>
      </x:c>
      <x:c r="K15" s="1521" t="str">
        <x:v>常時</x:v>
      </x:c>
      <x:c r="L15" s="1521" t="str">
        <x:v>year/null</x:v>
      </x:c>
      <x:c r="M15" s="1521" t="str">
        <x:v>銘板・設備台帳</x:v>
      </x:c>
      <x:c r="N15" s="1521" t="str">
        <x:v>R1-KPI-EDI</x:v>
      </x:c>
      <x:c r="O15" s="1521" t="str">
        <x:v>有効な年を入力してください。</x:v>
      </x:c>
      <x:c r="P15" s="1522" t="str">
        <x:v>確定候補</x:v>
      </x:c>
    </x:row>
    <x:row r="16">
      <x:c r="A16" s="1520" t="str">
        <x:v>UI-222</x:v>
      </x:c>
      <x:c r="B16" s="1521" t="str">
        <x:v>SCR-04</x:v>
      </x:c>
      <x:c r="C16" s="1521" t="str">
        <x:v>Q222</x:v>
      </x:c>
      <x:c r="D16" s="1521" t="str">
        <x:v>設備・工程別の電力把握</x:v>
      </x:c>
      <x:c r="E16" s="1521" t="str">
        <x:v>ラジオ</x:v>
      </x:c>
      <x:c r="F16" s="1521" t="str">
        <x:v>必須</x:v>
      </x:c>
      <x:c r="G16" s="1521" t="str">
        <x:v>ANS-COVERAGE4</x:v>
      </x:c>
      <x:c r="H16" s="1521" t="str"/>
      <x:c r="I16" s="1521" t="str">
        <x:v>選択必須</x:v>
      </x:c>
      <x:c r="J16" s="1521" t="str">
        <x:v>主要負荷の把握範囲</x:v>
      </x:c>
      <x:c r="K16" s="1521" t="str">
        <x:v>常時</x:v>
      </x:c>
      <x:c r="L16" s="1521" t="str">
        <x:v>enum</x:v>
      </x:c>
      <x:c r="M16" s="1521" t="str">
        <x:v>計測データ</x:v>
      </x:c>
      <x:c r="N16" s="1521" t="str">
        <x:v>R1-DOM-02/R1-KPI-DRI</x:v>
      </x:c>
      <x:c r="O16" s="1521" t="str">
        <x:v>回答を選択してください。</x:v>
      </x:c>
      <x:c r="P16" s="1522" t="str">
        <x:v>確定候補</x:v>
      </x:c>
    </x:row>
    <x:row r="17">
      <x:c r="A17" s="1520" t="str">
        <x:v>UI-242</x:v>
      </x:c>
      <x:c r="B17" s="1521" t="str">
        <x:v>SCR-04</x:v>
      </x:c>
      <x:c r="C17" s="1521" t="str">
        <x:v>Q242</x:v>
      </x:c>
      <x:c r="D17" s="1521" t="str">
        <x:v>結露の発生</x:v>
      </x:c>
      <x:c r="E17" s="1521" t="str">
        <x:v>ラジオ</x:v>
      </x:c>
      <x:c r="F17" s="1521" t="str">
        <x:v>必須</x:v>
      </x:c>
      <x:c r="G17" s="1521" t="str">
        <x:v>ANS-SEVERITY4</x:v>
      </x:c>
      <x:c r="H17" s="1521" t="str"/>
      <x:c r="I17" s="1521" t="str">
        <x:v>選択必須</x:v>
      </x:c>
      <x:c r="J17" s="1521" t="str">
        <x:v>天井裏・壁・配管・設備周辺</x:v>
      </x:c>
      <x:c r="K17" s="1521" t="str">
        <x:v>常時</x:v>
      </x:c>
      <x:c r="L17" s="1521" t="str">
        <x:v>enum</x:v>
      </x:c>
      <x:c r="M17" s="1521" t="str">
        <x:v>写真・温湿度</x:v>
      </x:c>
      <x:c r="N17" s="1521" t="str">
        <x:v>R1-DOM-03/R1-GR-01</x:v>
      </x:c>
      <x:c r="O17" s="1521" t="str">
        <x:v>回答を選択してください。</x:v>
      </x:c>
      <x:c r="P17" s="1522" t="str">
        <x:v>確定候補</x:v>
      </x:c>
    </x:row>
    <x:row r="18">
      <x:c r="A18" s="1520" t="str">
        <x:v>UI-301</x:v>
      </x:c>
      <x:c r="B18" s="1521" t="str">
        <x:v>SCR-05</x:v>
      </x:c>
      <x:c r="C18" s="1521" t="str">
        <x:v>Q301</x:v>
      </x:c>
      <x:c r="D18" s="1521" t="str">
        <x:v>現行図面の有無</x:v>
      </x:c>
      <x:c r="E18" s="1521" t="str">
        <x:v>ラジオ</x:v>
      </x:c>
      <x:c r="F18" s="1521" t="str">
        <x:v>必須</x:v>
      </x:c>
      <x:c r="G18" s="1521" t="str">
        <x:v>ANS-EVIDENCE4</x:v>
      </x:c>
      <x:c r="H18" s="1521" t="str"/>
      <x:c r="I18" s="1521" t="str">
        <x:v>選択必須</x:v>
      </x:c>
      <x:c r="J18" s="1521" t="str">
        <x:v>版・改造反映を含めて回答</x:v>
      </x:c>
      <x:c r="K18" s="1521" t="str">
        <x:v>常時</x:v>
      </x:c>
      <x:c r="L18" s="1521" t="str">
        <x:v>enum</x:v>
      </x:c>
      <x:c r="M18" s="1521" t="str">
        <x:v>図面</x:v>
      </x:c>
      <x:c r="N18" s="1521" t="str">
        <x:v>R1-KPI-DRI/R2-DRI-01</x:v>
      </x:c>
      <x:c r="O18" s="1521" t="str">
        <x:v>回答を選択してください。</x:v>
      </x:c>
      <x:c r="P18" s="1522" t="str">
        <x:v>確定候補</x:v>
      </x:c>
    </x:row>
    <x:row r="19">
      <x:c r="A19" s="1520" t="str">
        <x:v>UI-305</x:v>
      </x:c>
      <x:c r="B19" s="1521" t="str">
        <x:v>SCR-05</x:v>
      </x:c>
      <x:c r="C19" s="1521" t="str">
        <x:v>Q305</x:v>
      </x:c>
      <x:c r="D19" s="1521" t="str">
        <x:v>停電・停止可能時間</x:v>
      </x:c>
      <x:c r="E19" s="1521" t="str">
        <x:v>ラジオ</x:v>
      </x:c>
      <x:c r="F19" s="1521" t="str">
        <x:v>必須</x:v>
      </x:c>
      <x:c r="G19" s="1521" t="str">
        <x:v>ANS-DECISION4</x:v>
      </x:c>
      <x:c r="H19" s="1521" t="str"/>
      <x:c r="I19" s="1521" t="str">
        <x:v>選択必須</x:v>
      </x:c>
      <x:c r="J19" s="1521" t="str">
        <x:v>定修・休日・夜間等</x:v>
      </x:c>
      <x:c r="K19" s="1521" t="str">
        <x:v>常時</x:v>
      </x:c>
      <x:c r="L19" s="1521" t="str">
        <x:v>enum</x:v>
      </x:c>
      <x:c r="M19" s="1521" t="str">
        <x:v>操業・定修計画</x:v>
      </x:c>
      <x:c r="N19" s="1521" t="str">
        <x:v>R1-KPI-DRI/R1-RM-01</x:v>
      </x:c>
      <x:c r="O19" s="1521" t="str">
        <x:v>回答を選択してください。</x:v>
      </x:c>
      <x:c r="P19" s="1522" t="str">
        <x:v>確定候補</x:v>
      </x:c>
    </x:row>
    <x:row r="20">
      <x:c r="A20" s="1520" t="str">
        <x:v>UI-306</x:v>
      </x:c>
      <x:c r="B20" s="1521" t="str">
        <x:v>SCR-05</x:v>
      </x:c>
      <x:c r="C20" s="1521" t="str">
        <x:v>Q306</x:v>
      </x:c>
      <x:c r="D20" s="1521" t="str">
        <x:v>概算予算・予算化時期</x:v>
      </x:c>
      <x:c r="E20" s="1521" t="str">
        <x:v>ラジオ</x:v>
      </x:c>
      <x:c r="F20" s="1521" t="str">
        <x:v>必須</x:v>
      </x:c>
      <x:c r="G20" s="1521" t="str">
        <x:v>ANS-BUDGET4</x:v>
      </x:c>
      <x:c r="H20" s="1521" t="str"/>
      <x:c r="I20" s="1521" t="str">
        <x:v>選択必須</x:v>
      </x:c>
      <x:c r="J20" s="1521" t="str">
        <x:v>予算確保済みでなくても可</x:v>
      </x:c>
      <x:c r="K20" s="1521" t="str">
        <x:v>常時</x:v>
      </x:c>
      <x:c r="L20" s="1521" t="str">
        <x:v>enum</x:v>
      </x:c>
      <x:c r="M20" s="1521" t="str">
        <x:v>予算資料</x:v>
      </x:c>
      <x:c r="N20" s="1521" t="str">
        <x:v>R1-KPI-DRI/R1-INV-01</x:v>
      </x:c>
      <x:c r="O20" s="1521" t="str">
        <x:v>回答を選択してください。</x:v>
      </x:c>
      <x:c r="P20" s="1522" t="str">
        <x:v>確定候補</x:v>
      </x:c>
    </x:row>
    <x:row r="21">
      <x:c r="A21" s="1520" t="str">
        <x:v>UI-401</x:v>
      </x:c>
      <x:c r="B21" s="1521" t="str">
        <x:v>SCR-06</x:v>
      </x:c>
      <x:c r="C21" s="1521" t="str">
        <x:v>Q401</x:v>
      </x:c>
      <x:c r="D21" s="1521" t="str">
        <x:v>対応が必要な時期</x:v>
      </x:c>
      <x:c r="E21" s="1521" t="str">
        <x:v>ラジオ</x:v>
      </x:c>
      <x:c r="F21" s="1521" t="str">
        <x:v>必須</x:v>
      </x:c>
      <x:c r="G21" s="1521" t="str">
        <x:v>ANS-URGENCY4</x:v>
      </x:c>
      <x:c r="H21" s="1521" t="str"/>
      <x:c r="I21" s="1521" t="str">
        <x:v>選択必須</x:v>
      </x:c>
      <x:c r="J21" s="1521" t="str">
        <x:v>現時点の認識で回答</x:v>
      </x:c>
      <x:c r="K21" s="1521" t="str">
        <x:v>常時</x:v>
      </x:c>
      <x:c r="L21" s="1521" t="str">
        <x:v>enum</x:v>
      </x:c>
      <x:c r="M21" s="1521" t="str">
        <x:v>期限資料</x:v>
      </x:c>
      <x:c r="N21" s="1521" t="str">
        <x:v>R1-KPI-EPI/R1-RM-01</x:v>
      </x:c>
      <x:c r="O21" s="1521" t="str">
        <x:v>回答を選択してください。</x:v>
      </x:c>
      <x:c r="P21" s="1522" t="str">
        <x:v>確定候補</x:v>
      </x:c>
    </x:row>
    <x:row r="22">
      <x:c r="A22" s="1520" t="str">
        <x:v>UI-404</x:v>
      </x:c>
      <x:c r="B22" s="1521" t="str">
        <x:v>SCR-06</x:v>
      </x:c>
      <x:c r="C22" s="1521" t="str">
        <x:v>Q404</x:v>
      </x:c>
      <x:c r="D22" s="1521" t="str">
        <x:v>供給リスク</x:v>
      </x:c>
      <x:c r="E22" s="1521" t="str">
        <x:v>ラジオ</x:v>
      </x:c>
      <x:c r="F22" s="1521" t="str">
        <x:v>必須</x:v>
      </x:c>
      <x:c r="G22" s="1521" t="str">
        <x:v>ANS-SEVERITY4</x:v>
      </x:c>
      <x:c r="H22" s="1521" t="str"/>
      <x:c r="I22" s="1521" t="str">
        <x:v>選択必須</x:v>
      </x:c>
      <x:c r="J22" s="1521" t="str">
        <x:v>長納期・代替なし・メーカー撤退等</x:v>
      </x:c>
      <x:c r="K22" s="1521" t="str">
        <x:v>常時</x:v>
      </x:c>
      <x:c r="L22" s="1521" t="str">
        <x:v>enum</x:v>
      </x:c>
      <x:c r="M22" s="1521" t="str">
        <x:v>メーカー回答</x:v>
      </x:c>
      <x:c r="N22" s="1521" t="str">
        <x:v>R1-KPI-EPI/R1-GR-01</x:v>
      </x:c>
      <x:c r="O22" s="1521" t="str">
        <x:v>回答を選択してください。</x:v>
      </x:c>
      <x:c r="P22" s="1522" t="str">
        <x:v>確定候補</x:v>
      </x:c>
    </x:row>
    <x:row r="23">
      <x:c r="A23" s="1520" t="str">
        <x:v>UI-501</x:v>
      </x:c>
      <x:c r="B23" s="1521" t="str">
        <x:v>SCR-07</x:v>
      </x:c>
      <x:c r="C23" s="1521" t="str">
        <x:v>Q501</x:v>
      </x:c>
      <x:c r="D23" s="1521" t="str">
        <x:v>写真を添付</x:v>
      </x:c>
      <x:c r="E23" s="1521" t="str">
        <x:v>ファイル</x:v>
      </x:c>
      <x:c r="F23" s="1521" t="str">
        <x:v>任意</x:v>
      </x:c>
      <x:c r="G23" s="1521" t="str"/>
      <x:c r="H23" s="1521" t="str"/>
      <x:c r="I23" s="1521" t="str">
        <x:v>jpg/png/pdf、1ファイル20MB、最大10件</x:v>
      </x:c>
      <x:c r="J23" s="1521" t="str">
        <x:v>銘板・全景・異常箇所</x:v>
      </x:c>
      <x:c r="K23" s="1521" t="str">
        <x:v>常時</x:v>
      </x:c>
      <x:c r="L23" s="1521" t="str">
        <x:v>file[]</x:v>
      </x:c>
      <x:c r="M23" s="1521" t="str">
        <x:v>EV-PHOTO</x:v>
      </x:c>
      <x:c r="N23" s="1521" t="str">
        <x:v>R1-KPI-CONF/R2-EV-01</x:v>
      </x:c>
      <x:c r="O23" s="1521" t="str">
        <x:v>対応形式・容量を確認してください。</x:v>
      </x:c>
      <x:c r="P23" s="1522" t="str">
        <x:v>確定候補</x:v>
      </x:c>
    </x:row>
    <x:row r="24">
      <x:c r="A24" s="1520" t="str">
        <x:v>UI-502</x:v>
      </x:c>
      <x:c r="B24" s="1521" t="str">
        <x:v>SCR-07</x:v>
      </x:c>
      <x:c r="C24" s="1521" t="str">
        <x:v>Q502</x:v>
      </x:c>
      <x:c r="D24" s="1521" t="str">
        <x:v>図面を添付</x:v>
      </x:c>
      <x:c r="E24" s="1521" t="str">
        <x:v>ファイル</x:v>
      </x:c>
      <x:c r="F24" s="1521" t="str">
        <x:v>任意</x:v>
      </x:c>
      <x:c r="G24" s="1521" t="str"/>
      <x:c r="H24" s="1521" t="str"/>
      <x:c r="I24" s="1521" t="str">
        <x:v>pdf/xlsx/dwg参照、1ファイル30MB、最大5件</x:v>
      </x:c>
      <x:c r="J24" s="1521" t="str">
        <x:v>機密情報を除く</x:v>
      </x:c>
      <x:c r="K24" s="1521" t="str">
        <x:v>常時</x:v>
      </x:c>
      <x:c r="L24" s="1521" t="str">
        <x:v>file[]</x:v>
      </x:c>
      <x:c r="M24" s="1521" t="str">
        <x:v>EV-DRAWING</x:v>
      </x:c>
      <x:c r="N24" s="1521" t="str">
        <x:v>R1-KPI-CONF/R2-EV-01</x:v>
      </x:c>
      <x:c r="O24" s="1521" t="str">
        <x:v>対応形式・容量を確認してください。</x:v>
      </x:c>
      <x:c r="P24" s="1522" t="str">
        <x:v>確定候補</x:v>
      </x:c>
    </x:row>
    <x:row r="25">
      <x:c r="A25" s="1520" t="str">
        <x:v>UI-503</x:v>
      </x:c>
      <x:c r="B25" s="1521" t="str">
        <x:v>SCR-07</x:v>
      </x:c>
      <x:c r="C25" s="1521" t="str">
        <x:v>Q503</x:v>
      </x:c>
      <x:c r="D25" s="1521" t="str">
        <x:v>報告書・メーカー回答を添付</x:v>
      </x:c>
      <x:c r="E25" s="1521" t="str">
        <x:v>ファイル</x:v>
      </x:c>
      <x:c r="F25" s="1521" t="str">
        <x:v>任意</x:v>
      </x:c>
      <x:c r="G25" s="1521" t="str"/>
      <x:c r="H25" s="1521" t="str"/>
      <x:c r="I25" s="1521" t="str">
        <x:v>pdf/xlsx/docx、1ファイル30MB、最大10件</x:v>
      </x:c>
      <x:c r="J25" s="1521" t="str">
        <x:v>点検、故障、見積、メーカー回答</x:v>
      </x:c>
      <x:c r="K25" s="1521" t="str">
        <x:v>常時</x:v>
      </x:c>
      <x:c r="L25" s="1521" t="str">
        <x:v>file[]</x:v>
      </x:c>
      <x:c r="M25" s="1521" t="str">
        <x:v>EV-INSPECT/EV-MAKER/EV-QUOTE</x:v>
      </x:c>
      <x:c r="N25" s="1521" t="str">
        <x:v>R1-KPI-CONF/R2-EV-01</x:v>
      </x:c>
      <x:c r="O25" s="1521" t="str">
        <x:v>対応形式・容量を確認してください。</x:v>
      </x:c>
      <x:c r="P25" s="1522" t="str">
        <x:v>確定候補</x:v>
      </x:c>
    </x:row>
    <x:row r="26">
      <x:c r="A26" s="1520" t="str">
        <x:v>UI-601</x:v>
      </x:c>
      <x:c r="B26" s="1521" t="str">
        <x:v>SCR-12</x:v>
      </x:c>
      <x:c r="C26" s="1521" t="str"/>
      <x:c r="D26" s="1521" t="str">
        <x:v>氏名</x:v>
      </x:c>
      <x:c r="E26" s="1521" t="str">
        <x:v>テキスト</x:v>
      </x:c>
      <x:c r="F26" s="1521" t="str">
        <x:v>必須</x:v>
      </x:c>
      <x:c r="G26" s="1521" t="str"/>
      <x:c r="H26" s="1521" t="str"/>
      <x:c r="I26" s="1521" t="str">
        <x:v>1～50文字</x:v>
      </x:c>
      <x:c r="J26" s="1521" t="str">
        <x:v>PDF送付先担当者</x:v>
      </x:c>
      <x:c r="K26" s="1521" t="str">
        <x:v>PDF取得選択時</x:v>
      </x:c>
      <x:c r="L26" s="1521" t="str">
        <x:v>string</x:v>
      </x:c>
      <x:c r="M26" s="1521" t="str">
        <x:v>なし</x:v>
      </x:c>
      <x:c r="N26" s="1521" t="str">
        <x:v>顧客情報</x:v>
      </x:c>
      <x:c r="O26" s="1521" t="str">
        <x:v>氏名を入力してください。</x:v>
      </x:c>
      <x:c r="P26" s="1522" t="str">
        <x:v>確定候補</x:v>
      </x:c>
    </x:row>
    <x:row r="27">
      <x:c r="A27" s="1520" t="str">
        <x:v>UI-602</x:v>
      </x:c>
      <x:c r="B27" s="1521" t="str">
        <x:v>SCR-12</x:v>
      </x:c>
      <x:c r="C27" s="1521" t="str"/>
      <x:c r="D27" s="1521" t="str">
        <x:v>会社メール</x:v>
      </x:c>
      <x:c r="E27" s="1521" t="str">
        <x:v>メール</x:v>
      </x:c>
      <x:c r="F27" s="1521" t="str">
        <x:v>必須</x:v>
      </x:c>
      <x:c r="G27" s="1521" t="str"/>
      <x:c r="H27" s="1521" t="str"/>
      <x:c r="I27" s="1521" t="str">
        <x:v>メール形式</x:v>
      </x:c>
      <x:c r="J27" s="1521" t="str">
        <x:v>PDF送付先</x:v>
      </x:c>
      <x:c r="K27" s="1521" t="str">
        <x:v>PDF取得選択時</x:v>
      </x:c>
      <x:c r="L27" s="1521" t="str">
        <x:v>string</x:v>
      </x:c>
      <x:c r="M27" s="1521" t="str">
        <x:v>なし</x:v>
      </x:c>
      <x:c r="N27" s="1521" t="str">
        <x:v>顧客情報</x:v>
      </x:c>
      <x:c r="O27" s="1521" t="str">
        <x:v>有効なメールアドレスを入力してください。</x:v>
      </x:c>
      <x:c r="P27" s="1522" t="str">
        <x:v>確定候補</x:v>
      </x:c>
    </x:row>
    <x:row r="28">
      <x:c r="A28" s="1523" t="str">
        <x:v>UI-603</x:v>
      </x:c>
      <x:c r="B28" s="1524" t="str">
        <x:v>SCR-13</x:v>
      </x:c>
      <x:c r="C28" s="1524" t="str"/>
      <x:c r="D28" s="1524" t="str">
        <x:v>相談テーマ</x:v>
      </x:c>
      <x:c r="E28" s="1524" t="str">
        <x:v>複数選択</x:v>
      </x:c>
      <x:c r="F28" s="1524" t="str">
        <x:v>必須</x:v>
      </x:c>
      <x:c r="G28" s="1524" t="str"/>
      <x:c r="H28" s="1524" t="str"/>
      <x:c r="I28" s="1524" t="str">
        <x:v>1件以上</x:v>
      </x:c>
      <x:c r="J28" s="1524" t="str">
        <x:v>設備更新、電力計測、建屋、現地診断等</x:v>
      </x:c>
      <x:c r="K28" s="1524" t="str">
        <x:v>相談申込時</x:v>
      </x:c>
      <x:c r="L28" s="1524" t="str">
        <x:v>enum[]</x:v>
      </x:c>
      <x:c r="M28" s="1524" t="str">
        <x:v>診断結果と紐付け</x:v>
      </x:c>
      <x:c r="N28" s="1524" t="str">
        <x:v>CTA</x:v>
      </x:c>
      <x:c r="O28" s="1524" t="str">
        <x:v>相談テーマを選択してください。</x:v>
      </x:c>
      <x:c r="P28" s="1525" t="str">
        <x:v>確定候補</x:v>
      </x:c>
    </x:row>
  </x:sheetData>
  <x:mergeCells>
    <x:mergeCell ref="A1:P1"/>
    <x:mergeCell ref="A2:P2"/>
  </x:mergeCells>
  <x:pageMargins left="0.7" right="0.7" top="0.75" bottom="0.75" header="0.3" footer="0.3"/>
</x:worksheet>
</file>

<file path=xl/worksheets/sheet23.xml><?xml version="1.0" encoding="utf-8"?>
<x:worksheet xmlns:x="http://schemas.openxmlformats.org/spreadsheetml/2006/main">
  <x:sheetFormatPr defaultRowHeight="15"/>
  <x:cols>
    <x:col min="1" max="1" width="10" hidden="0" customWidth="1"/>
    <x:col min="2" max="2" width="12" hidden="0" customWidth="1"/>
    <x:col min="3" max="3" width="24" hidden="0" customWidth="1"/>
    <x:col min="4" max="4" width="30" hidden="0" customWidth="1"/>
    <x:col min="5" max="5" width="42" hidden="0" customWidth="1"/>
    <x:col min="6" max="6" width="26" hidden="0" customWidth="1"/>
    <x:col min="7" max="7" width="18" hidden="0" customWidth="1"/>
    <x:col min="8" max="8" width="26" hidden="0" customWidth="1"/>
    <x:col min="9" max="9" width="28" hidden="0" customWidth="1"/>
    <x:col min="10" max="10" width="24" hidden="0" customWidth="1"/>
    <x:col min="11" max="11" width="12" hidden="0" customWidth="1"/>
    <x:col min="12" max="12" width="16" hidden="0" customWidth="1"/>
    <x:col min="13" max="13" width="14" hidden="0" customWidth="1"/>
    <x:col min="14" max="14" width="12" hidden="0" customWidth="1"/>
    <x:col min="15" max="15" width="14" hidden="0" customWidth="1"/>
  </x:cols>
  <x:sheetData>
    <x:row r="1" ht="28" customHeight="1">
      <x:c r="A1" s="1480" t="str">
        <x:v>22_システム処理フロー</x:v>
      </x:c>
      <x:c r="B1" s="1480"/>
      <x:c r="C1" s="1480"/>
      <x:c r="D1" s="1480"/>
      <x:c r="E1" s="1480"/>
      <x:c r="F1" s="1480"/>
      <x:c r="G1" s="1480"/>
      <x:c r="H1" s="1480"/>
      <x:c r="I1" s="1480"/>
      <x:c r="J1" s="1480"/>
      <x:c r="K1" s="1480"/>
      <x:c r="L1" s="1480"/>
      <x:c r="M1" s="1480"/>
      <x:c r="N1" s="1480"/>
      <x:c r="O1" s="1480"/>
    </x:row>
    <x:row r="2" ht="36" customHeight="1">
      <x:c r="A2" s="1483" t="str">
        <x:v>回答受付から採点、Guardrail、Evidence、コメント選択、A3レポート生成までの処理順と責任境界を定義。</x:v>
      </x:c>
      <x:c r="B2" s="1483"/>
      <x:c r="C2" s="1483"/>
      <x:c r="D2" s="1483"/>
      <x:c r="E2" s="1483"/>
      <x:c r="F2" s="1483"/>
      <x:c r="G2" s="1483"/>
      <x:c r="H2" s="1483"/>
      <x:c r="I2" s="1483"/>
      <x:c r="J2" s="1483"/>
      <x:c r="K2" s="1483"/>
      <x:c r="L2" s="1483"/>
      <x:c r="M2" s="1483"/>
      <x:c r="N2" s="1483"/>
      <x:c r="O2" s="1483"/>
    </x:row>
    <x:row r="4" ht="38" customHeight="1">
      <x:c r="A4" s="1495" t="str">
        <x:v>処理順</x:v>
      </x:c>
      <x:c r="B4" s="1496" t="str">
        <x:v>処理ID</x:v>
      </x:c>
      <x:c r="C4" s="1496" t="str">
        <x:v>処理名</x:v>
      </x:c>
      <x:c r="D4" s="1496" t="str">
        <x:v>入力</x:v>
      </x:c>
      <x:c r="E4" s="1496" t="str">
        <x:v>処理内容</x:v>
      </x:c>
      <x:c r="F4" s="1496" t="str">
        <x:v>出力</x:v>
      </x:c>
      <x:c r="G4" s="1496" t="str">
        <x:v>参照シート</x:v>
      </x:c>
      <x:c r="H4" s="1496" t="str">
        <x:v>エラー条件</x:v>
      </x:c>
      <x:c r="I4" s="1496" t="str">
        <x:v>エラー時処理</x:v>
      </x:c>
      <x:c r="J4" s="1496" t="str">
        <x:v>ログ</x:v>
      </x:c>
      <x:c r="K4" s="1496" t="str">
        <x:v>AI使用</x:v>
      </x:c>
      <x:c r="L4" s="1496" t="str">
        <x:v>人手確認</x:v>
      </x:c>
      <x:c r="M4" s="1496" t="str">
        <x:v>性能目標</x:v>
      </x:c>
      <x:c r="N4" s="1496" t="str">
        <x:v>再実行</x:v>
      </x:c>
      <x:c r="O4" s="1497" t="str">
        <x:v>設計状態</x:v>
      </x:c>
    </x:row>
    <x:row r="5">
      <x:c r="A5" s="1517" t="n">
        <x:v>1</x:v>
      </x:c>
      <x:c r="B5" s="1518" t="str">
        <x:v>SYS-01</x:v>
      </x:c>
      <x:c r="C5" s="1518" t="str">
        <x:v>セッション作成</x:v>
      </x:c>
      <x:c r="D5" s="1518" t="str">
        <x:v>同意、基本情報</x:v>
      </x:c>
      <x:c r="E5" s="1518" t="str">
        <x:v>診断IDを発行し途中保存領域を作成</x:v>
      </x:c>
      <x:c r="F5" s="1518" t="str">
        <x:v>diagnosis_id</x:v>
      </x:c>
      <x:c r="G5" s="1518" t="str">
        <x:v>20/21</x:v>
      </x:c>
      <x:c r="H5" s="1518" t="str">
        <x:v>同意なし、保存失敗</x:v>
      </x:c>
      <x:c r="I5" s="1518" t="str">
        <x:v>開始不可・再試行</x:v>
      </x:c>
      <x:c r="J5" s="1518" t="str">
        <x:v>開始時刻、端末情報</x:v>
      </x:c>
      <x:c r="K5" s="1518" t="str">
        <x:v>なし</x:v>
      </x:c>
      <x:c r="L5" s="1518" t="str">
        <x:v>不要</x:v>
      </x:c>
      <x:c r="M5" s="1518" t="str">
        <x:v>1秒以内</x:v>
      </x:c>
      <x:c r="N5" s="1518" t="str">
        <x:v>可</x:v>
      </x:c>
      <x:c r="O5" s="1519" t="str">
        <x:v>確定候補</x:v>
      </x:c>
    </x:row>
    <x:row r="6">
      <x:c r="A6" s="1520" t="n">
        <x:v>2</x:v>
      </x:c>
      <x:c r="B6" s="1521" t="str">
        <x:v>SYS-02</x:v>
      </x:c>
      <x:c r="C6" s="1521" t="str">
        <x:v>回答保存</x:v>
      </x:c>
      <x:c r="D6" s="1521" t="str">
        <x:v>質問ID、回答値</x:v>
      </x:c>
      <x:c r="E6" s="1521" t="str">
        <x:v>回答形式・選択肢・必須条件を検証し逐次保存</x:v>
      </x:c>
      <x:c r="F6" s="1521" t="str">
        <x:v>answer_records</x:v>
      </x:c>
      <x:c r="G6" s="1521" t="str">
        <x:v>01/02/21</x:v>
      </x:c>
      <x:c r="H6" s="1521" t="str">
        <x:v>値不正、必須不足</x:v>
      </x:c>
      <x:c r="I6" s="1521" t="str">
        <x:v>項目単位エラー</x:v>
      </x:c>
      <x:c r="J6" s="1521" t="str">
        <x:v>質問ID、変更履歴</x:v>
      </x:c>
      <x:c r="K6" s="1521" t="str">
        <x:v>なし</x:v>
      </x:c>
      <x:c r="L6" s="1521" t="str">
        <x:v>不要</x:v>
      </x:c>
      <x:c r="M6" s="1521" t="str">
        <x:v>1秒以内</x:v>
      </x:c>
      <x:c r="N6" s="1521" t="str">
        <x:v>可</x:v>
      </x:c>
      <x:c r="O6" s="1522" t="str">
        <x:v>確定候補</x:v>
      </x:c>
    </x:row>
    <x:row r="7">
      <x:c r="A7" s="1520" t="n">
        <x:v>3</x:v>
      </x:c>
      <x:c r="B7" s="1521" t="str">
        <x:v>SYS-03</x:v>
      </x:c>
      <x:c r="C7" s="1521" t="str">
        <x:v>Evidence受付</x:v>
      </x:c>
      <x:c r="D7" s="1521" t="str">
        <x:v>ファイル、資料種別</x:v>
      </x:c>
      <x:c r="E7" s="1521" t="str">
        <x:v>形式・容量・ウイルス・対象紐付けを確認</x:v>
      </x:c>
      <x:c r="F7" s="1521" t="str">
        <x:v>evidence_records</x:v>
      </x:c>
      <x:c r="G7" s="1521" t="str">
        <x:v>05/21</x:v>
      </x:c>
      <x:c r="H7" s="1521" t="str">
        <x:v>形式不正、容量超過</x:v>
      </x:c>
      <x:c r="I7" s="1521" t="str">
        <x:v>対象ファイルのみ拒否</x:v>
      </x:c>
      <x:c r="J7" s="1521" t="str">
        <x:v>ファイル名、ハッシュ、時刻</x:v>
      </x:c>
      <x:c r="K7" s="1521" t="str">
        <x:v>なし</x:v>
      </x:c>
      <x:c r="L7" s="1521" t="str">
        <x:v>必要時</x:v>
      </x:c>
      <x:c r="M7" s="1521" t="str">
        <x:v>アップロード除き3秒以内</x:v>
      </x:c>
      <x:c r="N7" s="1521" t="str">
        <x:v>可</x:v>
      </x:c>
      <x:c r="O7" s="1522" t="str">
        <x:v>確定候補</x:v>
      </x:c>
    </x:row>
    <x:row r="8">
      <x:c r="A8" s="1520" t="n">
        <x:v>4</x:v>
      </x:c>
      <x:c r="B8" s="1521" t="str">
        <x:v>SYS-04</x:v>
      </x:c>
      <x:c r="C8" s="1521" t="str">
        <x:v>回答整合性チェック</x:v>
      </x:c>
      <x:c r="D8" s="1521" t="str">
        <x:v>全回答、Evidenceメタ情報</x:v>
      </x:c>
      <x:c r="E8" s="1521" t="str">
        <x:v>質問間・資料間の矛盾ルールを実行</x:v>
      </x:c>
      <x:c r="F8" s="1521" t="str">
        <x:v>L0候補、確認事項</x:v>
      </x:c>
      <x:c r="G8" s="1521" t="str">
        <x:v>06</x:v>
      </x:c>
      <x:c r="H8" s="1521" t="str">
        <x:v>矛盾ルール実行失敗</x:v>
      </x:c>
      <x:c r="I8" s="1521" t="str">
        <x:v>診断停止せず品質低下表示</x:v>
      </x:c>
      <x:c r="J8" s="1521" t="str">
        <x:v>ルールID、該当値</x:v>
      </x:c>
      <x:c r="K8" s="1521" t="str">
        <x:v>なし</x:v>
      </x:c>
      <x:c r="L8" s="1521" t="str">
        <x:v>Level3で必要</x:v>
      </x:c>
      <x:c r="M8" s="1521" t="str">
        <x:v>2秒以内</x:v>
      </x:c>
      <x:c r="N8" s="1521" t="str">
        <x:v>可</x:v>
      </x:c>
      <x:c r="O8" s="1522" t="str">
        <x:v>確定候補</x:v>
      </x:c>
    </x:row>
    <x:row r="9">
      <x:c r="A9" s="1520" t="n">
        <x:v>5</x:v>
      </x:c>
      <x:c r="B9" s="1521" t="str">
        <x:v>SYS-05</x:v>
      </x:c>
      <x:c r="C9" s="1521" t="str">
        <x:v>質問スコア正規化</x:v>
      </x:c>
      <x:c r="D9" s="1521" t="str">
        <x:v>有効回答</x:v>
      </x:c>
      <x:c r="E9" s="1521" t="str">
        <x:v>回答を0～100へ変換し方向を統一</x:v>
      </x:c>
      <x:c r="F9" s="1521" t="str">
        <x:v>question_scores</x:v>
      </x:c>
      <x:c r="G9" s="1521" t="str">
        <x:v>02/03</x:v>
      </x:c>
      <x:c r="H9" s="1521" t="str">
        <x:v>選択肢未定義</x:v>
      </x:c>
      <x:c r="I9" s="1521" t="str">
        <x:v>該当質問を除外</x:v>
      </x:c>
      <x:c r="J9" s="1521" t="str">
        <x:v>質問ID、変換値</x:v>
      </x:c>
      <x:c r="K9" s="1521" t="str">
        <x:v>なし</x:v>
      </x:c>
      <x:c r="L9" s="1521" t="str">
        <x:v>不要</x:v>
      </x:c>
      <x:c r="M9" s="1521" t="str">
        <x:v>1秒以内</x:v>
      </x:c>
      <x:c r="N9" s="1521" t="str">
        <x:v>可</x:v>
      </x:c>
      <x:c r="O9" s="1522" t="str">
        <x:v>確定候補</x:v>
      </x:c>
    </x:row>
    <x:row r="10">
      <x:c r="A10" s="1520" t="n">
        <x:v>6</x:v>
      </x:c>
      <x:c r="B10" s="1521" t="str">
        <x:v>SYS-06</x:v>
      </x:c>
      <x:c r="C10" s="1521" t="str">
        <x:v>EDI・DRI・EPI算定</x:v>
      </x:c>
      <x:c r="D10" s="1521" t="str">
        <x:v>question_scores、重み</x:v>
      </x:c>
      <x:c r="E10" s="1521" t="str">
        <x:v>正式算定式、期限補正、最低情報条件を適用</x:v>
      </x:c>
      <x:c r="F10" s="1521" t="str">
        <x:v>EDI/DRI/EPI</x:v>
      </x:c>
      <x:c r="G10" s="1521" t="str">
        <x:v>03/13</x:v>
      </x:c>
      <x:c r="H10" s="1521" t="str">
        <x:v>重み欠落、分母0</x:v>
      </x:c>
      <x:c r="I10" s="1521" t="str">
        <x:v>参考値・算定不能表示</x:v>
      </x:c>
      <x:c r="J10" s="1521" t="str">
        <x:v>式Version、入力重み</x:v>
      </x:c>
      <x:c r="K10" s="1521" t="str">
        <x:v>なし</x:v>
      </x:c>
      <x:c r="L10" s="1521" t="str">
        <x:v>不要</x:v>
      </x:c>
      <x:c r="M10" s="1521" t="str">
        <x:v>1秒以内</x:v>
      </x:c>
      <x:c r="N10" s="1521" t="str">
        <x:v>可</x:v>
      </x:c>
      <x:c r="O10" s="1522" t="str">
        <x:v>確定候補</x:v>
      </x:c>
    </x:row>
    <x:row r="11">
      <x:c r="A11" s="1520" t="n">
        <x:v>7</x:v>
      </x:c>
      <x:c r="B11" s="1521" t="str">
        <x:v>SYS-07</x:v>
      </x:c>
      <x:c r="C11" s="1521" t="str">
        <x:v>Evidence品質算定</x:v>
      </x:c>
      <x:c r="D11" s="1521" t="str">
        <x:v>Evidenceメタ、確認主体</x:v>
      </x:c>
      <x:c r="E11" s="1521" t="str">
        <x:v>品質、対象一致、鮮度、確認主体を点数化</x:v>
      </x:c>
      <x:c r="F11" s="1521" t="str">
        <x:v>CQ/CM/CF/CV</x:v>
      </x:c>
      <x:c r="G11" s="1521" t="str">
        <x:v>05/14</x:v>
      </x:c>
      <x:c r="H11" s="1521" t="str">
        <x:v>資料種別不明</x:v>
      </x:c>
      <x:c r="I11" s="1521" t="str">
        <x:v>L1扱い・確認要</x:v>
      </x:c>
      <x:c r="J11" s="1521" t="str">
        <x:v>EvidenceID、各点数</x:v>
      </x:c>
      <x:c r="K11" s="1521" t="str">
        <x:v>補助可</x:v>
      </x:c>
      <x:c r="L11" s="1521" t="str">
        <x:v>Level3で必要</x:v>
      </x:c>
      <x:c r="M11" s="1521" t="str">
        <x:v>2秒以内</x:v>
      </x:c>
      <x:c r="N11" s="1521" t="str">
        <x:v>可</x:v>
      </x:c>
      <x:c r="O11" s="1522" t="str">
        <x:v>確定候補</x:v>
      </x:c>
    </x:row>
    <x:row r="12">
      <x:c r="A12" s="1520" t="n">
        <x:v>8</x:v>
      </x:c>
      <x:c r="B12" s="1521" t="str">
        <x:v>SYS-08</x:v>
      </x:c>
      <x:c r="C12" s="1521" t="str">
        <x:v>診断品質算定</x:v>
      </x:c>
      <x:c r="D12" s="1521" t="str">
        <x:v>Evidence点、L0数、回答充足</x:v>
      </x:c>
      <x:c r="E12" s="1521" t="str">
        <x:v>診断信頼度・情報充足率・診断レベルを算定</x:v>
      </x:c>
      <x:c r="F12" s="1521" t="str">
        <x:v>CONF/COMP/Level</x:v>
      </x:c>
      <x:c r="G12" s="1521" t="str">
        <x:v>14</x:v>
      </x:c>
      <x:c r="H12" s="1521" t="str">
        <x:v>対象数不明</x:v>
      </x:c>
      <x:c r="I12" s="1521" t="str">
        <x:v>4分野カバーで代替</x:v>
      </x:c>
      <x:c r="J12" s="1521" t="str">
        <x:v>式Version、結果</x:v>
      </x:c>
      <x:c r="K12" s="1521" t="str">
        <x:v>なし</x:v>
      </x:c>
      <x:c r="L12" s="1521" t="str">
        <x:v>Level3で承認</x:v>
      </x:c>
      <x:c r="M12" s="1521" t="str">
        <x:v>1秒以内</x:v>
      </x:c>
      <x:c r="N12" s="1521" t="str">
        <x:v>可</x:v>
      </x:c>
      <x:c r="O12" s="1522" t="str">
        <x:v>確定候補</x:v>
      </x:c>
    </x:row>
    <x:row r="13">
      <x:c r="A13" s="1520" t="n">
        <x:v>9</x:v>
      </x:c>
      <x:c r="B13" s="1521" t="str">
        <x:v>SYS-09</x:v>
      </x:c>
      <x:c r="C13" s="1521" t="str">
        <x:v>Guardrail判定・順位</x:v>
      </x:c>
      <x:c r="D13" s="1521" t="str">
        <x:v>回答、KPI、Evidence、期限</x:v>
      </x:c>
      <x:c r="E13" s="1521" t="str">
        <x:v>発動条件、L0～L3、Priority Scoreを算定</x:v>
      </x:c>
      <x:c r="F13" s="1521" t="str">
        <x:v>Guardrail上位3＋残件</x:v>
      </x:c>
      <x:c r="G13" s="1521" t="str">
        <x:v>04/13</x:v>
      </x:c>
      <x:c r="H13" s="1521" t="str">
        <x:v>分類・コード欠落</x:v>
      </x:c>
      <x:c r="I13" s="1521" t="str">
        <x:v>該当件を非表示にせずエラー扱い</x:v>
      </x:c>
      <x:c r="J13" s="1521" t="str">
        <x:v>GuardrailID、点数、順位</x:v>
      </x:c>
      <x:c r="K13" s="1521" t="str">
        <x:v>なし</x:v>
      </x:c>
      <x:c r="L13" s="1521" t="str">
        <x:v>Level3で確認</x:v>
      </x:c>
      <x:c r="M13" s="1521" t="str">
        <x:v>1秒以内</x:v>
      </x:c>
      <x:c r="N13" s="1521" t="str">
        <x:v>可</x:v>
      </x:c>
      <x:c r="O13" s="1522" t="str">
        <x:v>確定候補</x:v>
      </x:c>
    </x:row>
    <x:row r="14">
      <x:c r="A14" s="1520" t="n">
        <x:v>10</x:v>
      </x:c>
      <x:c r="B14" s="1521" t="str">
        <x:v>SYS-10</x:v>
      </x:c>
      <x:c r="C14" s="1521" t="str">
        <x:v>課題生成・TOP5順位</x:v>
      </x:c>
      <x:c r="D14" s="1521" t="str">
        <x:v>回答、KPI、Guardrail、Evidence</x:v>
      </x:c>
      <x:c r="E14" s="1521" t="str">
        <x:v>課題統合、重複排除、TOP_SCORE、分野上限を適用</x:v>
      </x:c>
      <x:c r="F14" s="1521" t="str">
        <x:v>TOP5、詳細課題</x:v>
      </x:c>
      <x:c r="G14" s="1521" t="str">
        <x:v>13/15</x:v>
      </x:c>
      <x:c r="H14" s="1521" t="str">
        <x:v>課題群未定義</x:v>
      </x:c>
      <x:c r="I14" s="1521" t="str">
        <x:v>詳細課題へ退避</x:v>
      </x:c>
      <x:c r="J14" s="1521" t="str">
        <x:v>課題群、構成コード、点数</x:v>
      </x:c>
      <x:c r="K14" s="1521" t="str">
        <x:v>なし</x:v>
      </x:c>
      <x:c r="L14" s="1521" t="str">
        <x:v>Level3で確認</x:v>
      </x:c>
      <x:c r="M14" s="1521" t="str">
        <x:v>2秒以内</x:v>
      </x:c>
      <x:c r="N14" s="1521" t="str">
        <x:v>可</x:v>
      </x:c>
      <x:c r="O14" s="1522" t="str">
        <x:v>確定候補</x:v>
      </x:c>
    </x:row>
    <x:row r="15">
      <x:c r="A15" s="1520" t="n">
        <x:v>11</x:v>
      </x:c>
      <x:c r="B15" s="1521" t="str">
        <x:v>SYS-11</x:v>
      </x:c>
      <x:c r="C15" s="1521" t="str">
        <x:v>コメントコード選択</x:v>
      </x:c>
      <x:c r="D15" s="1521" t="str">
        <x:v>L0、Guardrail、TOP5、KPI、不足</x:v>
      </x:c>
      <x:c r="E15" s="1521" t="str">
        <x:v>断定レベルに適合する承認済みコードを選択</x:v>
      </x:c>
      <x:c r="F15" s="1521" t="str">
        <x:v>comment_parts</x:v>
      </x:c>
      <x:c r="G15" s="1521" t="str">
        <x:v>07/14/15</x:v>
      </x:c>
      <x:c r="H15" s="1521" t="str">
        <x:v>コード不存在</x:v>
      </x:c>
      <x:c r="I15" s="1521" t="str">
        <x:v>文章生成を停止し管理者通知</x:v>
      </x:c>
      <x:c r="J15" s="1521" t="str">
        <x:v>使用コード、Version</x:v>
      </x:c>
      <x:c r="K15" s="1521" t="str">
        <x:v>なし</x:v>
      </x:c>
      <x:c r="L15" s="1521" t="str">
        <x:v>承認コード管理者</x:v>
      </x:c>
      <x:c r="M15" s="1521" t="str">
        <x:v>1秒以内</x:v>
      </x:c>
      <x:c r="N15" s="1521" t="str">
        <x:v>可</x:v>
      </x:c>
      <x:c r="O15" s="1522" t="str">
        <x:v>確定候補</x:v>
      </x:c>
    </x:row>
    <x:row r="16">
      <x:c r="A16" s="1520" t="n">
        <x:v>12</x:v>
      </x:c>
      <x:c r="B16" s="1521" t="str">
        <x:v>SYS-12</x:v>
      </x:c>
      <x:c r="C16" s="1521" t="str">
        <x:v>文章整文</x:v>
      </x:c>
      <x:c r="D16" s="1521" t="str">
        <x:v>comment_parts、企業・設備名</x:v>
      </x:c>
      <x:c r="E16" s="1521" t="str">
        <x:v>接続、重複整理、語尾調整のみ実施</x:v>
      </x:c>
      <x:c r="F16" s="1521" t="str">
        <x:v>report_text</x:v>
      </x:c>
      <x:c r="G16" s="1521" t="str">
        <x:v>07/14</x:v>
      </x:c>
      <x:c r="H16" s="1521" t="str">
        <x:v>禁止表現、コード逸脱</x:v>
      </x:c>
      <x:c r="I16" s="1521" t="str">
        <x:v>テンプレート原文へフォールバック</x:v>
      </x:c>
      <x:c r="J16" s="1521" t="str">
        <x:v>入力コード、生成文、検査結果</x:v>
      </x:c>
      <x:c r="K16" s="1521" t="str">
        <x:v>あり</x:v>
      </x:c>
      <x:c r="L16" s="1521" t="str">
        <x:v>Level3で承認</x:v>
      </x:c>
      <x:c r="M16" s="1521" t="str">
        <x:v>10秒以内</x:v>
      </x:c>
      <x:c r="N16" s="1521" t="str">
        <x:v>可</x:v>
      </x:c>
      <x:c r="O16" s="1522" t="str">
        <x:v>確定候補</x:v>
      </x:c>
    </x:row>
    <x:row r="17">
      <x:c r="A17" s="1520" t="n">
        <x:v>13</x:v>
      </x:c>
      <x:c r="B17" s="1521" t="str">
        <x:v>SYS-13</x:v>
      </x:c>
      <x:c r="C17" s="1521" t="str">
        <x:v>最終ルール検査</x:v>
      </x:c>
      <x:c r="D17" s="1521" t="str">
        <x:v>report_text、Evidence、L0</x:v>
      </x:c>
      <x:c r="E17" s="1521" t="str">
        <x:v>断定表現、禁止語、数値・期限・製品名の根拠を検査</x:v>
      </x:c>
      <x:c r="F17" s="1521" t="str">
        <x:v>公開可能文／エラー</x:v>
      </x:c>
      <x:c r="G17" s="1521" t="str">
        <x:v>09/14</x:v>
      </x:c>
      <x:c r="H17" s="1521" t="str">
        <x:v>L1→L3強化等</x:v>
      </x:c>
      <x:c r="I17" s="1521" t="str">
        <x:v>該当文を承認済み原文へ戻す</x:v>
      </x:c>
      <x:c r="J17" s="1521" t="str">
        <x:v>検査ルール、修正履歴</x:v>
      </x:c>
      <x:c r="K17" s="1521" t="str">
        <x:v>補助可</x:v>
      </x:c>
      <x:c r="L17" s="1521" t="str">
        <x:v>Level3で確認</x:v>
      </x:c>
      <x:c r="M17" s="1521" t="str">
        <x:v>2秒以内</x:v>
      </x:c>
      <x:c r="N17" s="1521" t="str">
        <x:v>可</x:v>
      </x:c>
      <x:c r="O17" s="1522" t="str">
        <x:v>確定候補</x:v>
      </x:c>
    </x:row>
    <x:row r="18">
      <x:c r="A18" s="1520" t="n">
        <x:v>14</x:v>
      </x:c>
      <x:c r="B18" s="1521" t="str">
        <x:v>SYS-14</x:v>
      </x:c>
      <x:c r="C18" s="1521" t="str">
        <x:v>A3レポート生成</x:v>
      </x:c>
      <x:c r="D18" s="1521" t="str">
        <x:v>KPI、Guardrail、TOP5、文章</x:v>
      </x:c>
      <x:c r="E18" s="1521" t="str">
        <x:v>18/19レイアウトへ差し込みPDF・画像を生成</x:v>
      </x:c>
      <x:c r="F18" s="1521" t="str">
        <x:v>P1/P2、PDF</x:v>
      </x:c>
      <x:c r="G18" s="1521" t="str">
        <x:v>08/18/19</x:v>
      </x:c>
      <x:c r="H18" s="1521" t="str">
        <x:v>文字超過、生成失敗</x:v>
      </x:c>
      <x:c r="I18" s="1521" t="str">
        <x:v>文字短縮ルール・再生成</x:v>
      </x:c>
      <x:c r="J18" s="1521" t="str">
        <x:v>テンプレートVersion、生成時刻</x:v>
      </x:c>
      <x:c r="K18" s="1521" t="str">
        <x:v>なし</x:v>
      </x:c>
      <x:c r="L18" s="1521" t="str">
        <x:v>不要</x:v>
      </x:c>
      <x:c r="M18" s="1521" t="str">
        <x:v>15秒以内</x:v>
      </x:c>
      <x:c r="N18" s="1521" t="str">
        <x:v>可</x:v>
      </x:c>
      <x:c r="O18" s="1522" t="str">
        <x:v>確定候補</x:v>
      </x:c>
    </x:row>
    <x:row r="19">
      <x:c r="A19" s="1523" t="n">
        <x:v>15</x:v>
      </x:c>
      <x:c r="B19" s="1524" t="str">
        <x:v>SYS-15</x:v>
      </x:c>
      <x:c r="C19" s="1524" t="str">
        <x:v>結果表示・送付</x:v>
      </x:c>
      <x:c r="D19" s="1524" t="str">
        <x:v>レポート、連絡先</x:v>
      </x:c>
      <x:c r="E19" s="1524" t="str">
        <x:v>プレビュー表示、PDF送付、相談情報連携</x:v>
      </x:c>
      <x:c r="F19" s="1524" t="str">
        <x:v>閲覧URL、送付結果</x:v>
      </x:c>
      <x:c r="G19" s="1524" t="str">
        <x:v>20</x:v>
      </x:c>
      <x:c r="H19" s="1524" t="str">
        <x:v>送信失敗</x:v>
      </x:c>
      <x:c r="I19" s="1524" t="str">
        <x:v>再送・ダウンロード表示</x:v>
      </x:c>
      <x:c r="J19" s="1524" t="str">
        <x:v>閲覧、送信、CTA</x:v>
      </x:c>
      <x:c r="K19" s="1524" t="str">
        <x:v>なし</x:v>
      </x:c>
      <x:c r="L19" s="1524" t="str">
        <x:v>不要</x:v>
      </x:c>
      <x:c r="M19" s="1524" t="str">
        <x:v>3秒以内</x:v>
      </x:c>
      <x:c r="N19" s="1524" t="str">
        <x:v>可</x:v>
      </x:c>
      <x:c r="O19" s="1525" t="str">
        <x:v>確定候補</x:v>
      </x:c>
    </x:row>
  </x:sheetData>
  <x:mergeCells>
    <x:mergeCell ref="A1:O1"/>
    <x:mergeCell ref="A2:O2"/>
  </x:mergeCells>
  <x:pageMargins left="0.7" right="0.7" top="0.75" bottom="0.75" header="0.3" footer="0.3"/>
</x:worksheet>
</file>

<file path=xl/worksheets/sheet24.xml><?xml version="1.0" encoding="utf-8"?>
<x:worksheet xmlns:x="http://schemas.openxmlformats.org/spreadsheetml/2006/main">
  <x:sheetFormatPr defaultRowHeight="15"/>
  <x:cols>
    <x:col min="1" max="1" width="16" hidden="0" customWidth="1"/>
    <x:col min="2" max="2" width="20" hidden="0" customWidth="1"/>
    <x:col min="3" max="3" width="22" hidden="0" customWidth="1"/>
    <x:col min="4" max="4" width="14" hidden="0" customWidth="1"/>
    <x:col min="5" max="5" width="10" hidden="0" customWidth="1"/>
    <x:col min="6" max="6" width="24" hidden="0" customWidth="1"/>
    <x:col min="7" max="7" width="34" hidden="0" customWidth="1"/>
    <x:col min="8" max="8" width="20" hidden="0" customWidth="1"/>
    <x:col min="9" max="9" width="20" hidden="0" customWidth="1"/>
    <x:col min="10" max="10" width="22" hidden="0" customWidth="1"/>
    <x:col min="11" max="11" width="20" hidden="0" customWidth="1"/>
    <x:col min="12" max="12" width="16" hidden="0" customWidth="1"/>
    <x:col min="13" max="13" width="18" hidden="0" customWidth="1"/>
    <x:col min="14" max="14" width="18" hidden="0" customWidth="1"/>
    <x:col min="15" max="15" width="14" hidden="0" customWidth="1"/>
    <x:col min="16" max="16" width="14" hidden="0" customWidth="1"/>
  </x:cols>
  <x:sheetData>
    <x:row r="1" ht="28" customHeight="1">
      <x:c r="A1" s="1480" t="str">
        <x:v>23_データ・API仕様</x:v>
      </x:c>
      <x:c r="B1" s="1480"/>
      <x:c r="C1" s="1480"/>
      <x:c r="D1" s="1480"/>
      <x:c r="E1" s="1480"/>
      <x:c r="F1" s="1480"/>
      <x:c r="G1" s="1480"/>
      <x:c r="H1" s="1480"/>
      <x:c r="I1" s="1480"/>
      <x:c r="J1" s="1480"/>
      <x:c r="K1" s="1480"/>
      <x:c r="L1" s="1480"/>
      <x:c r="M1" s="1480"/>
      <x:c r="N1" s="1480"/>
      <x:c r="O1" s="1480"/>
      <x:c r="P1" s="1480"/>
    </x:row>
    <x:row r="2" ht="36" customHeight="1">
      <x:c r="A2" s="1483" t="str">
        <x:v>開発会社へ引き渡すための主要データエンティティ、入出力、Version管理、監査ログの最低仕様。</x:v>
      </x:c>
      <x:c r="B2" s="1483"/>
      <x:c r="C2" s="1483"/>
      <x:c r="D2" s="1483"/>
      <x:c r="E2" s="1483"/>
      <x:c r="F2" s="1483"/>
      <x:c r="G2" s="1483"/>
      <x:c r="H2" s="1483"/>
      <x:c r="I2" s="1483"/>
      <x:c r="J2" s="1483"/>
      <x:c r="K2" s="1483"/>
      <x:c r="L2" s="1483"/>
      <x:c r="M2" s="1483"/>
      <x:c r="N2" s="1483"/>
      <x:c r="O2" s="1483"/>
      <x:c r="P2" s="1483"/>
    </x:row>
    <x:row r="4" ht="38" customHeight="1">
      <x:c r="A4" s="1495" t="str">
        <x:v>エンティティ</x:v>
      </x:c>
      <x:c r="B4" s="1496" t="str">
        <x:v>項目名</x:v>
      </x:c>
      <x:c r="C4" s="1496" t="str">
        <x:v>物理名</x:v>
      </x:c>
      <x:c r="D4" s="1496" t="str">
        <x:v>型</x:v>
      </x:c>
      <x:c r="E4" s="1496" t="str">
        <x:v>必須</x:v>
      </x:c>
      <x:c r="F4" s="1496" t="str">
        <x:v>例</x:v>
      </x:c>
      <x:c r="G4" s="1496" t="str">
        <x:v>説明</x:v>
      </x:c>
      <x:c r="H4" s="1496" t="str">
        <x:v>入力元</x:v>
      </x:c>
      <x:c r="I4" s="1496" t="str">
        <x:v>出力先</x:v>
      </x:c>
      <x:c r="J4" s="1496" t="str">
        <x:v>検証</x:v>
      </x:c>
      <x:c r="K4" s="1496" t="str">
        <x:v>Version管理</x:v>
      </x:c>
      <x:c r="L4" s="1496" t="str">
        <x:v>個人情報</x:v>
      </x:c>
      <x:c r="M4" s="1496" t="str">
        <x:v>保存期間候補</x:v>
      </x:c>
      <x:c r="N4" s="1496" t="str">
        <x:v>監査ログ</x:v>
      </x:c>
      <x:c r="O4" s="1496" t="str">
        <x:v>API区分</x:v>
      </x:c>
      <x:c r="P4" s="1497" t="str">
        <x:v>設計状態</x:v>
      </x:c>
    </x:row>
    <x:row r="5">
      <x:c r="A5" s="1517" t="str">
        <x:v>Diagnosis</x:v>
      </x:c>
      <x:c r="B5" s="1518" t="str">
        <x:v>診断ID</x:v>
      </x:c>
      <x:c r="C5" s="1518" t="str">
        <x:v>diagnosis_id</x:v>
      </x:c>
      <x:c r="D5" s="1518" t="str">
        <x:v>uuid</x:v>
      </x:c>
      <x:c r="E5" s="1518" t="str">
        <x:v>必須</x:v>
      </x:c>
      <x:c r="F5" s="1518" t="str">
        <x:v>ED-20260726-0001</x:v>
      </x:c>
      <x:c r="G5" s="1518" t="str">
        <x:v>診断単位の一意キー</x:v>
      </x:c>
      <x:c r="H5" s="1518" t="str">
        <x:v>SYS-01</x:v>
      </x:c>
      <x:c r="I5" s="1518" t="str">
        <x:v>全処理</x:v>
      </x:c>
      <x:c r="J5" s="1518" t="str">
        <x:v>重複不可</x:v>
      </x:c>
      <x:c r="K5" s="1518" t="str">
        <x:v>不要</x:v>
      </x:c>
      <x:c r="L5" s="1518" t="str">
        <x:v>非該当</x:v>
      </x:c>
      <x:c r="M5" s="1518" t="str">
        <x:v>7年候補</x:v>
      </x:c>
      <x:c r="N5" s="1518" t="str">
        <x:v>作成・更新</x:v>
      </x:c>
      <x:c r="O5" s="1518" t="str">
        <x:v>POST/GET</x:v>
      </x:c>
      <x:c r="P5" s="1519" t="str">
        <x:v>確定候補</x:v>
      </x:c>
    </x:row>
    <x:row r="6">
      <x:c r="A6" s="1520" t="str">
        <x:v>Diagnosis</x:v>
      </x:c>
      <x:c r="B6" s="1521" t="str">
        <x:v>診断ステータス</x:v>
      </x:c>
      <x:c r="C6" s="1521" t="str">
        <x:v>status</x:v>
      </x:c>
      <x:c r="D6" s="1521" t="str">
        <x:v>enum</x:v>
      </x:c>
      <x:c r="E6" s="1521" t="str">
        <x:v>必須</x:v>
      </x:c>
      <x:c r="F6" s="1521" t="str">
        <x:v>draft/completed/report_ready</x:v>
      </x:c>
      <x:c r="G6" s="1521" t="str">
        <x:v>途中保存～完了状態</x:v>
      </x:c>
      <x:c r="H6" s="1521" t="str">
        <x:v>システム</x:v>
      </x:c>
      <x:c r="I6" s="1521" t="str">
        <x:v>画面・管理</x:v>
      </x:c>
      <x:c r="J6" s="1521" t="str">
        <x:v>定義値のみ</x:v>
      </x:c>
      <x:c r="K6" s="1521" t="str">
        <x:v>必要</x:v>
      </x:c>
      <x:c r="L6" s="1521" t="str">
        <x:v>非該当</x:v>
      </x:c>
      <x:c r="M6" s="1521" t="str">
        <x:v>7年候補</x:v>
      </x:c>
      <x:c r="N6" s="1521" t="str">
        <x:v>変更履歴</x:v>
      </x:c>
      <x:c r="O6" s="1521" t="str">
        <x:v>PATCH</x:v>
      </x:c>
      <x:c r="P6" s="1522" t="str">
        <x:v>確定候補</x:v>
      </x:c>
    </x:row>
    <x:row r="7">
      <x:c r="A7" s="1520" t="str">
        <x:v>Diagnosis</x:v>
      </x:c>
      <x:c r="B7" s="1521" t="str">
        <x:v>診断レベル</x:v>
      </x:c>
      <x:c r="C7" s="1521" t="str">
        <x:v>diagnosis_level</x:v>
      </x:c>
      <x:c r="D7" s="1521" t="str">
        <x:v>enum</x:v>
      </x:c>
      <x:c r="E7" s="1521" t="str">
        <x:v>必須</x:v>
      </x:c>
      <x:c r="F7" s="1521" t="str">
        <x:v>level1/level2/level3</x:v>
      </x:c>
      <x:c r="G7" s="1521" t="str">
        <x:v>自己診断・Evidence付き・正式診断</x:v>
      </x:c>
      <x:c r="H7" s="1521" t="str">
        <x:v>SYS-08</x:v>
      </x:c>
      <x:c r="I7" s="1521" t="str">
        <x:v>レポート</x:v>
      </x:c>
      <x:c r="J7" s="1521" t="str">
        <x:v>定義値のみ</x:v>
      </x:c>
      <x:c r="K7" s="1521" t="str">
        <x:v>算定式Version</x:v>
      </x:c>
      <x:c r="L7" s="1521" t="str">
        <x:v>非該当</x:v>
      </x:c>
      <x:c r="M7" s="1521" t="str">
        <x:v>7年候補</x:v>
      </x:c>
      <x:c r="N7" s="1521" t="str">
        <x:v>算定結果</x:v>
      </x:c>
      <x:c r="O7" s="1521" t="str">
        <x:v>GET</x:v>
      </x:c>
      <x:c r="P7" s="1522" t="str">
        <x:v>確定候補</x:v>
      </x:c>
    </x:row>
    <x:row r="8">
      <x:c r="A8" s="1520" t="str">
        <x:v>Organization</x:v>
      </x:c>
      <x:c r="B8" s="1521" t="str">
        <x:v>会社名</x:v>
      </x:c>
      <x:c r="C8" s="1521" t="str">
        <x:v>company_name</x:v>
      </x:c>
      <x:c r="D8" s="1521" t="str">
        <x:v>string</x:v>
      </x:c>
      <x:c r="E8" s="1521" t="str">
        <x:v>必須</x:v>
      </x:c>
      <x:c r="F8" s="1521" t="str">
        <x:v>サンプル製造株式会社</x:v>
      </x:c>
      <x:c r="G8" s="1521" t="str">
        <x:v>診断対象会社</x:v>
      </x:c>
      <x:c r="H8" s="1521" t="str">
        <x:v>SCR-02</x:v>
      </x:c>
      <x:c r="I8" s="1521" t="str">
        <x:v>レポート・CRM</x:v>
      </x:c>
      <x:c r="J8" s="1521" t="str">
        <x:v>100文字以内</x:v>
      </x:c>
      <x:c r="K8" s="1521" t="str">
        <x:v>不要</x:v>
      </x:c>
      <x:c r="L8" s="1521" t="str">
        <x:v>該当</x:v>
      </x:c>
      <x:c r="M8" s="1521" t="str">
        <x:v>契約・同意に従う</x:v>
      </x:c>
      <x:c r="N8" s="1521" t="str">
        <x:v>閲覧・変更</x:v>
      </x:c>
      <x:c r="O8" s="1521" t="str">
        <x:v>POST/PATCH</x:v>
      </x:c>
      <x:c r="P8" s="1522" t="str">
        <x:v>確定候補</x:v>
      </x:c>
    </x:row>
    <x:row r="9">
      <x:c r="A9" s="1520" t="str">
        <x:v>Site</x:v>
      </x:c>
      <x:c r="B9" s="1521" t="str">
        <x:v>工場名</x:v>
      </x:c>
      <x:c r="C9" s="1521" t="str">
        <x:v>site_name</x:v>
      </x:c>
      <x:c r="D9" s="1521" t="str">
        <x:v>string</x:v>
      </x:c>
      <x:c r="E9" s="1521" t="str">
        <x:v>必須</x:v>
      </x:c>
      <x:c r="F9" s="1521" t="str">
        <x:v>第1工場</x:v>
      </x:c>
      <x:c r="G9" s="1521" t="str">
        <x:v>診断対象拠点</x:v>
      </x:c>
      <x:c r="H9" s="1521" t="str">
        <x:v>SCR-02</x:v>
      </x:c>
      <x:c r="I9" s="1521" t="str">
        <x:v>レポート</x:v>
      </x:c>
      <x:c r="J9" s="1521" t="str">
        <x:v>100文字以内</x:v>
      </x:c>
      <x:c r="K9" s="1521" t="str">
        <x:v>不要</x:v>
      </x:c>
      <x:c r="L9" s="1521" t="str">
        <x:v>該当可能</x:v>
      </x:c>
      <x:c r="M9" s="1521" t="str">
        <x:v>契約・同意に従う</x:v>
      </x:c>
      <x:c r="N9" s="1521" t="str">
        <x:v>閲覧・変更</x:v>
      </x:c>
      <x:c r="O9" s="1521" t="str">
        <x:v>POST/PATCH</x:v>
      </x:c>
      <x:c r="P9" s="1522" t="str">
        <x:v>確定候補</x:v>
      </x:c>
    </x:row>
    <x:row r="10">
      <x:c r="A10" s="1520" t="str">
        <x:v>Answer</x:v>
      </x:c>
      <x:c r="B10" s="1521" t="str">
        <x:v>質問ID</x:v>
      </x:c>
      <x:c r="C10" s="1521" t="str">
        <x:v>question_id</x:v>
      </x:c>
      <x:c r="D10" s="1521" t="str">
        <x:v>string</x:v>
      </x:c>
      <x:c r="E10" s="1521" t="str">
        <x:v>必須</x:v>
      </x:c>
      <x:c r="F10" s="1521" t="str">
        <x:v>Q106</x:v>
      </x:c>
      <x:c r="G10" s="1521" t="str">
        <x:v>質問マスターID</x:v>
      </x:c>
      <x:c r="H10" s="1521" t="str">
        <x:v>SCR-03～06</x:v>
      </x:c>
      <x:c r="I10" s="1521" t="str">
        <x:v>採点</x:v>
      </x:c>
      <x:c r="J10" s="1521" t="str">
        <x:v>マスター存在</x:v>
      </x:c>
      <x:c r="K10" s="1521" t="str">
        <x:v>質問票Version</x:v>
      </x:c>
      <x:c r="L10" s="1521" t="str">
        <x:v>非該当</x:v>
      </x:c>
      <x:c r="M10" s="1521" t="str">
        <x:v>7年候補</x:v>
      </x:c>
      <x:c r="N10" s="1521" t="str">
        <x:v>変更履歴</x:v>
      </x:c>
      <x:c r="O10" s="1521" t="str">
        <x:v>POST/PATCH</x:v>
      </x:c>
      <x:c r="P10" s="1522" t="str">
        <x:v>確定候補</x:v>
      </x:c>
    </x:row>
    <x:row r="11">
      <x:c r="A11" s="1520" t="str">
        <x:v>Answer</x:v>
      </x:c>
      <x:c r="B11" s="1521" t="str">
        <x:v>回答値</x:v>
      </x:c>
      <x:c r="C11" s="1521" t="str">
        <x:v>answer_value</x:v>
      </x:c>
      <x:c r="D11" s="1521" t="str">
        <x:v>json</x:v>
      </x:c>
      <x:c r="E11" s="1521" t="str">
        <x:v>必須</x:v>
      </x:c>
      <x:c r="F11" s="1521" t="str">
        <x:v>YES</x:v>
      </x:c>
      <x:c r="G11" s="1521" t="str">
        <x:v>選択肢・年・自由記述</x:v>
      </x:c>
      <x:c r="H11" s="1521" t="str">
        <x:v>SCR-02～06</x:v>
      </x:c>
      <x:c r="I11" s="1521" t="str">
        <x:v>採点・整合性</x:v>
      </x:c>
      <x:c r="J11" s="1521" t="str">
        <x:v>質問型と一致</x:v>
      </x:c>
      <x:c r="K11" s="1521" t="str">
        <x:v>選択肢Version</x:v>
      </x:c>
      <x:c r="L11" s="1521" t="str">
        <x:v>自由記述は該当可能</x:v>
      </x:c>
      <x:c r="M11" s="1521" t="str">
        <x:v>7年候補</x:v>
      </x:c>
      <x:c r="N11" s="1521" t="str">
        <x:v>変更履歴</x:v>
      </x:c>
      <x:c r="O11" s="1521" t="str">
        <x:v>POST/PATCH</x:v>
      </x:c>
      <x:c r="P11" s="1522" t="str">
        <x:v>確定候補</x:v>
      </x:c>
    </x:row>
    <x:row r="12">
      <x:c r="A12" s="1520" t="str">
        <x:v>Evidence</x:v>
      </x:c>
      <x:c r="B12" s="1521" t="str">
        <x:v>Evidence ID</x:v>
      </x:c>
      <x:c r="C12" s="1521" t="str">
        <x:v>evidence_id</x:v>
      </x:c>
      <x:c r="D12" s="1521" t="str">
        <x:v>uuid</x:v>
      </x:c>
      <x:c r="E12" s="1521" t="str">
        <x:v>必須</x:v>
      </x:c>
      <x:c r="F12" s="1521" t="str">
        <x:v>EV-001</x:v>
      </x:c>
      <x:c r="G12" s="1521" t="str">
        <x:v>添付資料の一意キー</x:v>
      </x:c>
      <x:c r="H12" s="1521" t="str">
        <x:v>SYS-03</x:v>
      </x:c>
      <x:c r="I12" s="1521" t="str">
        <x:v>品質算定</x:v>
      </x:c>
      <x:c r="J12" s="1521" t="str">
        <x:v>重複不可</x:v>
      </x:c>
      <x:c r="K12" s="1521" t="str">
        <x:v>不要</x:v>
      </x:c>
      <x:c r="L12" s="1521" t="str">
        <x:v>該当可能</x:v>
      </x:c>
      <x:c r="M12" s="1521" t="str">
        <x:v>契約・同意に従う</x:v>
      </x:c>
      <x:c r="N12" s="1521" t="str">
        <x:v>登録・削除</x:v>
      </x:c>
      <x:c r="O12" s="1521" t="str">
        <x:v>POST/DELETE</x:v>
      </x:c>
      <x:c r="P12" s="1522" t="str">
        <x:v>確定候補</x:v>
      </x:c>
    </x:row>
    <x:row r="13">
      <x:c r="A13" s="1520" t="str">
        <x:v>Evidence</x:v>
      </x:c>
      <x:c r="B13" s="1521" t="str">
        <x:v>資料種別</x:v>
      </x:c>
      <x:c r="C13" s="1521" t="str">
        <x:v>evidence_type</x:v>
      </x:c>
      <x:c r="D13" s="1521" t="str">
        <x:v>enum</x:v>
      </x:c>
      <x:c r="E13" s="1521" t="str">
        <x:v>必須</x:v>
      </x:c>
      <x:c r="F13" s="1521" t="str">
        <x:v>maker_response</x:v>
      </x:c>
      <x:c r="G13" s="1521" t="str">
        <x:v>写真・図面・報告書等</x:v>
      </x:c>
      <x:c r="H13" s="1521" t="str">
        <x:v>SCR-07</x:v>
      </x:c>
      <x:c r="I13" s="1521" t="str">
        <x:v>品質算定</x:v>
      </x:c>
      <x:c r="J13" s="1521" t="str">
        <x:v>定義値のみ</x:v>
      </x:c>
      <x:c r="K13" s="1521" t="str">
        <x:v>EvidenceルールVersion</x:v>
      </x:c>
      <x:c r="L13" s="1521" t="str">
        <x:v>非該当</x:v>
      </x:c>
      <x:c r="M13" s="1521" t="str">
        <x:v>7年候補</x:v>
      </x:c>
      <x:c r="N13" s="1521" t="str">
        <x:v>分類履歴</x:v>
      </x:c>
      <x:c r="O13" s="1521" t="str">
        <x:v>POST/PATCH</x:v>
      </x:c>
      <x:c r="P13" s="1522" t="str">
        <x:v>確定候補</x:v>
      </x:c>
    </x:row>
    <x:row r="14">
      <x:c r="A14" s="1520" t="str">
        <x:v>Evidence</x:v>
      </x:c>
      <x:c r="B14" s="1521" t="str">
        <x:v>対象質問</x:v>
      </x:c>
      <x:c r="C14" s="1521" t="str">
        <x:v>linked_question_ids</x:v>
      </x:c>
      <x:c r="D14" s="1521" t="str">
        <x:v>array</x:v>
      </x:c>
      <x:c r="E14" s="1521" t="str">
        <x:v>任意</x:v>
      </x:c>
      <x:c r="F14" s="1521" t="str">
        <x:v>[Q106,Q311]</x:v>
      </x:c>
      <x:c r="G14" s="1521" t="str">
        <x:v>Evidenceが支える質問</x:v>
      </x:c>
      <x:c r="H14" s="1521" t="str">
        <x:v>SCR-07/自動推定</x:v>
      </x:c>
      <x:c r="I14" s="1521" t="str">
        <x:v>断定レベル</x:v>
      </x:c>
      <x:c r="J14" s="1521" t="str">
        <x:v>質問ID存在</x:v>
      </x:c>
      <x:c r="K14" s="1521" t="str">
        <x:v>質問票Version</x:v>
      </x:c>
      <x:c r="L14" s="1521" t="str">
        <x:v>非該当</x:v>
      </x:c>
      <x:c r="M14" s="1521" t="str">
        <x:v>7年候補</x:v>
      </x:c>
      <x:c r="N14" s="1521" t="str">
        <x:v>紐付け履歴</x:v>
      </x:c>
      <x:c r="O14" s="1521" t="str">
        <x:v>PATCH</x:v>
      </x:c>
      <x:c r="P14" s="1522" t="str">
        <x:v>確定候補</x:v>
      </x:c>
    </x:row>
    <x:row r="15">
      <x:c r="A15" s="1520" t="str">
        <x:v>Score</x:v>
      </x:c>
      <x:c r="B15" s="1521" t="str">
        <x:v>指標名</x:v>
      </x:c>
      <x:c r="C15" s="1521" t="str">
        <x:v>metric_code</x:v>
      </x:c>
      <x:c r="D15" s="1521" t="str">
        <x:v>enum</x:v>
      </x:c>
      <x:c r="E15" s="1521" t="str">
        <x:v>必須</x:v>
      </x:c>
      <x:c r="F15" s="1521" t="str">
        <x:v>EDI/DRI/EPI/CONF/COMP</x:v>
      </x:c>
      <x:c r="G15" s="1521" t="str">
        <x:v>5指標コード</x:v>
      </x:c>
      <x:c r="H15" s="1521" t="str">
        <x:v>SYS-06/08</x:v>
      </x:c>
      <x:c r="I15" s="1521" t="str">
        <x:v>レポート</x:v>
      </x:c>
      <x:c r="J15" s="1521" t="str">
        <x:v>定義値のみ</x:v>
      </x:c>
      <x:c r="K15" s="1521" t="str">
        <x:v>算定式Version</x:v>
      </x:c>
      <x:c r="L15" s="1521" t="str">
        <x:v>非該当</x:v>
      </x:c>
      <x:c r="M15" s="1521" t="str">
        <x:v>7年候補</x:v>
      </x:c>
      <x:c r="N15" s="1521" t="str">
        <x:v>算定ログ</x:v>
      </x:c>
      <x:c r="O15" s="1521" t="str">
        <x:v>GET</x:v>
      </x:c>
      <x:c r="P15" s="1522" t="str">
        <x:v>確定候補</x:v>
      </x:c>
    </x:row>
    <x:row r="16">
      <x:c r="A16" s="1520" t="str">
        <x:v>Score</x:v>
      </x:c>
      <x:c r="B16" s="1521" t="str">
        <x:v>指標値</x:v>
      </x:c>
      <x:c r="C16" s="1521" t="str">
        <x:v>metric_value</x:v>
      </x:c>
      <x:c r="D16" s="1521" t="str">
        <x:v>decimal</x:v>
      </x:c>
      <x:c r="E16" s="1521" t="str">
        <x:v>必須</x:v>
      </x:c>
      <x:c r="F16" s="1521" t="str">
        <x:v>82</x:v>
      </x:c>
      <x:c r="G16" s="1521" t="str">
        <x:v>0～100の算定値</x:v>
      </x:c>
      <x:c r="H16" s="1521" t="str">
        <x:v>SYS-06/08</x:v>
      </x:c>
      <x:c r="I16" s="1521" t="str">
        <x:v>レポート</x:v>
      </x:c>
      <x:c r="J16" s="1521" t="str">
        <x:v>0～100</x:v>
      </x:c>
      <x:c r="K16" s="1521" t="str">
        <x:v>算定式Version</x:v>
      </x:c>
      <x:c r="L16" s="1521" t="str">
        <x:v>非該当</x:v>
      </x:c>
      <x:c r="M16" s="1521" t="str">
        <x:v>7年候補</x:v>
      </x:c>
      <x:c r="N16" s="1521" t="str">
        <x:v>入力・式・結果</x:v>
      </x:c>
      <x:c r="O16" s="1521" t="str">
        <x:v>GET</x:v>
      </x:c>
      <x:c r="P16" s="1522" t="str">
        <x:v>確定候補</x:v>
      </x:c>
    </x:row>
    <x:row r="17">
      <x:c r="A17" s="1520" t="str">
        <x:v>Guardrail</x:v>
      </x:c>
      <x:c r="B17" s="1521" t="str">
        <x:v>Guardrail ID</x:v>
      </x:c>
      <x:c r="C17" s="1521" t="str">
        <x:v>guardrail_id</x:v>
      </x:c>
      <x:c r="D17" s="1521" t="str">
        <x:v>string</x:v>
      </x:c>
      <x:c r="E17" s="1521" t="str">
        <x:v>必須</x:v>
      </x:c>
      <x:c r="F17" s="1521" t="str">
        <x:v>GR-EOL-01</x:v>
      </x:c>
      <x:c r="G17" s="1521" t="str">
        <x:v>発動ルールID</x:v>
      </x:c>
      <x:c r="H17" s="1521" t="str">
        <x:v>SYS-09</x:v>
      </x:c>
      <x:c r="I17" s="1521" t="str">
        <x:v>レポート</x:v>
      </x:c>
      <x:c r="J17" s="1521" t="str">
        <x:v>ルール存在</x:v>
      </x:c>
      <x:c r="K17" s="1521" t="str">
        <x:v>Guardrail Version</x:v>
      </x:c>
      <x:c r="L17" s="1521" t="str">
        <x:v>非該当</x:v>
      </x:c>
      <x:c r="M17" s="1521" t="str">
        <x:v>7年候補</x:v>
      </x:c>
      <x:c r="N17" s="1521" t="str">
        <x:v>発動根拠</x:v>
      </x:c>
      <x:c r="O17" s="1521" t="str">
        <x:v>GET</x:v>
      </x:c>
      <x:c r="P17" s="1522" t="str">
        <x:v>確定候補</x:v>
      </x:c>
    </x:row>
    <x:row r="18">
      <x:c r="A18" s="1520" t="str">
        <x:v>Guardrail</x:v>
      </x:c>
      <x:c r="B18" s="1521" t="str">
        <x:v>断定レベル</x:v>
      </x:c>
      <x:c r="C18" s="1521" t="str">
        <x:v>assertion_level</x:v>
      </x:c>
      <x:c r="D18" s="1521" t="str">
        <x:v>enum</x:v>
      </x:c>
      <x:c r="E18" s="1521" t="str">
        <x:v>必須</x:v>
      </x:c>
      <x:c r="F18" s="1521" t="str">
        <x:v>L3</x:v>
      </x:c>
      <x:c r="G18" s="1521" t="str">
        <x:v>L0～L3</x:v>
      </x:c>
      <x:c r="H18" s="1521" t="str">
        <x:v>SYS-09</x:v>
      </x:c>
      <x:c r="I18" s="1521" t="str">
        <x:v>レポート</x:v>
      </x:c>
      <x:c r="J18" s="1521" t="str">
        <x:v>定義値のみ</x:v>
      </x:c>
      <x:c r="K18" s="1521" t="str">
        <x:v>文章統制Version</x:v>
      </x:c>
      <x:c r="L18" s="1521" t="str">
        <x:v>非該当</x:v>
      </x:c>
      <x:c r="M18" s="1521" t="str">
        <x:v>7年候補</x:v>
      </x:c>
      <x:c r="N18" s="1521" t="str">
        <x:v>判定根拠</x:v>
      </x:c>
      <x:c r="O18" s="1521" t="str">
        <x:v>GET</x:v>
      </x:c>
      <x:c r="P18" s="1522" t="str">
        <x:v>確定候補</x:v>
      </x:c>
    </x:row>
    <x:row r="19">
      <x:c r="A19" s="1520" t="str">
        <x:v>Issue</x:v>
      </x:c>
      <x:c r="B19" s="1521" t="str">
        <x:v>課題群ID</x:v>
      </x:c>
      <x:c r="C19" s="1521" t="str">
        <x:v>issue_group_id</x:v>
      </x:c>
      <x:c r="D19" s="1521" t="str">
        <x:v>string</x:v>
      </x:c>
      <x:c r="E19" s="1521" t="str">
        <x:v>必須</x:v>
      </x:c>
      <x:c r="F19" s="1521" t="str">
        <x:v>CG-EOL</x:v>
      </x:c>
      <x:c r="G19" s="1521" t="str">
        <x:v>TOP5候補の課題群</x:v>
      </x:c>
      <x:c r="H19" s="1521" t="str">
        <x:v>SYS-10</x:v>
      </x:c>
      <x:c r="I19" s="1521" t="str">
        <x:v>レポート</x:v>
      </x:c>
      <x:c r="J19" s="1521" t="str">
        <x:v>課題群存在</x:v>
      </x:c>
      <x:c r="K19" s="1521" t="str">
        <x:v>課題Version</x:v>
      </x:c>
      <x:c r="L19" s="1521" t="str">
        <x:v>非該当</x:v>
      </x:c>
      <x:c r="M19" s="1521" t="str">
        <x:v>7年候補</x:v>
      </x:c>
      <x:c r="N19" s="1521" t="str">
        <x:v>統合履歴</x:v>
      </x:c>
      <x:c r="O19" s="1521" t="str">
        <x:v>GET</x:v>
      </x:c>
      <x:c r="P19" s="1522" t="str">
        <x:v>確定候補</x:v>
      </x:c>
    </x:row>
    <x:row r="20">
      <x:c r="A20" s="1520" t="str">
        <x:v>Issue</x:v>
      </x:c>
      <x:c r="B20" s="1521" t="str">
        <x:v>TOP SCORE</x:v>
      </x:c>
      <x:c r="C20" s="1521" t="str">
        <x:v>top_score</x:v>
      </x:c>
      <x:c r="D20" s="1521" t="str">
        <x:v>decimal</x:v>
      </x:c>
      <x:c r="E20" s="1521" t="str">
        <x:v>必須</x:v>
      </x:c>
      <x:c r="F20" s="1521" t="str">
        <x:v>92</x:v>
      </x:c>
      <x:c r="G20" s="1521" t="str">
        <x:v>TOP5順位値</x:v>
      </x:c>
      <x:c r="H20" s="1521" t="str">
        <x:v>SYS-10</x:v>
      </x:c>
      <x:c r="I20" s="1521" t="str">
        <x:v>レポート</x:v>
      </x:c>
      <x:c r="J20" s="1521" t="str">
        <x:v>0～100</x:v>
      </x:c>
      <x:c r="K20" s="1521" t="str">
        <x:v>順位式Version</x:v>
      </x:c>
      <x:c r="L20" s="1521" t="str">
        <x:v>非該当</x:v>
      </x:c>
      <x:c r="M20" s="1521" t="str">
        <x:v>7年候補</x:v>
      </x:c>
      <x:c r="N20" s="1521" t="str">
        <x:v>構成要素</x:v>
      </x:c>
      <x:c r="O20" s="1521" t="str">
        <x:v>GET</x:v>
      </x:c>
      <x:c r="P20" s="1522" t="str">
        <x:v>確定候補</x:v>
      </x:c>
    </x:row>
    <x:row r="21">
      <x:c r="A21" s="1520" t="str">
        <x:v>Comment</x:v>
      </x:c>
      <x:c r="B21" s="1521" t="str">
        <x:v>コメントコード</x:v>
      </x:c>
      <x:c r="C21" s="1521" t="str">
        <x:v>comment_code</x:v>
      </x:c>
      <x:c r="D21" s="1521" t="str">
        <x:v>string</x:v>
      </x:c>
      <x:c r="E21" s="1521" t="str">
        <x:v>必須</x:v>
      </x:c>
      <x:c r="F21" s="1521" t="str">
        <x:v>GR-EOL-L3-01</x:v>
      </x:c>
      <x:c r="G21" s="1521" t="str">
        <x:v>承認済み文章部品</x:v>
      </x:c>
      <x:c r="H21" s="1521" t="str">
        <x:v>SYS-11</x:v>
      </x:c>
      <x:c r="I21" s="1521" t="str">
        <x:v>文章生成</x:v>
      </x:c>
      <x:c r="J21" s="1521" t="str">
        <x:v>承認済みのみ</x:v>
      </x:c>
      <x:c r="K21" s="1521" t="str">
        <x:v>コメントVersion</x:v>
      </x:c>
      <x:c r="L21" s="1521" t="str">
        <x:v>非該当</x:v>
      </x:c>
      <x:c r="M21" s="1521" t="str">
        <x:v>永久保持候補</x:v>
      </x:c>
      <x:c r="N21" s="1521" t="str">
        <x:v>使用履歴</x:v>
      </x:c>
      <x:c r="O21" s="1521" t="str">
        <x:v>GET</x:v>
      </x:c>
      <x:c r="P21" s="1522" t="str">
        <x:v>確定候補</x:v>
      </x:c>
    </x:row>
    <x:row r="22">
      <x:c r="A22" s="1520" t="str">
        <x:v>Report</x:v>
      </x:c>
      <x:c r="B22" s="1521" t="str">
        <x:v>レポートVersion</x:v>
      </x:c>
      <x:c r="C22" s="1521" t="str">
        <x:v>report_template_version</x:v>
      </x:c>
      <x:c r="D22" s="1521" t="str">
        <x:v>string</x:v>
      </x:c>
      <x:c r="E22" s="1521" t="str">
        <x:v>必須</x:v>
      </x:c>
      <x:c r="F22" s="1521" t="str">
        <x:v>A3-v0.6</x:v>
      </x:c>
      <x:c r="G22" s="1521" t="str">
        <x:v>A3レイアウトのVersion</x:v>
      </x:c>
      <x:c r="H22" s="1521" t="str">
        <x:v>SYS-14</x:v>
      </x:c>
      <x:c r="I22" s="1521" t="str">
        <x:v>PDF</x:v>
      </x:c>
      <x:c r="J22" s="1521" t="str">
        <x:v>定義値のみ</x:v>
      </x:c>
      <x:c r="K22" s="1521" t="str">
        <x:v>必須</x:v>
      </x:c>
      <x:c r="L22" s="1521" t="str">
        <x:v>非該当</x:v>
      </x:c>
      <x:c r="M22" s="1521" t="str">
        <x:v>7年候補</x:v>
      </x:c>
      <x:c r="N22" s="1521" t="str">
        <x:v>生成履歴</x:v>
      </x:c>
      <x:c r="O22" s="1521" t="str">
        <x:v>GET</x:v>
      </x:c>
      <x:c r="P22" s="1522" t="str">
        <x:v>確定候補</x:v>
      </x:c>
    </x:row>
    <x:row r="23">
      <x:c r="A23" s="1520" t="str">
        <x:v>Report</x:v>
      </x:c>
      <x:c r="B23" s="1521" t="str">
        <x:v>PDF URL</x:v>
      </x:c>
      <x:c r="C23" s="1521" t="str">
        <x:v>report_url</x:v>
      </x:c>
      <x:c r="D23" s="1521" t="str">
        <x:v>string</x:v>
      </x:c>
      <x:c r="E23" s="1521" t="str">
        <x:v>任意</x:v>
      </x:c>
      <x:c r="F23" s="1521" t="str">
        <x:v>secure-url</x:v>
      </x:c>
      <x:c r="G23" s="1521" t="str">
        <x:v>期間限定閲覧URL</x:v>
      </x:c>
      <x:c r="H23" s="1521" t="str">
        <x:v>SYS-14/15</x:v>
      </x:c>
      <x:c r="I23" s="1521" t="str">
        <x:v>SCR-11/12</x:v>
      </x:c>
      <x:c r="J23" s="1521" t="str">
        <x:v>署名付きURL</x:v>
      </x:c>
      <x:c r="K23" s="1521" t="str">
        <x:v>不要</x:v>
      </x:c>
      <x:c r="L23" s="1521" t="str">
        <x:v>該当可能</x:v>
      </x:c>
      <x:c r="M23" s="1521" t="str">
        <x:v>90日候補</x:v>
      </x:c>
      <x:c r="N23" s="1521" t="str">
        <x:v>発行・閲覧</x:v>
      </x:c>
      <x:c r="O23" s="1521" t="str">
        <x:v>GET</x:v>
      </x:c>
      <x:c r="P23" s="1522" t="str">
        <x:v>確定候補</x:v>
      </x:c>
    </x:row>
    <x:row r="24">
      <x:c r="A24" s="1520" t="str">
        <x:v>AuditLog</x:v>
      </x:c>
      <x:c r="B24" s="1521" t="str">
        <x:v>処理ID</x:v>
      </x:c>
      <x:c r="C24" s="1521" t="str">
        <x:v>process_id</x:v>
      </x:c>
      <x:c r="D24" s="1521" t="str">
        <x:v>string</x:v>
      </x:c>
      <x:c r="E24" s="1521" t="str">
        <x:v>必須</x:v>
      </x:c>
      <x:c r="F24" s="1521" t="str">
        <x:v>SYS-12</x:v>
      </x:c>
      <x:c r="G24" s="1521" t="str">
        <x:v>処理単位</x:v>
      </x:c>
      <x:c r="H24" s="1521" t="str">
        <x:v>全処理</x:v>
      </x:c>
      <x:c r="I24" s="1521" t="str">
        <x:v>管理画面</x:v>
      </x:c>
      <x:c r="J24" s="1521" t="str">
        <x:v>定義値のみ</x:v>
      </x:c>
      <x:c r="K24" s="1521" t="str">
        <x:v>処理Version</x:v>
      </x:c>
      <x:c r="L24" s="1521" t="str">
        <x:v>非該当</x:v>
      </x:c>
      <x:c r="M24" s="1521" t="str">
        <x:v>7年候補</x:v>
      </x:c>
      <x:c r="N24" s="1521" t="str">
        <x:v>必須</x:v>
      </x:c>
      <x:c r="O24" s="1521" t="str">
        <x:v>内部</x:v>
      </x:c>
      <x:c r="P24" s="1522" t="str">
        <x:v>確定候補</x:v>
      </x:c>
    </x:row>
    <x:row r="25">
      <x:c r="A25" s="1523" t="str">
        <x:v>AuditLog</x:v>
      </x:c>
      <x:c r="B25" s="1524" t="str">
        <x:v>入力・出力ハッシュ</x:v>
      </x:c>
      <x:c r="C25" s="1524" t="str">
        <x:v>io_hash</x:v>
      </x:c>
      <x:c r="D25" s="1524" t="str">
        <x:v>string</x:v>
      </x:c>
      <x:c r="E25" s="1524" t="str">
        <x:v>必須</x:v>
      </x:c>
      <x:c r="F25" s="1524" t="str">
        <x:v>sha256...</x:v>
      </x:c>
      <x:c r="G25" s="1524" t="str">
        <x:v>再現性と改ざん確認</x:v>
      </x:c>
      <x:c r="H25" s="1524" t="str">
        <x:v>全処理</x:v>
      </x:c>
      <x:c r="I25" s="1524" t="str">
        <x:v>監査</x:v>
      </x:c>
      <x:c r="J25" s="1524" t="str">
        <x:v>形式確認</x:v>
      </x:c>
      <x:c r="K25" s="1524" t="str">
        <x:v>必須</x:v>
      </x:c>
      <x:c r="L25" s="1524" t="str">
        <x:v>非該当</x:v>
      </x:c>
      <x:c r="M25" s="1524" t="str">
        <x:v>7年候補</x:v>
      </x:c>
      <x:c r="N25" s="1524" t="str">
        <x:v>必須</x:v>
      </x:c>
      <x:c r="O25" s="1524" t="str">
        <x:v>内部</x:v>
      </x:c>
      <x:c r="P25" s="1525" t="str">
        <x:v>確定候補</x:v>
      </x:c>
    </x:row>
  </x:sheetData>
  <x:mergeCells>
    <x:mergeCell ref="A1:P1"/>
    <x:mergeCell ref="A2:P2"/>
  </x:mergeCells>
  <x:pageMargins left="0.7" right="0.7" top="0.75" bottom="0.75" header="0.3" footer="0.3"/>
</x:worksheet>
</file>

<file path=xl/worksheets/sheet25.xml><?xml version="1.0" encoding="utf-8"?>
<x:worksheet xmlns:x="http://schemas.openxmlformats.org/spreadsheetml/2006/main">
  <x:sheetFormatPr defaultRowHeight="15"/>
  <x:cols>
    <x:col min="1" max="1" width="12" hidden="0" customWidth="1"/>
    <x:col min="2" max="2" width="18" hidden="0" customWidth="1"/>
    <x:col min="3" max="3" width="28" hidden="0" customWidth="1"/>
    <x:col min="4" max="4" width="30" hidden="0" customWidth="1"/>
    <x:col min="5" max="5" width="42" hidden="0" customWidth="1"/>
    <x:col min="6" max="6" width="10" hidden="0" customWidth="1"/>
    <x:col min="7" max="7" width="12" hidden="0" customWidth="1"/>
    <x:col min="8" max="8" width="24" hidden="0" customWidth="1"/>
    <x:col min="9" max="9" width="32" hidden="0" customWidth="1"/>
    <x:col min="10" max="10" width="22" hidden="0" customWidth="1"/>
    <x:col min="11" max="11" width="14" hidden="0" customWidth="1"/>
    <x:col min="12" max="12" width="14" hidden="0" customWidth="1"/>
    <x:col min="13" max="13" width="14" hidden="0" customWidth="1"/>
    <x:col min="14" max="14" width="24" hidden="0" customWidth="1"/>
  </x:cols>
  <x:sheetData>
    <x:row r="1" ht="28" customHeight="1">
      <x:c r="A1" s="1480" t="str">
        <x:v>24_受入テスト</x:v>
      </x:c>
      <x:c r="B1" s="1480"/>
      <x:c r="C1" s="1480"/>
      <x:c r="D1" s="1480"/>
      <x:c r="E1" s="1480"/>
      <x:c r="F1" s="1480"/>
      <x:c r="G1" s="1480"/>
      <x:c r="H1" s="1480"/>
      <x:c r="I1" s="1480"/>
      <x:c r="J1" s="1480"/>
      <x:c r="K1" s="1480"/>
      <x:c r="L1" s="1480"/>
      <x:c r="M1" s="1480"/>
      <x:c r="N1" s="1480"/>
    </x:row>
    <x:row r="2" ht="36" customHeight="1">
      <x:c r="A2" s="1483" t="str">
        <x:v>LP自己診断・採点・文章生成・A3レポートの開発受入条件を機能別に定義。</x:v>
      </x:c>
      <x:c r="B2" s="1483"/>
      <x:c r="C2" s="1483"/>
      <x:c r="D2" s="1483"/>
      <x:c r="E2" s="1483"/>
      <x:c r="F2" s="1483"/>
      <x:c r="G2" s="1483"/>
      <x:c r="H2" s="1483"/>
      <x:c r="I2" s="1483"/>
      <x:c r="J2" s="1483"/>
      <x:c r="K2" s="1483"/>
      <x:c r="L2" s="1483"/>
      <x:c r="M2" s="1483"/>
      <x:c r="N2" s="1483"/>
    </x:row>
    <x:row r="4" ht="38" customHeight="1">
      <x:c r="A4" s="1495" t="str">
        <x:v>テストID</x:v>
      </x:c>
      <x:c r="B4" s="1496" t="str">
        <x:v>対象</x:v>
      </x:c>
      <x:c r="C4" s="1496" t="str">
        <x:v>前提</x:v>
      </x:c>
      <x:c r="D4" s="1496" t="str">
        <x:v>操作・入力</x:v>
      </x:c>
      <x:c r="E4" s="1496" t="str">
        <x:v>期待結果</x:v>
      </x:c>
      <x:c r="F4" s="1496" t="str">
        <x:v>重要度</x:v>
      </x:c>
      <x:c r="G4" s="1496" t="str">
        <x:v>自動化</x:v>
      </x:c>
      <x:c r="H4" s="1496" t="str">
        <x:v>証跡</x:v>
      </x:c>
      <x:c r="I4" s="1496" t="str">
        <x:v>不合格条件</x:v>
      </x:c>
      <x:c r="J4" s="1496" t="str">
        <x:v>関連仕様</x:v>
      </x:c>
      <x:c r="K4" s="1496" t="str">
        <x:v>担当</x:v>
      </x:c>
      <x:c r="L4" s="1496" t="str">
        <x:v>実施結果</x:v>
      </x:c>
      <x:c r="M4" s="1496" t="str">
        <x:v>実施日</x:v>
      </x:c>
      <x:c r="N4" s="1497" t="str">
        <x:v>備考</x:v>
      </x:c>
    </x:row>
    <x:row r="5">
      <x:c r="A5" s="1517" t="str">
        <x:v>AT-001</x:v>
      </x:c>
      <x:c r="B5" s="1518" t="str">
        <x:v>途中保存</x:v>
      </x:c>
      <x:c r="C5" s="1518" t="str">
        <x:v>SCR-02で入力済み</x:v>
      </x:c>
      <x:c r="D5" s="1518" t="str">
        <x:v>画面を閉じ再開URLで開く</x:v>
      </x:c>
      <x:c r="E5" s="1518" t="str">
        <x:v>入力値と進捗が復元される</x:v>
      </x:c>
      <x:c r="F5" s="1518" t="str">
        <x:v>A</x:v>
      </x:c>
      <x:c r="G5" s="1518" t="str">
        <x:v>可</x:v>
      </x:c>
      <x:c r="H5" s="1518" t="str">
        <x:v>画面・DBログ</x:v>
      </x:c>
      <x:c r="I5" s="1518" t="str">
        <x:v>値欠落・他診断混入</x:v>
      </x:c>
      <x:c r="J5" s="1518" t="str">
        <x:v>20/SYS-01/02</x:v>
      </x:c>
      <x:c r="K5" s="1518" t="str">
        <x:v>開発</x:v>
      </x:c>
      <x:c r="L5" s="1518" t="str"/>
      <x:c r="M5" s="1518" t="str"/>
      <x:c r="N5" s="1519" t="str"/>
    </x:row>
    <x:row r="6">
      <x:c r="A6" s="1520" t="str">
        <x:v>AT-002</x:v>
      </x:c>
      <x:c r="B6" s="1521" t="str">
        <x:v>不明回答</x:v>
      </x:c>
      <x:c r="C6" s="1521" t="str">
        <x:v>Q106=UNKNOWN</x:v>
      </x:c>
      <x:c r="D6" s="1521" t="str">
        <x:v>診断実行</x:v>
      </x:c>
      <x:c r="E6" s="1521" t="str">
        <x:v>EOLを状態不良と断定せずL1不足コメントを表示</x:v>
      </x:c>
      <x:c r="F6" s="1521" t="str">
        <x:v>S</x:v>
      </x:c>
      <x:c r="G6" s="1521" t="str">
        <x:v>可</x:v>
      </x:c>
      <x:c r="H6" s="1521" t="str">
        <x:v>結果JSON・画面</x:v>
      </x:c>
      <x:c r="I6" s="1521" t="str">
        <x:v>EOL確認済み等の断定</x:v>
      </x:c>
      <x:c r="J6" s="1521" t="str">
        <x:v>09/14/15</x:v>
      </x:c>
      <x:c r="K6" s="1521" t="str">
        <x:v>QA</x:v>
      </x:c>
      <x:c r="L6" s="1521" t="str"/>
      <x:c r="M6" s="1521" t="str"/>
      <x:c r="N6" s="1522" t="str"/>
    </x:row>
    <x:row r="7">
      <x:c r="A7" s="1520" t="str">
        <x:v>AT-003</x:v>
      </x:c>
      <x:c r="B7" s="1521" t="str">
        <x:v>Evidence切替</x:v>
      </x:c>
      <x:c r="C7" s="1521" t="str">
        <x:v>Q106=YES、メーカー回答添付</x:v>
      </x:c>
      <x:c r="D7" s="1521" t="str">
        <x:v>診断実行</x:v>
      </x:c>
      <x:c r="E7" s="1521" t="str">
        <x:v>GR-EOL-L3-01を選択し信頼度が上昇</x:v>
      </x:c>
      <x:c r="F7" s="1521" t="str">
        <x:v>S</x:v>
      </x:c>
      <x:c r="G7" s="1521" t="str">
        <x:v>可</x:v>
      </x:c>
      <x:c r="H7" s="1521" t="str">
        <x:v>使用コード・スコア</x:v>
      </x:c>
      <x:c r="I7" s="1521" t="str">
        <x:v>L2/L1のまま、無根拠L3</x:v>
      </x:c>
      <x:c r="J7" s="1521" t="str">
        <x:v>05/07/14</x:v>
      </x:c>
      <x:c r="K7" s="1521" t="str">
        <x:v>QA</x:v>
      </x:c>
      <x:c r="L7" s="1521" t="str"/>
      <x:c r="M7" s="1521" t="str"/>
      <x:c r="N7" s="1522" t="str"/>
    </x:row>
    <x:row r="8">
      <x:c r="A8" s="1520" t="str">
        <x:v>AT-004</x:v>
      </x:c>
      <x:c r="B8" s="1521" t="str">
        <x:v>L0矛盾</x:v>
      </x:c>
      <x:c r="C8" s="1521" t="str">
        <x:v>Q106=YES、資料は保守継続</x:v>
      </x:c>
      <x:c r="D8" s="1521" t="str">
        <x:v>診断実行</x:v>
      </x:c>
      <x:c r="E8" s="1521" t="str">
        <x:v>EOL判定停止、L0警告、通常TOP5から除外</x:v>
      </x:c>
      <x:c r="F8" s="1521" t="str">
        <x:v>S</x:v>
      </x:c>
      <x:c r="G8" s="1521" t="str">
        <x:v>可</x:v>
      </x:c>
      <x:c r="H8" s="1521" t="str">
        <x:v>整合性ログ</x:v>
      </x:c>
      <x:c r="I8" s="1521" t="str">
        <x:v>一方を自動採用して断定</x:v>
      </x:c>
      <x:c r="J8" s="1521" t="str">
        <x:v>06/13/14</x:v>
      </x:c>
      <x:c r="K8" s="1521" t="str">
        <x:v>QA</x:v>
      </x:c>
      <x:c r="L8" s="1521" t="str"/>
      <x:c r="M8" s="1521" t="str"/>
      <x:c r="N8" s="1522" t="str"/>
    </x:row>
    <x:row r="9">
      <x:c r="A9" s="1520" t="str">
        <x:v>AT-005</x:v>
      </x:c>
      <x:c r="B9" s="1521" t="str">
        <x:v>Guardrail順位</x:v>
      </x:c>
      <x:c r="C9" s="1521" t="str">
        <x:v>安全S、EOL A、期限Aを同時発動</x:v>
      </x:c>
      <x:c r="D9" s="1521" t="str">
        <x:v>結果表示</x:v>
      </x:c>
      <x:c r="E9" s="1521" t="str">
        <x:v>安全が1位、上位3件が表示</x:v>
      </x:c>
      <x:c r="F9" s="1521" t="str">
        <x:v>S</x:v>
      </x:c>
      <x:c r="G9" s="1521" t="str">
        <x:v>可</x:v>
      </x:c>
      <x:c r="H9" s="1521" t="str">
        <x:v>Priority Score</x:v>
      </x:c>
      <x:c r="I9" s="1521" t="str">
        <x:v>基礎順位と異なる</x:v>
      </x:c>
      <x:c r="J9" s="1521" t="str">
        <x:v>04/13</x:v>
      </x:c>
      <x:c r="K9" s="1521" t="str">
        <x:v>QA</x:v>
      </x:c>
      <x:c r="L9" s="1521" t="str"/>
      <x:c r="M9" s="1521" t="str"/>
      <x:c r="N9" s="1522" t="str"/>
    </x:row>
    <x:row r="10">
      <x:c r="A10" s="1520" t="str">
        <x:v>AT-006</x:v>
      </x:c>
      <x:c r="B10" s="1521" t="str">
        <x:v>TOP5重複統合</x:v>
      </x:c>
      <x:c r="C10" s="1521" t="str">
        <x:v>EOL・予備品なし・復旧長期化</x:v>
      </x:c>
      <x:c r="D10" s="1521" t="str">
        <x:v>診断実行</x:v>
      </x:c>
      <x:c r="E10" s="1521" t="str">
        <x:v>『EOL・復旧リスク』1件へ統合</x:v>
      </x:c>
      <x:c r="F10" s="1521" t="str">
        <x:v>A</x:v>
      </x:c>
      <x:c r="G10" s="1521" t="str">
        <x:v>可</x:v>
      </x:c>
      <x:c r="H10" s="1521" t="str">
        <x:v>課題生成ログ</x:v>
      </x:c>
      <x:c r="I10" s="1521" t="str">
        <x:v>3件へ重複表示</x:v>
      </x:c>
      <x:c r="J10" s="1521" t="str">
        <x:v>13/15</x:v>
      </x:c>
      <x:c r="K10" s="1521" t="str">
        <x:v>QA</x:v>
      </x:c>
      <x:c r="L10" s="1521" t="str"/>
      <x:c r="M10" s="1521" t="str"/>
      <x:c r="N10" s="1522" t="str"/>
    </x:row>
    <x:row r="11">
      <x:c r="A11" s="1520" t="str">
        <x:v>AT-007</x:v>
      </x:c>
      <x:c r="B11" s="1521" t="str">
        <x:v>分野上限</x:v>
      </x:c>
      <x:c r="C11" s="1521" t="str">
        <x:v>設備課題7件、他分野2件</x:v>
      </x:c>
      <x:c r="D11" s="1521" t="str">
        <x:v>診断実行</x:v>
      </x:c>
      <x:c r="E11" s="1521" t="str">
        <x:v>安全Sを除き同一分野最大2件</x:v>
      </x:c>
      <x:c r="F11" s="1521" t="str">
        <x:v>A</x:v>
      </x:c>
      <x:c r="G11" s="1521" t="str">
        <x:v>可</x:v>
      </x:c>
      <x:c r="H11" s="1521" t="str">
        <x:v>TOP5一覧</x:v>
      </x:c>
      <x:c r="I11" s="1521" t="str">
        <x:v>設備だけで5件占有</x:v>
      </x:c>
      <x:c r="J11" s="1521" t="str">
        <x:v>13</x:v>
      </x:c>
      <x:c r="K11" s="1521" t="str">
        <x:v>QA</x:v>
      </x:c>
      <x:c r="L11" s="1521" t="str"/>
      <x:c r="M11" s="1521" t="str"/>
      <x:c r="N11" s="1522" t="str"/>
    </x:row>
    <x:row r="12">
      <x:c r="A12" s="1520" t="str">
        <x:v>AT-008</x:v>
      </x:c>
      <x:c r="B12" s="1521" t="str">
        <x:v>低充足率</x:v>
      </x:c>
      <x:c r="C12" s="1521" t="str">
        <x:v>必須質問の40%のみ有効</x:v>
      </x:c>
      <x:c r="D12" s="1521" t="str">
        <x:v>診断実行</x:v>
      </x:c>
      <x:c r="E12" s="1521" t="str">
        <x:v>KPIを参考値表示、総合所見は確認行動中心</x:v>
      </x:c>
      <x:c r="F12" s="1521" t="str">
        <x:v>S</x:v>
      </x:c>
      <x:c r="G12" s="1521" t="str">
        <x:v>可</x:v>
      </x:c>
      <x:c r="H12" s="1521" t="str">
        <x:v>COMP・画面</x:v>
      </x:c>
      <x:c r="I12" s="1521" t="str">
        <x:v>通常の断定レポートを出力</x:v>
      </x:c>
      <x:c r="J12" s="1521" t="str">
        <x:v>13/14</x:v>
      </x:c>
      <x:c r="K12" s="1521" t="str">
        <x:v>QA</x:v>
      </x:c>
      <x:c r="L12" s="1521" t="str"/>
      <x:c r="M12" s="1521" t="str"/>
      <x:c r="N12" s="1522" t="str"/>
    </x:row>
    <x:row r="13">
      <x:c r="A13" s="1520" t="str">
        <x:v>AT-009</x:v>
      </x:c>
      <x:c r="B13" s="1521" t="str">
        <x:v>AI断定統制</x:v>
      </x:c>
      <x:c r="C13" s="1521" t="str">
        <x:v>L2コメント部品を入力</x:v>
      </x:c>
      <x:c r="D13" s="1521" t="str">
        <x:v>文章生成</x:v>
      </x:c>
      <x:c r="E13" s="1521" t="str">
        <x:v>『可能性があります』等を維持</x:v>
      </x:c>
      <x:c r="F13" s="1521" t="str">
        <x:v>S</x:v>
      </x:c>
      <x:c r="G13" s="1521" t="str">
        <x:v>可</x:v>
      </x:c>
      <x:c r="H13" s="1521" t="str">
        <x:v>生成前後比較</x:v>
      </x:c>
      <x:c r="I13" s="1521" t="str">
        <x:v>『確認されています』へ強化</x:v>
      </x:c>
      <x:c r="J13" s="1521" t="str">
        <x:v>07/09/14</x:v>
      </x:c>
      <x:c r="K13" s="1521" t="str">
        <x:v>QA</x:v>
      </x:c>
      <x:c r="L13" s="1521" t="str"/>
      <x:c r="M13" s="1521" t="str"/>
      <x:c r="N13" s="1522" t="str"/>
    </x:row>
    <x:row r="14">
      <x:c r="A14" s="1520" t="str">
        <x:v>AT-010</x:v>
      </x:c>
      <x:c r="B14" s="1521" t="str">
        <x:v>AI創作防止</x:v>
      </x:c>
      <x:c r="C14" s="1521" t="str">
        <x:v>見積なし</x:v>
      </x:c>
      <x:c r="D14" s="1521" t="str">
        <x:v>文章生成</x:v>
      </x:c>
      <x:c r="E14" s="1521" t="str">
        <x:v>金額・製品名・故障時期を追加しない</x:v>
      </x:c>
      <x:c r="F14" s="1521" t="str">
        <x:v>S</x:v>
      </x:c>
      <x:c r="G14" s="1521" t="str">
        <x:v>可</x:v>
      </x:c>
      <x:c r="H14" s="1521" t="str">
        <x:v>生成文・検査ログ</x:v>
      </x:c>
      <x:c r="I14" s="1521" t="str">
        <x:v>未入力数値等を生成</x:v>
      </x:c>
      <x:c r="J14" s="1521" t="str">
        <x:v>14/SYS-12/13</x:v>
      </x:c>
      <x:c r="K14" s="1521" t="str">
        <x:v>QA</x:v>
      </x:c>
      <x:c r="L14" s="1521" t="str"/>
      <x:c r="M14" s="1521" t="str"/>
      <x:c r="N14" s="1522" t="str"/>
    </x:row>
    <x:row r="15">
      <x:c r="A15" s="1520" t="str">
        <x:v>AT-011</x:v>
      </x:c>
      <x:c r="B15" s="1521" t="str">
        <x:v>A3 P1文字量</x:v>
      </x:c>
      <x:c r="C15" s="1521" t="str">
        <x:v>Guardrail3件、TOP5件</x:v>
      </x:c>
      <x:c r="D15" s="1521" t="str">
        <x:v>レポート生成</x:v>
      </x:c>
      <x:c r="E15" s="1521" t="str">
        <x:v>全要素が2ページ内に収まり読める</x:v>
      </x:c>
      <x:c r="F15" s="1521" t="str">
        <x:v>A</x:v>
      </x:c>
      <x:c r="G15" s="1521" t="str">
        <x:v>一部</x:v>
      </x:c>
      <x:c r="H15" s="1521" t="str">
        <x:v>PDF・画像</x:v>
      </x:c>
      <x:c r="I15" s="1521" t="str">
        <x:v>文字切れ・重なり・3ページ化</x:v>
      </x:c>
      <x:c r="J15" s="1521" t="str">
        <x:v>18/19</x:v>
      </x:c>
      <x:c r="K15" s="1521" t="str">
        <x:v>デザイン</x:v>
      </x:c>
      <x:c r="L15" s="1521" t="str"/>
      <x:c r="M15" s="1521" t="str"/>
      <x:c r="N15" s="1522" t="str"/>
    </x:row>
    <x:row r="16">
      <x:c r="A16" s="1520" t="str">
        <x:v>AT-012</x:v>
      </x:c>
      <x:c r="B16" s="1521" t="str">
        <x:v>A3 P2低信頼度</x:v>
      </x:c>
      <x:c r="C16" s="1521" t="str">
        <x:v>CONF=35、COMP=45</x:v>
      </x:c>
      <x:c r="D16" s="1521" t="str">
        <x:v>レポート生成</x:v>
      </x:c>
      <x:c r="E16" s="1521" t="str">
        <x:v>判定保留・参考値・不足情報を強調</x:v>
      </x:c>
      <x:c r="F16" s="1521" t="str">
        <x:v>S</x:v>
      </x:c>
      <x:c r="G16" s="1521" t="str">
        <x:v>可</x:v>
      </x:c>
      <x:c r="H16" s="1521" t="str">
        <x:v>PDF・結果JSON</x:v>
      </x:c>
      <x:c r="I16" s="1521" t="str">
        <x:v>正式推奨を表示</x:v>
      </x:c>
      <x:c r="J16" s="1521" t="str">
        <x:v>14/19</x:v>
      </x:c>
      <x:c r="K16" s="1521" t="str">
        <x:v>QA</x:v>
      </x:c>
      <x:c r="L16" s="1521" t="str"/>
      <x:c r="M16" s="1521" t="str"/>
      <x:c r="N16" s="1522" t="str"/>
    </x:row>
    <x:row r="17">
      <x:c r="A17" s="1520" t="str">
        <x:v>AT-013</x:v>
      </x:c>
      <x:c r="B17" s="1521" t="str">
        <x:v>PDF送付</x:v>
      </x:c>
      <x:c r="C17" s="1521" t="str">
        <x:v>有効メール入力</x:v>
      </x:c>
      <x:c r="D17" s="1521" t="str">
        <x:v>PDF取得</x:v>
      </x:c>
      <x:c r="E17" s="1521" t="str">
        <x:v>送付成功・期限付きURL発行・ログ記録</x:v>
      </x:c>
      <x:c r="F17" s="1521" t="str">
        <x:v>A</x:v>
      </x:c>
      <x:c r="G17" s="1521" t="str">
        <x:v>可</x:v>
      </x:c>
      <x:c r="H17" s="1521" t="str">
        <x:v>メール・ログ</x:v>
      </x:c>
      <x:c r="I17" s="1521" t="str">
        <x:v>誤宛先・認証なしURL</x:v>
      </x:c>
      <x:c r="J17" s="1521" t="str">
        <x:v>20/23/SYS-15</x:v>
      </x:c>
      <x:c r="K17" s="1521" t="str">
        <x:v>開発</x:v>
      </x:c>
      <x:c r="L17" s="1521" t="str"/>
      <x:c r="M17" s="1521" t="str"/>
      <x:c r="N17" s="1522" t="str"/>
    </x:row>
    <x:row r="18">
      <x:c r="A18" s="1520" t="str">
        <x:v>AT-014</x:v>
      </x:c>
      <x:c r="B18" s="1521" t="str">
        <x:v>相談連携</x:v>
      </x:c>
      <x:c r="C18" s="1521" t="str">
        <x:v>診断後に相談申込</x:v>
      </x:c>
      <x:c r="D18" s="1521" t="str">
        <x:v>送信</x:v>
      </x:c>
      <x:c r="E18" s="1521" t="str">
        <x:v>診断ID、主要課題、連絡先がCRM等へ連携</x:v>
      </x:c>
      <x:c r="F18" s="1521" t="str">
        <x:v>A</x:v>
      </x:c>
      <x:c r="G18" s="1521" t="str">
        <x:v>可</x:v>
      </x:c>
      <x:c r="H18" s="1521" t="str">
        <x:v>連携ログ</x:v>
      </x:c>
      <x:c r="I18" s="1521" t="str">
        <x:v>診断結果と紐付かない</x:v>
      </x:c>
      <x:c r="J18" s="1521" t="str">
        <x:v>20/23</x:v>
      </x:c>
      <x:c r="K18" s="1521" t="str">
        <x:v>開発</x:v>
      </x:c>
      <x:c r="L18" s="1521" t="str"/>
      <x:c r="M18" s="1521" t="str"/>
      <x:c r="N18" s="1522" t="str"/>
    </x:row>
    <x:row r="19">
      <x:c r="A19" s="1523" t="str">
        <x:v>AT-015</x:v>
      </x:c>
      <x:c r="B19" s="1524" t="str">
        <x:v>Version再現性</x:v>
      </x:c>
      <x:c r="C19" s="1524" t="str">
        <x:v>同一入力・同一Version</x:v>
      </x:c>
      <x:c r="D19" s="1524" t="str">
        <x:v>再診断</x:v>
      </x:c>
      <x:c r="E19" s="1524" t="str">
        <x:v>同一スコア・コード・文章部品を再現</x:v>
      </x:c>
      <x:c r="F19" s="1524" t="str">
        <x:v>S</x:v>
      </x:c>
      <x:c r="G19" s="1524" t="str">
        <x:v>可</x:v>
      </x:c>
      <x:c r="H19" s="1524" t="str">
        <x:v>ハッシュ・Version</x:v>
      </x:c>
      <x:c r="I19" s="1524" t="str">
        <x:v>結果が不定</x:v>
      </x:c>
      <x:c r="J19" s="1524" t="str">
        <x:v>23</x:v>
      </x:c>
      <x:c r="K19" s="1524" t="str">
        <x:v>QA</x:v>
      </x:c>
      <x:c r="L19" s="1524" t="str"/>
      <x:c r="M19" s="1524" t="str"/>
      <x:c r="N19" s="1525" t="str"/>
    </x:row>
  </x:sheetData>
  <x:mergeCells>
    <x:mergeCell ref="A1:N1"/>
    <x:mergeCell ref="A2:N2"/>
  </x:mergeCells>
  <x:dataValidations count="2">
    <x:dataValidation type="list" sqref="F5:F19">
      <x:formula1>"S,A,B,C"</x:formula1>
    </x:dataValidation>
    <x:dataValidation type="list" sqref="L5:L19">
      <x:formula1>"未実施,合格,条件付き合格,不合格"</x:formula1>
    </x:dataValidation>
  </x:dataValidations>
  <x:pageMargins left="0.7" right="0.7" top="0.75" bottom="0.75" header="0.3" footer="0.3"/>
</x:worksheet>
</file>

<file path=xl/worksheets/sheet26.xml><?xml version="1.0" encoding="utf-8"?>
<x:worksheet xmlns:x="http://schemas.openxmlformats.org/spreadsheetml/2006/main">
  <x:sheetFormatPr defaultRowHeight="15"/>
  <x:cols>
    <x:col min="1" max="1" width="12" hidden="0" customWidth="1"/>
    <x:col min="2" max="2" width="16" hidden="0" customWidth="1"/>
    <x:col min="3" max="3" width="22" hidden="0" customWidth="1"/>
    <x:col min="4" max="4" width="44" hidden="0" customWidth="1"/>
    <x:col min="5" max="5" width="10" hidden="0" customWidth="1"/>
    <x:col min="6" max="6" width="16" hidden="0" customWidth="1"/>
    <x:col min="7" max="7" width="24" hidden="0" customWidth="1"/>
    <x:col min="8" max="8" width="20" hidden="0" customWidth="1"/>
    <x:col min="9" max="9" width="12" hidden="0" customWidth="1"/>
    <x:col min="10" max="10" width="28" hidden="0" customWidth="1"/>
    <x:col min="11" max="11" width="38" hidden="0" customWidth="1"/>
    <x:col min="12" max="12" width="20" hidden="0" customWidth="1"/>
    <x:col min="13" max="13" width="18" hidden="0" customWidth="1"/>
    <x:col min="14" max="14" width="24" hidden="0" customWidth="1"/>
  </x:cols>
  <x:sheetData>
    <x:row r="1" ht="28" customHeight="1">
      <x:c r="A1" s="1551" t="str">
        <x:v>25_RFP回答様式</x:v>
      </x:c>
      <x:c r="B1" s="1551"/>
      <x:c r="C1" s="1551"/>
      <x:c r="D1" s="1551"/>
      <x:c r="E1" s="1551"/>
      <x:c r="F1" s="1551"/>
      <x:c r="G1" s="1551"/>
      <x:c r="H1" s="1551"/>
      <x:c r="I1" s="1551"/>
      <x:c r="J1" s="1551"/>
      <x:c r="K1" s="1551"/>
      <x:c r="L1" s="1551"/>
      <x:c r="M1" s="1551"/>
      <x:c r="N1" s="1551"/>
    </x:row>
    <x:row r="2" ht="36" customHeight="1">
      <x:c r="A2" s="1554" t="str">
        <x:v>開発会社が提案書へ記載すべき回答項目を統一し、比較可能な状態にする。</x:v>
      </x:c>
      <x:c r="B2" s="1554"/>
      <x:c r="C2" s="1554"/>
      <x:c r="D2" s="1554"/>
      <x:c r="E2" s="1554"/>
      <x:c r="F2" s="1554"/>
      <x:c r="G2" s="1554"/>
      <x:c r="H2" s="1554"/>
      <x:c r="I2" s="1554"/>
      <x:c r="J2" s="1554"/>
      <x:c r="K2" s="1554"/>
      <x:c r="L2" s="1554"/>
      <x:c r="M2" s="1554"/>
      <x:c r="N2" s="1554"/>
    </x:row>
    <x:row r="4" ht="38" customHeight="1">
      <x:c r="A4" s="1566" t="str">
        <x:v>回答ID</x:v>
      </x:c>
      <x:c r="B4" s="1567" t="str">
        <x:v>大分類</x:v>
      </x:c>
      <x:c r="C4" s="1567" t="str">
        <x:v>回答項目</x:v>
      </x:c>
      <x:c r="D4" s="1567" t="str">
        <x:v>回答依頼内容</x:v>
      </x:c>
      <x:c r="E4" s="1567" t="str">
        <x:v>必須</x:v>
      </x:c>
      <x:c r="F4" s="1567" t="str">
        <x:v>回答形式</x:v>
      </x:c>
      <x:c r="G4" s="1567" t="str">
        <x:v>文字数・粒度</x:v>
      </x:c>
      <x:c r="H4" s="1567" t="str">
        <x:v>関連要件</x:v>
      </x:c>
      <x:c r="I4" s="1567" t="str">
        <x:v>評価対象</x:v>
      </x:c>
      <x:c r="J4" s="1567" t="str">
        <x:v>確認質問</x:v>
      </x:c>
      <x:c r="K4" s="1567" t="str">
        <x:v>回答欄</x:v>
      </x:c>
      <x:c r="L4" s="1567" t="str">
        <x:v>添付資料</x:v>
      </x:c>
      <x:c r="M4" s="1567" t="str">
        <x:v>提案会社</x:v>
      </x:c>
      <x:c r="N4" s="1568" t="str">
        <x:v>備考</x:v>
      </x:c>
    </x:row>
    <x:row r="5">
      <x:c r="A5" s="1585" t="str">
        <x:v>RFP-001</x:v>
      </x:c>
      <x:c r="B5" s="1586" t="str">
        <x:v>会社情報</x:v>
      </x:c>
      <x:c r="C5" s="1586" t="str">
        <x:v>会社概要</x:v>
      </x:c>
      <x:c r="D5" s="1586" t="str">
        <x:v>設立、所在地、従業員数、主要事業を記載</x:v>
      </x:c>
      <x:c r="E5" s="1586" t="str">
        <x:v>必須</x:v>
      </x:c>
      <x:c r="F5" s="1586" t="str">
        <x:v>文章</x:v>
      </x:c>
      <x:c r="G5" s="1586" t="str">
        <x:v>A4 1ページ以内</x:v>
      </x:c>
      <x:c r="H5" s="1586" t="str">
        <x:v>RFP全体</x:v>
      </x:c>
      <x:c r="I5" s="1586" t="str">
        <x:v>いいえ</x:v>
      </x:c>
      <x:c r="J5" s="1586" t="str">
        <x:v>なし</x:v>
      </x:c>
      <x:c r="K5" s="1586" t="str"/>
      <x:c r="L5" s="1586" t="str">
        <x:v>会社案内</x:v>
      </x:c>
      <x:c r="M5" s="1586" t="str"/>
      <x:c r="N5" s="1587" t="str"/>
    </x:row>
    <x:row r="6">
      <x:c r="A6" s="1588" t="str">
        <x:v>RFP-002</x:v>
      </x:c>
      <x:c r="B6" s="1521" t="str">
        <x:v>実績</x:v>
      </x:c>
      <x:c r="C6" s="1521" t="str">
        <x:v>類似開発実績</x:v>
      </x:c>
      <x:c r="D6" s="1521" t="str">
        <x:v>診断、アンケート、帳票、AI文章生成、設備保全等の類似案件を最大5件記載</x:v>
      </x:c>
      <x:c r="E6" s="1521" t="str">
        <x:v>必須</x:v>
      </x:c>
      <x:c r="F6" s="1521" t="str">
        <x:v>表</x:v>
      </x:c>
      <x:c r="G6" s="1521" t="str">
        <x:v>案件名、規模、期間、役割、成果</x:v>
      </x:c>
      <x:c r="H6" s="1521" t="str">
        <x:v>20～24</x:v>
      </x:c>
      <x:c r="I6" s="1521" t="str">
        <x:v>はい</x:v>
      </x:c>
      <x:c r="J6" s="1521" t="str">
        <x:v>守秘義務上開示可能な範囲を確認</x:v>
      </x:c>
      <x:c r="K6" s="1521" t="str"/>
      <x:c r="L6" s="1521" t="str">
        <x:v>実績一覧</x:v>
      </x:c>
      <x:c r="M6" s="1521" t="str"/>
      <x:c r="N6" s="1589" t="str"/>
    </x:row>
    <x:row r="7">
      <x:c r="A7" s="1588" t="str">
        <x:v>RFP-003</x:v>
      </x:c>
      <x:c r="B7" s="1521" t="str">
        <x:v>体制</x:v>
      </x:c>
      <x:c r="C7" s="1521" t="str">
        <x:v>プロジェクト体制</x:v>
      </x:c>
      <x:c r="D7" s="1521" t="str">
        <x:v>PM、要件、UI、バックエンド、AI、QA、運用担当を記載</x:v>
      </x:c>
      <x:c r="E7" s="1521" t="str">
        <x:v>必須</x:v>
      </x:c>
      <x:c r="F7" s="1521" t="str">
        <x:v>体制図</x:v>
      </x:c>
      <x:c r="G7" s="1521" t="str">
        <x:v>氏名または役割、稼働率</x:v>
      </x:c>
      <x:c r="H7" s="1521" t="str">
        <x:v>22</x:v>
      </x:c>
      <x:c r="I7" s="1521" t="str">
        <x:v>はい</x:v>
      </x:c>
      <x:c r="J7" s="1521" t="str">
        <x:v>兼任範囲と代替要員を確認</x:v>
      </x:c>
      <x:c r="K7" s="1521" t="str"/>
      <x:c r="L7" s="1521" t="str">
        <x:v>体制図</x:v>
      </x:c>
      <x:c r="M7" s="1521" t="str"/>
      <x:c r="N7" s="1589" t="str"/>
    </x:row>
    <x:row r="8">
      <x:c r="A8" s="1588" t="str">
        <x:v>RFP-004</x:v>
      </x:c>
      <x:c r="B8" s="1521" t="str">
        <x:v>方式</x:v>
      </x:c>
      <x:c r="C8" s="1521" t="str">
        <x:v>全体アーキテクチャ</x:v>
      </x:c>
      <x:c r="D8" s="1521" t="str">
        <x:v>フロント、API、DB、ストレージ、AI、PDF生成、監査ログの構成を提示</x:v>
      </x:c>
      <x:c r="E8" s="1521" t="str">
        <x:v>必須</x:v>
      </x:c>
      <x:c r="F8" s="1521" t="str">
        <x:v>構成図＋文章</x:v>
      </x:c>
      <x:c r="G8" s="1521" t="str">
        <x:v>A3 1枚＋説明</x:v>
      </x:c>
      <x:c r="H8" s="1521" t="str">
        <x:v>22/23</x:v>
      </x:c>
      <x:c r="I8" s="1521" t="str">
        <x:v>はい</x:v>
      </x:c>
      <x:c r="J8" s="1521" t="str">
        <x:v>クラウドサービス依存を確認</x:v>
      </x:c>
      <x:c r="K8" s="1521" t="str"/>
      <x:c r="L8" s="1521" t="str">
        <x:v>システム構成図</x:v>
      </x:c>
      <x:c r="M8" s="1521" t="str"/>
      <x:c r="N8" s="1589" t="str"/>
    </x:row>
    <x:row r="9">
      <x:c r="A9" s="1588" t="str">
        <x:v>RFP-005</x:v>
      </x:c>
      <x:c r="B9" s="1521" t="str">
        <x:v>ルールエンジン</x:v>
      </x:c>
      <x:c r="C9" s="1521" t="str">
        <x:v>採点・判定実装</x:v>
      </x:c>
      <x:c r="D9" s="1521" t="str">
        <x:v>EDI、DRI、EPI、Guardrail、TOP5、L0～L3をVersion管理可能にする方法を記載</x:v>
      </x:c>
      <x:c r="E9" s="1521" t="str">
        <x:v>必須</x:v>
      </x:c>
      <x:c r="F9" s="1521" t="str">
        <x:v>文章＋図</x:v>
      </x:c>
      <x:c r="G9" s="1521" t="str">
        <x:v>具体的な更新方法を含む</x:v>
      </x:c>
      <x:c r="H9" s="1521" t="str">
        <x:v>03/04/06/09/13</x:v>
      </x:c>
      <x:c r="I9" s="1521" t="str">
        <x:v>はい</x:v>
      </x:c>
      <x:c r="J9" s="1521" t="str">
        <x:v>コード改修なしで更新可能か</x:v>
      </x:c>
      <x:c r="K9" s="1521" t="str"/>
      <x:c r="L9" s="1521" t="str"/>
      <x:c r="M9" s="1521" t="str"/>
      <x:c r="N9" s="1589" t="str"/>
    </x:row>
    <x:row r="10">
      <x:c r="A10" s="1588" t="str">
        <x:v>RFP-006</x:v>
      </x:c>
      <x:c r="B10" s="1521" t="str">
        <x:v>AI</x:v>
      </x:c>
      <x:c r="C10" s="1521" t="str">
        <x:v>AI文章生成方式</x:v>
      </x:c>
      <x:c r="D10" s="1521" t="str">
        <x:v>承認済みコメントのみを使い、診断・優先度変更をさせない制御方法を記載</x:v>
      </x:c>
      <x:c r="E10" s="1521" t="str">
        <x:v>必須</x:v>
      </x:c>
      <x:c r="F10" s="1521" t="str">
        <x:v>文章＋処理図</x:v>
      </x:c>
      <x:c r="G10" s="1521" t="str">
        <x:v>プロンプト、検査、フォールバック</x:v>
      </x:c>
      <x:c r="H10" s="1521" t="str">
        <x:v>07/14/22</x:v>
      </x:c>
      <x:c r="I10" s="1521" t="str">
        <x:v>はい</x:v>
      </x:c>
      <x:c r="J10" s="1521" t="str">
        <x:v>使用モデル・データ利用条件</x:v>
      </x:c>
      <x:c r="K10" s="1521" t="str"/>
      <x:c r="L10" s="1521" t="str">
        <x:v>AI処理仕様</x:v>
      </x:c>
      <x:c r="M10" s="1521" t="str"/>
      <x:c r="N10" s="1589" t="str"/>
    </x:row>
    <x:row r="11">
      <x:c r="A11" s="1588" t="str">
        <x:v>RFP-007</x:v>
      </x:c>
      <x:c r="B11" s="1521" t="str">
        <x:v>Evidence</x:v>
      </x:c>
      <x:c r="C11" s="1521" t="str">
        <x:v>ファイル管理・品質判定</x:v>
      </x:c>
      <x:c r="D11" s="1521" t="str">
        <x:v>写真、図面、報告書の保管、紐付け、メタデータ、ウイルス対策を記載</x:v>
      </x:c>
      <x:c r="E11" s="1521" t="str">
        <x:v>必須</x:v>
      </x:c>
      <x:c r="F11" s="1521" t="str">
        <x:v>文章</x:v>
      </x:c>
      <x:c r="G11" s="1521" t="str">
        <x:v>保存先と権限を含む</x:v>
      </x:c>
      <x:c r="H11" s="1521" t="str">
        <x:v>05/21/23</x:v>
      </x:c>
      <x:c r="I11" s="1521" t="str">
        <x:v>はい</x:v>
      </x:c>
      <x:c r="J11" s="1521" t="str">
        <x:v>OCR・自動分類の範囲</x:v>
      </x:c>
      <x:c r="K11" s="1521" t="str"/>
      <x:c r="L11" s="1521" t="str"/>
      <x:c r="M11" s="1521" t="str"/>
      <x:c r="N11" s="1589" t="str"/>
    </x:row>
    <x:row r="12">
      <x:c r="A12" s="1588" t="str">
        <x:v>RFP-008</x:v>
      </x:c>
      <x:c r="B12" s="1521" t="str">
        <x:v>帳票</x:v>
      </x:c>
      <x:c r="C12" s="1521" t="str">
        <x:v>A3レポート生成</x:v>
      </x:c>
      <x:c r="D12" s="1521" t="str">
        <x:v>18・19シート相当のA3横2ページをPDF生成する方式を記載</x:v>
      </x:c>
      <x:c r="E12" s="1521" t="str">
        <x:v>必須</x:v>
      </x:c>
      <x:c r="F12" s="1521" t="str">
        <x:v>サンプル</x:v>
      </x:c>
      <x:c r="G12" s="1521" t="str">
        <x:v>文字超過・改ページ対応を含む</x:v>
      </x:c>
      <x:c r="H12" s="1521" t="str">
        <x:v>18/19/22</x:v>
      </x:c>
      <x:c r="I12" s="1521" t="str">
        <x:v>はい</x:v>
      </x:c>
      <x:c r="J12" s="1521" t="str">
        <x:v>PDFエンジンと日本語フォント</x:v>
      </x:c>
      <x:c r="K12" s="1521" t="str"/>
      <x:c r="L12" s="1521" t="str">
        <x:v>帳票サンプル</x:v>
      </x:c>
      <x:c r="M12" s="1521" t="str"/>
      <x:c r="N12" s="1589" t="str"/>
    </x:row>
    <x:row r="13">
      <x:c r="A13" s="1588" t="str">
        <x:v>RFP-009</x:v>
      </x:c>
      <x:c r="B13" s="1521" t="str">
        <x:v>セキュリティ</x:v>
      </x:c>
      <x:c r="C13" s="1521" t="str">
        <x:v>セキュリティ設計</x:v>
      </x:c>
      <x:c r="D13" s="1521" t="str">
        <x:v>認証、暗号化、アクセス制御、ログ、バックアップ、脆弱性対応を記載</x:v>
      </x:c>
      <x:c r="E13" s="1521" t="str">
        <x:v>必須</x:v>
      </x:c>
      <x:c r="F13" s="1521" t="str">
        <x:v>一覧表</x:v>
      </x:c>
      <x:c r="G13" s="1521" t="str">
        <x:v>対策・責任分担・頻度</x:v>
      </x:c>
      <x:c r="H13" s="1521" t="str">
        <x:v>23/24</x:v>
      </x:c>
      <x:c r="I13" s="1521" t="str">
        <x:v>はい</x:v>
      </x:c>
      <x:c r="J13" s="1521" t="str">
        <x:v>添付資料の機密管理</x:v>
      </x:c>
      <x:c r="K13" s="1521" t="str"/>
      <x:c r="L13" s="1521" t="str">
        <x:v>セキュリティ回答表</x:v>
      </x:c>
      <x:c r="M13" s="1521" t="str"/>
      <x:c r="N13" s="1589" t="str"/>
    </x:row>
    <x:row r="14">
      <x:c r="A14" s="1588" t="str">
        <x:v>RFP-010</x:v>
      </x:c>
      <x:c r="B14" s="1521" t="str">
        <x:v>運用</x:v>
      </x:c>
      <x:c r="C14" s="1521" t="str">
        <x:v>運用・保守</x:v>
      </x:c>
      <x:c r="D14" s="1521" t="str">
        <x:v>監視、障害、問い合わせ、改修、Version更新、SLA候補を記載</x:v>
      </x:c>
      <x:c r="E14" s="1521" t="str">
        <x:v>必須</x:v>
      </x:c>
      <x:c r="F14" s="1521" t="str">
        <x:v>一覧表</x:v>
      </x:c>
      <x:c r="G14" s="1521" t="str">
        <x:v>月額費用との対応</x:v>
      </x:c>
      <x:c r="H14" s="1521" t="str">
        <x:v>22/23</x:v>
      </x:c>
      <x:c r="I14" s="1521" t="str">
        <x:v>はい</x:v>
      </x:c>
      <x:c r="J14" s="1521" t="str">
        <x:v>対応時間・障害等級</x:v>
      </x:c>
      <x:c r="K14" s="1521" t="str"/>
      <x:c r="L14" s="1521" t="str">
        <x:v>運用保守仕様</x:v>
      </x:c>
      <x:c r="M14" s="1521" t="str"/>
      <x:c r="N14" s="1589" t="str"/>
    </x:row>
    <x:row r="15">
      <x:c r="A15" s="1588" t="str">
        <x:v>RFP-011</x:v>
      </x:c>
      <x:c r="B15" s="1521" t="str">
        <x:v>工程</x:v>
      </x:c>
      <x:c r="C15" s="1521" t="str">
        <x:v>開発スケジュール</x:v>
      </x:c>
      <x:c r="D15" s="1521" t="str">
        <x:v>要件確認、UI、実装、試験、受入、リリースの工程を提示</x:v>
      </x:c>
      <x:c r="E15" s="1521" t="str">
        <x:v>必須</x:v>
      </x:c>
      <x:c r="F15" s="1521" t="str">
        <x:v>ガント</x:v>
      </x:c>
      <x:c r="G15" s="1521" t="str">
        <x:v>週単位</x:v>
      </x:c>
      <x:c r="H15" s="1521" t="str">
        <x:v>24</x:v>
      </x:c>
      <x:c r="I15" s="1521" t="str">
        <x:v>はい</x:v>
      </x:c>
      <x:c r="J15" s="1521" t="str">
        <x:v>澤電気機械側作業も明示</x:v>
      </x:c>
      <x:c r="K15" s="1521" t="str"/>
      <x:c r="L15" s="1521" t="str">
        <x:v>工程表</x:v>
      </x:c>
      <x:c r="M15" s="1521" t="str"/>
      <x:c r="N15" s="1589" t="str"/>
    </x:row>
    <x:row r="16">
      <x:c r="A16" s="1588" t="str">
        <x:v>RFP-012</x:v>
      </x:c>
      <x:c r="B16" s="1521" t="str">
        <x:v>見積</x:v>
      </x:c>
      <x:c r="C16" s="1521" t="str">
        <x:v>初期開発費</x:v>
      </x:c>
      <x:c r="D16" s="1521" t="str">
        <x:v>26_見積内訳の区分で金額を回答</x:v>
      </x:c>
      <x:c r="E16" s="1521" t="str">
        <x:v>必須</x:v>
      </x:c>
      <x:c r="F16" s="1521" t="str">
        <x:v>見積表</x:v>
      </x:c>
      <x:c r="G16" s="1521" t="str">
        <x:v>税別、工数併記</x:v>
      </x:c>
      <x:c r="H16" s="1521" t="str">
        <x:v>26</x:v>
      </x:c>
      <x:c r="I16" s="1521" t="str">
        <x:v>はい</x:v>
      </x:c>
      <x:c r="J16" s="1521" t="str">
        <x:v>前提・除外条件</x:v>
      </x:c>
      <x:c r="K16" s="1521" t="str"/>
      <x:c r="L16" s="1521" t="str">
        <x:v>見積書</x:v>
      </x:c>
      <x:c r="M16" s="1521" t="str"/>
      <x:c r="N16" s="1589" t="str"/>
    </x:row>
    <x:row r="17">
      <x:c r="A17" s="1588" t="str">
        <x:v>RFP-013</x:v>
      </x:c>
      <x:c r="B17" s="1521" t="str">
        <x:v>見積</x:v>
      </x:c>
      <x:c r="C17" s="1521" t="str">
        <x:v>運用費</x:v>
      </x:c>
      <x:c r="D17" s="1521" t="str">
        <x:v>クラウド、AI、保守、サポート等を月額・従量で回答</x:v>
      </x:c>
      <x:c r="E17" s="1521" t="str">
        <x:v>必須</x:v>
      </x:c>
      <x:c r="F17" s="1521" t="str">
        <x:v>見積表</x:v>
      </x:c>
      <x:c r="G17" s="1521" t="str">
        <x:v>利用量別の試算</x:v>
      </x:c>
      <x:c r="H17" s="1521" t="str">
        <x:v>26</x:v>
      </x:c>
      <x:c r="I17" s="1521" t="str">
        <x:v>はい</x:v>
      </x:c>
      <x:c r="J17" s="1521" t="str">
        <x:v>AI従量単価と上限</x:v>
      </x:c>
      <x:c r="K17" s="1521" t="str"/>
      <x:c r="L17" s="1521" t="str">
        <x:v>運用見積</x:v>
      </x:c>
      <x:c r="M17" s="1521" t="str"/>
      <x:c r="N17" s="1589" t="str"/>
    </x:row>
    <x:row r="18">
      <x:c r="A18" s="1588" t="str">
        <x:v>RFP-014</x:v>
      </x:c>
      <x:c r="B18" s="1521" t="str">
        <x:v>契約</x:v>
      </x:c>
      <x:c r="C18" s="1521" t="str">
        <x:v>知的財産・データ</x:v>
      </x:c>
      <x:c r="D18" s="1521" t="str">
        <x:v>ソースコード、設計書、生成物、顧客データの権利と返却条件を回答</x:v>
      </x:c>
      <x:c r="E18" s="1521" t="str">
        <x:v>必須</x:v>
      </x:c>
      <x:c r="F18" s="1521" t="str">
        <x:v>文章</x:v>
      </x:c>
      <x:c r="G18" s="1521" t="str">
        <x:v>契約条項案</x:v>
      </x:c>
      <x:c r="H18" s="1521" t="str">
        <x:v>23</x:v>
      </x:c>
      <x:c r="I18" s="1521" t="str">
        <x:v>はい</x:v>
      </x:c>
      <x:c r="J18" s="1521" t="str">
        <x:v>再委託・国外保管</x:v>
      </x:c>
      <x:c r="K18" s="1521" t="str"/>
      <x:c r="L18" s="1521" t="str">
        <x:v>契約条件</x:v>
      </x:c>
      <x:c r="M18" s="1521" t="str"/>
      <x:c r="N18" s="1589" t="str"/>
    </x:row>
    <x:row r="19">
      <x:c r="A19" s="1590" t="str">
        <x:v>RFP-015</x:v>
      </x:c>
      <x:c r="B19" s="1591" t="str">
        <x:v>提案</x:v>
      </x:c>
      <x:c r="C19" s="1591" t="str">
        <x:v>追加提案</x:v>
      </x:c>
      <x:c r="D19" s="1591" t="str">
        <x:v>目的を損なわず、費用対効果を高める代替案を記載</x:v>
      </x:c>
      <x:c r="E19" s="1591" t="str">
        <x:v>任意</x:v>
      </x:c>
      <x:c r="F19" s="1591" t="str">
        <x:v>文章</x:v>
      </x:c>
      <x:c r="G19" s="1591" t="str">
        <x:v>最大3案</x:v>
      </x:c>
      <x:c r="H19" s="1591" t="str">
        <x:v>全体</x:v>
      </x:c>
      <x:c r="I19" s="1591" t="str">
        <x:v>はい</x:v>
      </x:c>
      <x:c r="J19" s="1591" t="str">
        <x:v>必須要件との差異を明示</x:v>
      </x:c>
      <x:c r="K19" s="1591" t="str"/>
      <x:c r="L19" s="1591" t="str"/>
      <x:c r="M19" s="1591" t="str"/>
      <x:c r="N19" s="1592" t="str"/>
    </x:row>
  </x:sheetData>
  <x:mergeCells>
    <x:mergeCell ref="A1:N1"/>
    <x:mergeCell ref="A2:N2"/>
  </x:mergeCells>
  <x:dataValidations count="1">
    <x:dataValidation type="list" sqref="E5:E19">
      <x:formula1>"必須,任意"</x:formula1>
    </x:dataValidation>
  </x:dataValidations>
  <x:pageMargins left="0.7" right="0.7" top="0.75" bottom="0.75" header="0.3" footer="0.3"/>
</x:worksheet>
</file>

<file path=xl/worksheets/sheet27.xml><?xml version="1.0" encoding="utf-8"?>
<x:worksheet xmlns:x="http://schemas.openxmlformats.org/spreadsheetml/2006/main">
  <x:sheetFormatPr defaultRowHeight="15"/>
  <x:cols>
    <x:col min="1" max="1" width="12" hidden="0" customWidth="1"/>
    <x:col min="2" max="2" width="16" hidden="0" customWidth="1"/>
    <x:col min="3" max="3" width="28" hidden="0" customWidth="1"/>
    <x:col min="4" max="4" width="42" hidden="0" customWidth="1"/>
    <x:col min="5" max="5" width="12" hidden="0" customWidth="1"/>
    <x:col min="6" max="6" width="10" hidden="0" customWidth="1"/>
    <x:col min="7" max="7" width="16" hidden="0" customWidth="1"/>
    <x:col min="8" max="8" width="16" hidden="0" customWidth="1"/>
    <x:col min="9" max="9" width="14" hidden="0" customWidth="1"/>
    <x:col min="10" max="10" width="14" hidden="0" customWidth="1"/>
    <x:col min="11" max="11" width="12" hidden="0" customWidth="1"/>
    <x:col min="12" max="12" width="28" hidden="0" customWidth="1"/>
    <x:col min="13" max="13" width="28" hidden="0" customWidth="1"/>
    <x:col min="14" max="14" width="18" hidden="0" customWidth="1"/>
    <x:col min="15" max="15" width="24" hidden="0" customWidth="1"/>
  </x:cols>
  <x:sheetData>
    <x:row r="1" ht="28" customHeight="1">
      <x:c r="A1" s="1551" t="str">
        <x:v>26_見積内訳</x:v>
      </x:c>
      <x:c r="B1" s="1551"/>
      <x:c r="C1" s="1551"/>
      <x:c r="D1" s="1551"/>
      <x:c r="E1" s="1551"/>
      <x:c r="F1" s="1551"/>
      <x:c r="G1" s="1551"/>
      <x:c r="H1" s="1551"/>
      <x:c r="I1" s="1551"/>
      <x:c r="J1" s="1551"/>
      <x:c r="K1" s="1551"/>
      <x:c r="L1" s="1551"/>
      <x:c r="M1" s="1551"/>
      <x:c r="N1" s="1551"/>
      <x:c r="O1" s="1551"/>
    </x:row>
    <x:row r="2" ht="36" customHeight="1">
      <x:c r="A2" s="1554" t="str">
        <x:v>初期開発費、月額固定費、従量費、オプション費を同一区分で比較する見積回答様式。</x:v>
      </x:c>
      <x:c r="B2" s="1554"/>
      <x:c r="C2" s="1554"/>
      <x:c r="D2" s="1554"/>
      <x:c r="E2" s="1554"/>
      <x:c r="F2" s="1554"/>
      <x:c r="G2" s="1554"/>
      <x:c r="H2" s="1554"/>
      <x:c r="I2" s="1554"/>
      <x:c r="J2" s="1554"/>
      <x:c r="K2" s="1554"/>
      <x:c r="L2" s="1554"/>
      <x:c r="M2" s="1554"/>
      <x:c r="N2" s="1554"/>
      <x:c r="O2" s="1554"/>
    </x:row>
    <x:row r="4" ht="38" customHeight="1">
      <x:c r="A4" s="1566" t="str">
        <x:v>費用ID</x:v>
      </x:c>
      <x:c r="B4" s="1567" t="str">
        <x:v>費用区分</x:v>
      </x:c>
      <x:c r="C4" s="1567" t="str">
        <x:v>作業・サービス</x:v>
      </x:c>
      <x:c r="D4" s="1567" t="str">
        <x:v>内容</x:v>
      </x:c>
      <x:c r="E4" s="1567" t="str">
        <x:v>単位</x:v>
      </x:c>
      <x:c r="F4" s="1567" t="str">
        <x:v>数量</x:v>
      </x:c>
      <x:c r="G4" s="1567" t="str">
        <x:v>単価（税別）</x:v>
      </x:c>
      <x:c r="H4" s="1567" t="str">
        <x:v>金額（税別）</x:v>
      </x:c>
      <x:c r="I4" s="1567" t="str">
        <x:v>工数（人日）</x:v>
      </x:c>
      <x:c r="J4" s="1567" t="str">
        <x:v>初期/継続</x:v>
      </x:c>
      <x:c r="K4" s="1567" t="str">
        <x:v>必須/任意</x:v>
      </x:c>
      <x:c r="L4" s="1567" t="str">
        <x:v>前提条件</x:v>
      </x:c>
      <x:c r="M4" s="1567" t="str">
        <x:v>除外条件</x:v>
      </x:c>
      <x:c r="N4" s="1567" t="str">
        <x:v>支払時期</x:v>
      </x:c>
      <x:c r="O4" s="1568" t="str">
        <x:v>備考</x:v>
      </x:c>
    </x:row>
    <x:row r="5">
      <x:c r="A5" s="1585" t="str">
        <x:v>C-001</x:v>
      </x:c>
      <x:c r="B5" s="1586" t="str">
        <x:v>企画・要件</x:v>
      </x:c>
      <x:c r="C5" s="1586" t="str">
        <x:v>要件確認・Fit&amp;Gap</x:v>
      </x:c>
      <x:c r="D5" s="1586" t="str">
        <x:v>Version0.7およびRFPとのFit&amp;Gap、要件確定</x:v>
      </x:c>
      <x:c r="E5" s="1586" t="str">
        <x:v>一式</x:v>
      </x:c>
      <x:c r="F5" s="1586" t="n">
        <x:v>1</x:v>
      </x:c>
      <x:c r="G5" s="1593"/>
      <x:c r="H5" s="1593" t="str">
        <x:f>IF(OR(F5="",G5=""),"",F5*G5)</x:f>
      </x:c>
      <x:c r="I5" s="1596"/>
      <x:c r="J5" s="1586" t="str">
        <x:v>初期</x:v>
      </x:c>
      <x:c r="K5" s="1586" t="str">
        <x:v>必須</x:v>
      </x:c>
      <x:c r="L5" s="1586" t="str"/>
      <x:c r="M5" s="1586" t="str"/>
      <x:c r="N5" s="1586" t="str"/>
      <x:c r="O5" s="1587" t="str"/>
    </x:row>
    <x:row r="6">
      <x:c r="A6" s="1588" t="str">
        <x:v>C-002</x:v>
      </x:c>
      <x:c r="B6" s="1521" t="str">
        <x:v>UI/UX</x:v>
      </x:c>
      <x:c r="C6" s="1521" t="str">
        <x:v>LP・質問画面デザイン</x:v>
      </x:c>
      <x:c r="D6" s="1521" t="str">
        <x:v>SCR-00～14のUI/UX、レスポンシブ対応</x:v>
      </x:c>
      <x:c r="E6" s="1521" t="str">
        <x:v>一式</x:v>
      </x:c>
      <x:c r="F6" s="1521" t="n">
        <x:v>1</x:v>
      </x:c>
      <x:c r="G6" s="1594"/>
      <x:c r="H6" s="1594" t="str">
        <x:f>IF(OR(F6="",G6=""),"",F6*G6)</x:f>
      </x:c>
      <x:c r="I6" s="1597"/>
      <x:c r="J6" s="1521" t="str">
        <x:v>初期</x:v>
      </x:c>
      <x:c r="K6" s="1521" t="str">
        <x:v>必須</x:v>
      </x:c>
      <x:c r="L6" s="1521" t="str"/>
      <x:c r="M6" s="1521" t="str"/>
      <x:c r="N6" s="1521" t="str"/>
      <x:c r="O6" s="1589" t="str"/>
    </x:row>
    <x:row r="7">
      <x:c r="A7" s="1588" t="str">
        <x:v>C-003</x:v>
      </x:c>
      <x:c r="B7" s="1521" t="str">
        <x:v>フロント</x:v>
      </x:c>
      <x:c r="C7" s="1521" t="str">
        <x:v>自己診断画面開発</x:v>
      </x:c>
      <x:c r="D7" s="1521" t="str">
        <x:v>入力、分岐、途中保存、確認、結果表示</x:v>
      </x:c>
      <x:c r="E7" s="1521" t="str">
        <x:v>一式</x:v>
      </x:c>
      <x:c r="F7" s="1521" t="n">
        <x:v>1</x:v>
      </x:c>
      <x:c r="G7" s="1594"/>
      <x:c r="H7" s="1594" t="str">
        <x:f>IF(OR(F7="",G7=""),"",F7*G7)</x:f>
      </x:c>
      <x:c r="I7" s="1597"/>
      <x:c r="J7" s="1521" t="str">
        <x:v>初期</x:v>
      </x:c>
      <x:c r="K7" s="1521" t="str">
        <x:v>必須</x:v>
      </x:c>
      <x:c r="L7" s="1521" t="str"/>
      <x:c r="M7" s="1521" t="str"/>
      <x:c r="N7" s="1521" t="str"/>
      <x:c r="O7" s="1589" t="str"/>
    </x:row>
    <x:row r="8">
      <x:c r="A8" s="1588" t="str">
        <x:v>C-004</x:v>
      </x:c>
      <x:c r="B8" s="1521" t="str">
        <x:v>バックエンド</x:v>
      </x:c>
      <x:c r="C8" s="1521" t="str">
        <x:v>API・DB開発</x:v>
      </x:c>
      <x:c r="D8" s="1521" t="str">
        <x:v>診断、回答、Evidence、スコア、ログ</x:v>
      </x:c>
      <x:c r="E8" s="1521" t="str">
        <x:v>一式</x:v>
      </x:c>
      <x:c r="F8" s="1521" t="n">
        <x:v>1</x:v>
      </x:c>
      <x:c r="G8" s="1594"/>
      <x:c r="H8" s="1594" t="str">
        <x:f>IF(OR(F8="",G8=""),"",F8*G8)</x:f>
      </x:c>
      <x:c r="I8" s="1597"/>
      <x:c r="J8" s="1521" t="str">
        <x:v>初期</x:v>
      </x:c>
      <x:c r="K8" s="1521" t="str">
        <x:v>必須</x:v>
      </x:c>
      <x:c r="L8" s="1521" t="str"/>
      <x:c r="M8" s="1521" t="str"/>
      <x:c r="N8" s="1521" t="str"/>
      <x:c r="O8" s="1589" t="str"/>
    </x:row>
    <x:row r="9">
      <x:c r="A9" s="1588" t="str">
        <x:v>C-005</x:v>
      </x:c>
      <x:c r="B9" s="1521" t="str">
        <x:v>ルール</x:v>
      </x:c>
      <x:c r="C9" s="1521" t="str">
        <x:v>採点・Guardrail・TOP5</x:v>
      </x:c>
      <x:c r="D9" s="1521" t="str">
        <x:v>Version管理可能なルールエンジン</x:v>
      </x:c>
      <x:c r="E9" s="1521" t="str">
        <x:v>一式</x:v>
      </x:c>
      <x:c r="F9" s="1521" t="n">
        <x:v>1</x:v>
      </x:c>
      <x:c r="G9" s="1594"/>
      <x:c r="H9" s="1594" t="str">
        <x:f>IF(OR(F9="",G9=""),"",F9*G9)</x:f>
      </x:c>
      <x:c r="I9" s="1597"/>
      <x:c r="J9" s="1521" t="str">
        <x:v>初期</x:v>
      </x:c>
      <x:c r="K9" s="1521" t="str">
        <x:v>必須</x:v>
      </x:c>
      <x:c r="L9" s="1521" t="str"/>
      <x:c r="M9" s="1521" t="str"/>
      <x:c r="N9" s="1521" t="str"/>
      <x:c r="O9" s="1589" t="str"/>
    </x:row>
    <x:row r="10">
      <x:c r="A10" s="1588" t="str">
        <x:v>C-006</x:v>
      </x:c>
      <x:c r="B10" s="1521" t="str">
        <x:v>AI</x:v>
      </x:c>
      <x:c r="C10" s="1521" t="str">
        <x:v>コメント選択・整文・検査</x:v>
      </x:c>
      <x:c r="D10" s="1521" t="str">
        <x:v>承認コード選択、AI整文、禁止表現検査</x:v>
      </x:c>
      <x:c r="E10" s="1521" t="str">
        <x:v>一式</x:v>
      </x:c>
      <x:c r="F10" s="1521" t="n">
        <x:v>1</x:v>
      </x:c>
      <x:c r="G10" s="1594"/>
      <x:c r="H10" s="1594" t="str">
        <x:f>IF(OR(F10="",G10=""),"",F10*G10)</x:f>
      </x:c>
      <x:c r="I10" s="1597"/>
      <x:c r="J10" s="1521" t="str">
        <x:v>初期</x:v>
      </x:c>
      <x:c r="K10" s="1521" t="str">
        <x:v>必須</x:v>
      </x:c>
      <x:c r="L10" s="1521" t="str"/>
      <x:c r="M10" s="1521" t="str"/>
      <x:c r="N10" s="1521" t="str"/>
      <x:c r="O10" s="1589" t="str"/>
    </x:row>
    <x:row r="11">
      <x:c r="A11" s="1588" t="str">
        <x:v>C-007</x:v>
      </x:c>
      <x:c r="B11" s="1521" t="str">
        <x:v>Evidence</x:v>
      </x:c>
      <x:c r="C11" s="1521" t="str">
        <x:v>ファイルアップロード・管理</x:v>
      </x:c>
      <x:c r="D11" s="1521" t="str">
        <x:v>写真・図面・報告書の保管・紐付け</x:v>
      </x:c>
      <x:c r="E11" s="1521" t="str">
        <x:v>一式</x:v>
      </x:c>
      <x:c r="F11" s="1521" t="n">
        <x:v>1</x:v>
      </x:c>
      <x:c r="G11" s="1594"/>
      <x:c r="H11" s="1594" t="str">
        <x:f>IF(OR(F11="",G11=""),"",F11*G11)</x:f>
      </x:c>
      <x:c r="I11" s="1597"/>
      <x:c r="J11" s="1521" t="str">
        <x:v>初期</x:v>
      </x:c>
      <x:c r="K11" s="1521" t="str">
        <x:v>必須</x:v>
      </x:c>
      <x:c r="L11" s="1521" t="str"/>
      <x:c r="M11" s="1521" t="str"/>
      <x:c r="N11" s="1521" t="str"/>
      <x:c r="O11" s="1589" t="str"/>
    </x:row>
    <x:row r="12">
      <x:c r="A12" s="1588" t="str">
        <x:v>C-008</x:v>
      </x:c>
      <x:c r="B12" s="1521" t="str">
        <x:v>帳票</x:v>
      </x:c>
      <x:c r="C12" s="1521" t="str">
        <x:v>A3横2ページPDF生成</x:v>
      </x:c>
      <x:c r="D12" s="1521" t="str">
        <x:v>P1/P2生成、プレビュー、PDF出力</x:v>
      </x:c>
      <x:c r="E12" s="1521" t="str">
        <x:v>一式</x:v>
      </x:c>
      <x:c r="F12" s="1521" t="n">
        <x:v>1</x:v>
      </x:c>
      <x:c r="G12" s="1594"/>
      <x:c r="H12" s="1594" t="str">
        <x:f>IF(OR(F12="",G12=""),"",F12*G12)</x:f>
      </x:c>
      <x:c r="I12" s="1597"/>
      <x:c r="J12" s="1521" t="str">
        <x:v>初期</x:v>
      </x:c>
      <x:c r="K12" s="1521" t="str">
        <x:v>必須</x:v>
      </x:c>
      <x:c r="L12" s="1521" t="str"/>
      <x:c r="M12" s="1521" t="str"/>
      <x:c r="N12" s="1521" t="str"/>
      <x:c r="O12" s="1589" t="str"/>
    </x:row>
    <x:row r="13">
      <x:c r="A13" s="1588" t="str">
        <x:v>C-009</x:v>
      </x:c>
      <x:c r="B13" s="1521" t="str">
        <x:v>通知・連携</x:v>
      </x:c>
      <x:c r="C13" s="1521" t="str">
        <x:v>メール送付・相談受付</x:v>
      </x:c>
      <x:c r="D13" s="1521" t="str">
        <x:v>PDF送付、問い合わせ通知、CRM連携候補</x:v>
      </x:c>
      <x:c r="E13" s="1521" t="str">
        <x:v>一式</x:v>
      </x:c>
      <x:c r="F13" s="1521" t="n">
        <x:v>1</x:v>
      </x:c>
      <x:c r="G13" s="1594"/>
      <x:c r="H13" s="1594" t="str">
        <x:f>IF(OR(F13="",G13=""),"",F13*G13)</x:f>
      </x:c>
      <x:c r="I13" s="1597"/>
      <x:c r="J13" s="1521" t="str">
        <x:v>初期</x:v>
      </x:c>
      <x:c r="K13" s="1521" t="str">
        <x:v>必須</x:v>
      </x:c>
      <x:c r="L13" s="1521" t="str"/>
      <x:c r="M13" s="1521" t="str"/>
      <x:c r="N13" s="1521" t="str"/>
      <x:c r="O13" s="1589" t="str"/>
    </x:row>
    <x:row r="14">
      <x:c r="A14" s="1588" t="str">
        <x:v>C-010</x:v>
      </x:c>
      <x:c r="B14" s="1521" t="str">
        <x:v>管理</x:v>
      </x:c>
      <x:c r="C14" s="1521" t="str">
        <x:v>管理画面</x:v>
      </x:c>
      <x:c r="D14" s="1521" t="str">
        <x:v>質問、選択肢、コメント、Version、診断結果の管理</x:v>
      </x:c>
      <x:c r="E14" s="1521" t="str">
        <x:v>一式</x:v>
      </x:c>
      <x:c r="F14" s="1521" t="n">
        <x:v>1</x:v>
      </x:c>
      <x:c r="G14" s="1594"/>
      <x:c r="H14" s="1594" t="str">
        <x:f>IF(OR(F14="",G14=""),"",F14*G14)</x:f>
      </x:c>
      <x:c r="I14" s="1597"/>
      <x:c r="J14" s="1521" t="str">
        <x:v>初期</x:v>
      </x:c>
      <x:c r="K14" s="1521" t="str">
        <x:v>必須</x:v>
      </x:c>
      <x:c r="L14" s="1521" t="str"/>
      <x:c r="M14" s="1521" t="str"/>
      <x:c r="N14" s="1521" t="str"/>
      <x:c r="O14" s="1589" t="str"/>
    </x:row>
    <x:row r="15">
      <x:c r="A15" s="1588" t="str">
        <x:v>C-011</x:v>
      </x:c>
      <x:c r="B15" s="1521" t="str">
        <x:v>試験</x:v>
      </x:c>
      <x:c r="C15" s="1521" t="str">
        <x:v>結合・総合・受入支援</x:v>
      </x:c>
      <x:c r="D15" s="1521" t="str">
        <x:v>24_受入テスト対応、修正</x:v>
      </x:c>
      <x:c r="E15" s="1521" t="str">
        <x:v>一式</x:v>
      </x:c>
      <x:c r="F15" s="1521" t="n">
        <x:v>1</x:v>
      </x:c>
      <x:c r="G15" s="1594"/>
      <x:c r="H15" s="1594" t="str">
        <x:f>IF(OR(F15="",G15=""),"",F15*G15)</x:f>
      </x:c>
      <x:c r="I15" s="1597"/>
      <x:c r="J15" s="1521" t="str">
        <x:v>初期</x:v>
      </x:c>
      <x:c r="K15" s="1521" t="str">
        <x:v>必須</x:v>
      </x:c>
      <x:c r="L15" s="1521" t="str"/>
      <x:c r="M15" s="1521" t="str"/>
      <x:c r="N15" s="1521" t="str"/>
      <x:c r="O15" s="1589" t="str"/>
    </x:row>
    <x:row r="16">
      <x:c r="A16" s="1588" t="str">
        <x:v>C-012</x:v>
      </x:c>
      <x:c r="B16" s="1521" t="str">
        <x:v>導入</x:v>
      </x:c>
      <x:c r="C16" s="1521" t="str">
        <x:v>環境構築・リリース</x:v>
      </x:c>
      <x:c r="D16" s="1521" t="str">
        <x:v>本番、バックアップ、監視、手順書</x:v>
      </x:c>
      <x:c r="E16" s="1521" t="str">
        <x:v>一式</x:v>
      </x:c>
      <x:c r="F16" s="1521" t="n">
        <x:v>1</x:v>
      </x:c>
      <x:c r="G16" s="1594"/>
      <x:c r="H16" s="1594" t="str">
        <x:f>IF(OR(F16="",G16=""),"",F16*G16)</x:f>
      </x:c>
      <x:c r="I16" s="1597"/>
      <x:c r="J16" s="1521" t="str">
        <x:v>初期</x:v>
      </x:c>
      <x:c r="K16" s="1521" t="str">
        <x:v>必須</x:v>
      </x:c>
      <x:c r="L16" s="1521" t="str"/>
      <x:c r="M16" s="1521" t="str"/>
      <x:c r="N16" s="1521" t="str"/>
      <x:c r="O16" s="1589" t="str"/>
    </x:row>
    <x:row r="17">
      <x:c r="A17" s="1588" t="str">
        <x:v>C-013</x:v>
      </x:c>
      <x:c r="B17" s="1521" t="str">
        <x:v>教育</x:v>
      </x:c>
      <x:c r="C17" s="1521" t="str">
        <x:v>管理者教育</x:v>
      </x:c>
      <x:c r="D17" s="1521" t="str">
        <x:v>運用、Version更新、問い合わせ対応</x:v>
      </x:c>
      <x:c r="E17" s="1521" t="str">
        <x:v>回</x:v>
      </x:c>
      <x:c r="F17" s="1521" t="n">
        <x:v>1</x:v>
      </x:c>
      <x:c r="G17" s="1594"/>
      <x:c r="H17" s="1594" t="str">
        <x:f>IF(OR(F17="",G17=""),"",F17*G17)</x:f>
      </x:c>
      <x:c r="I17" s="1597"/>
      <x:c r="J17" s="1521" t="str">
        <x:v>初期</x:v>
      </x:c>
      <x:c r="K17" s="1521" t="str">
        <x:v>必須</x:v>
      </x:c>
      <x:c r="L17" s="1521" t="str"/>
      <x:c r="M17" s="1521" t="str"/>
      <x:c r="N17" s="1521" t="str"/>
      <x:c r="O17" s="1589" t="str"/>
    </x:row>
    <x:row r="18">
      <x:c r="A18" s="1588" t="str">
        <x:v>C-014</x:v>
      </x:c>
      <x:c r="B18" s="1521" t="str">
        <x:v>運用</x:v>
      </x:c>
      <x:c r="C18" s="1521" t="str">
        <x:v>クラウド固定費</x:v>
      </x:c>
      <x:c r="D18" s="1521" t="str">
        <x:v>Web、API、DB、ストレージ、監視</x:v>
      </x:c>
      <x:c r="E18" s="1521" t="str">
        <x:v>月</x:v>
      </x:c>
      <x:c r="F18" s="1521" t="n">
        <x:v>12</x:v>
      </x:c>
      <x:c r="G18" s="1594"/>
      <x:c r="H18" s="1594" t="str">
        <x:f>IF(OR(F18="",G18=""),"",F18*G18)</x:f>
      </x:c>
      <x:c r="I18" s="1597"/>
      <x:c r="J18" s="1521" t="str">
        <x:v>継続</x:v>
      </x:c>
      <x:c r="K18" s="1521" t="str">
        <x:v>必須</x:v>
      </x:c>
      <x:c r="L18" s="1521" t="str"/>
      <x:c r="M18" s="1521" t="str"/>
      <x:c r="N18" s="1521" t="str"/>
      <x:c r="O18" s="1589" t="str"/>
    </x:row>
    <x:row r="19">
      <x:c r="A19" s="1588" t="str">
        <x:v>C-015</x:v>
      </x:c>
      <x:c r="B19" s="1521" t="str">
        <x:v>運用</x:v>
      </x:c>
      <x:c r="C19" s="1521" t="str">
        <x:v>保守サポート</x:v>
      </x:c>
      <x:c r="D19" s="1521" t="str">
        <x:v>障害、問い合わせ、軽微改修</x:v>
      </x:c>
      <x:c r="E19" s="1521" t="str">
        <x:v>月</x:v>
      </x:c>
      <x:c r="F19" s="1521" t="n">
        <x:v>12</x:v>
      </x:c>
      <x:c r="G19" s="1594"/>
      <x:c r="H19" s="1594" t="str">
        <x:f>IF(OR(F19="",G19=""),"",F19*G19)</x:f>
      </x:c>
      <x:c r="I19" s="1597"/>
      <x:c r="J19" s="1521" t="str">
        <x:v>継続</x:v>
      </x:c>
      <x:c r="K19" s="1521" t="str">
        <x:v>必須</x:v>
      </x:c>
      <x:c r="L19" s="1521" t="str"/>
      <x:c r="M19" s="1521" t="str"/>
      <x:c r="N19" s="1521" t="str"/>
      <x:c r="O19" s="1589" t="str"/>
    </x:row>
    <x:row r="20">
      <x:c r="A20" s="1588" t="str">
        <x:v>C-016</x:v>
      </x:c>
      <x:c r="B20" s="1521" t="str">
        <x:v>従量</x:v>
      </x:c>
      <x:c r="C20" s="1521" t="str">
        <x:v>AI利用料</x:v>
      </x:c>
      <x:c r="D20" s="1521" t="str">
        <x:v>診断1件当たりまたはトークン従量</x:v>
      </x:c>
      <x:c r="E20" s="1521" t="str">
        <x:v>診断</x:v>
      </x:c>
      <x:c r="F20" s="1521" t="n">
        <x:v>1000</x:v>
      </x:c>
      <x:c r="G20" s="1594"/>
      <x:c r="H20" s="1594" t="str">
        <x:f>IF(OR(F20="",G20=""),"",F20*G20)</x:f>
      </x:c>
      <x:c r="I20" s="1597"/>
      <x:c r="J20" s="1521" t="str">
        <x:v>継続</x:v>
      </x:c>
      <x:c r="K20" s="1521" t="str">
        <x:v>必須</x:v>
      </x:c>
      <x:c r="L20" s="1521" t="str">
        <x:v>年間1,000診断想定</x:v>
      </x:c>
      <x:c r="M20" s="1521" t="str"/>
      <x:c r="N20" s="1521" t="str"/>
      <x:c r="O20" s="1589" t="str"/>
    </x:row>
    <x:row r="21">
      <x:c r="A21" s="1588" t="str">
        <x:v>C-017</x:v>
      </x:c>
      <x:c r="B21" s="1521" t="str">
        <x:v>従量</x:v>
      </x:c>
      <x:c r="C21" s="1521" t="str">
        <x:v>メール・PDF・ストレージ</x:v>
      </x:c>
      <x:c r="D21" s="1521" t="str">
        <x:v>診断件数・保管容量に応じる費用</x:v>
      </x:c>
      <x:c r="E21" s="1521" t="str">
        <x:v>診断</x:v>
      </x:c>
      <x:c r="F21" s="1521" t="n">
        <x:v>1000</x:v>
      </x:c>
      <x:c r="G21" s="1594"/>
      <x:c r="H21" s="1594" t="str">
        <x:f>IF(OR(F21="",G21=""),"",F21*G21)</x:f>
      </x:c>
      <x:c r="I21" s="1597"/>
      <x:c r="J21" s="1521" t="str">
        <x:v>継続</x:v>
      </x:c>
      <x:c r="K21" s="1521" t="str">
        <x:v>必須</x:v>
      </x:c>
      <x:c r="L21" s="1521" t="str">
        <x:v>年間1,000診断想定</x:v>
      </x:c>
      <x:c r="M21" s="1521" t="str"/>
      <x:c r="N21" s="1521" t="str"/>
      <x:c r="O21" s="1589" t="str"/>
    </x:row>
    <x:row r="22">
      <x:c r="A22" s="1588" t="str">
        <x:v>C-018</x:v>
      </x:c>
      <x:c r="B22" s="1521" t="str">
        <x:v>オプション</x:v>
      </x:c>
      <x:c r="C22" s="1521" t="str">
        <x:v>OCR・資料自動分類</x:v>
      </x:c>
      <x:c r="D22" s="1521" t="str">
        <x:v>図面・報告書の自動解析補助</x:v>
      </x:c>
      <x:c r="E22" s="1521" t="str">
        <x:v>一式</x:v>
      </x:c>
      <x:c r="F22" s="1521" t="n">
        <x:v>1</x:v>
      </x:c>
      <x:c r="G22" s="1594"/>
      <x:c r="H22" s="1594" t="str">
        <x:f>IF(OR(F22="",G22=""),"",F22*G22)</x:f>
      </x:c>
      <x:c r="I22" s="1597"/>
      <x:c r="J22" s="1521" t="str">
        <x:v>初期/継続</x:v>
      </x:c>
      <x:c r="K22" s="1521" t="str">
        <x:v>任意</x:v>
      </x:c>
      <x:c r="L22" s="1521" t="str"/>
      <x:c r="M22" s="1521" t="str"/>
      <x:c r="N22" s="1521" t="str"/>
      <x:c r="O22" s="1589" t="str"/>
    </x:row>
    <x:row r="23">
      <x:c r="A23" s="1588" t="str">
        <x:v>C-019</x:v>
      </x:c>
      <x:c r="B23" s="1521" t="str">
        <x:v>オプション</x:v>
      </x:c>
      <x:c r="C23" s="1521" t="str">
        <x:v>CRM/SFA連携</x:v>
      </x:c>
      <x:c r="D23" s="1521" t="str">
        <x:v>外部CRM等への案件連携</x:v>
      </x:c>
      <x:c r="E23" s="1521" t="str">
        <x:v>一式</x:v>
      </x:c>
      <x:c r="F23" s="1521" t="n">
        <x:v>1</x:v>
      </x:c>
      <x:c r="G23" s="1594"/>
      <x:c r="H23" s="1594" t="str">
        <x:f>IF(OR(F23="",G23=""),"",F23*G23)</x:f>
      </x:c>
      <x:c r="I23" s="1597"/>
      <x:c r="J23" s="1521" t="str">
        <x:v>初期</x:v>
      </x:c>
      <x:c r="K23" s="1521" t="str">
        <x:v>任意</x:v>
      </x:c>
      <x:c r="L23" s="1521" t="str"/>
      <x:c r="M23" s="1521" t="str"/>
      <x:c r="N23" s="1521" t="str"/>
      <x:c r="O23" s="1589" t="str"/>
    </x:row>
    <x:row r="24">
      <x:c r="A24" s="1590" t="str">
        <x:v>C-020</x:v>
      </x:c>
      <x:c r="B24" s="1591" t="str">
        <x:v>オプション</x:v>
      </x:c>
      <x:c r="C24" s="1591" t="str">
        <x:v>正式診断レビュー画面</x:v>
      </x:c>
      <x:c r="D24" s="1591" t="str">
        <x:v>専門家確認・承認ワークフロー</x:v>
      </x:c>
      <x:c r="E24" s="1591" t="str">
        <x:v>一式</x:v>
      </x:c>
      <x:c r="F24" s="1591" t="n">
        <x:v>1</x:v>
      </x:c>
      <x:c r="G24" s="1595"/>
      <x:c r="H24" s="1595" t="str">
        <x:f>IF(OR(F24="",G24=""),"",F24*G24)</x:f>
      </x:c>
      <x:c r="I24" s="1598"/>
      <x:c r="J24" s="1591" t="str">
        <x:v>初期</x:v>
      </x:c>
      <x:c r="K24" s="1591" t="str">
        <x:v>任意</x:v>
      </x:c>
      <x:c r="L24" s="1591" t="str"/>
      <x:c r="M24" s="1591" t="str"/>
      <x:c r="N24" s="1591" t="str"/>
      <x:c r="O24" s="1592" t="str"/>
    </x:row>
    <x:row r="27" ht="38" customHeight="1">
      <x:c r="A27" s="1566" t="str">
        <x:v>集計区分</x:v>
      </x:c>
      <x:c r="B27" s="1567" t="str">
        <x:v>金額（税別）</x:v>
      </x:c>
      <x:c r="C27" s="1568" t="str">
        <x:v>備考</x:v>
      </x:c>
      <x:c r="D27"/>
      <x:c r="E27"/>
      <x:c r="F27"/>
    </x:row>
    <x:row r="28">
      <x:c r="A28" s="1585" t="str">
        <x:v>初期費用合計</x:v>
      </x:c>
      <x:c r="B28" s="1593" t="n">
        <x:f>SUMIFS($H$5:$H$24,$J$5:$J$24,"初期")+SUMIFS($H$5:$H$24,$J$5:$J$24,"初期/継続")</x:f>
        <x:v>0</x:v>
      </x:c>
      <x:c r="C28" s="1587" t="str">
        <x:v>初期/継続は初期側にも含む</x:v>
      </x:c>
      <x:c r="D28"/>
      <x:c r="E28"/>
      <x:c r="F28"/>
    </x:row>
    <x:row r="29">
      <x:c r="A29" s="1588" t="str">
        <x:v>年間固定・従量費合計</x:v>
      </x:c>
      <x:c r="B29" s="1594" t="n">
        <x:f>SUMIFS($H$5:$H$24,$J$5:$J$24,"継続")+SUMIFS($H$5:$H$24,$J$5:$J$24,"初期/継続")</x:f>
        <x:v>0</x:v>
      </x:c>
      <x:c r="C29" s="1589" t="str">
        <x:v>年間想定数量に基づく</x:v>
      </x:c>
      <x:c r="D29"/>
      <x:c r="E29"/>
      <x:c r="F29"/>
    </x:row>
    <x:row r="30">
      <x:c r="A30" s="1588" t="str">
        <x:v>3年間TCO</x:v>
      </x:c>
      <x:c r="B30" s="1594" t="n">
        <x:f>B28+B29*3</x:f>
        <x:v>0</x:v>
      </x:c>
      <x:c r="C30" s="1589" t="str">
        <x:v>税別</x:v>
      </x:c>
      <x:c r="D30"/>
      <x:c r="E30"/>
      <x:c r="F30"/>
    </x:row>
    <x:row r="31">
      <x:c r="A31" s="1590" t="str">
        <x:v>必須項目3年間TCO</x:v>
      </x:c>
      <x:c r="B31" s="1595" t="n">
        <x:f>SUMIFS($H$5:$H$24,$K$5:$K$24,"必須",$J$5:$J$24,"初期")+SUMIFS($H$5:$H$24,$K$5:$K$24,"必須",$J$5:$J$24,"継続")*3</x:f>
        <x:v>0</x:v>
      </x:c>
      <x:c r="C31" s="1592" t="str">
        <x:v>概算比較用</x:v>
      </x:c>
      <x:c r="D31"/>
      <x:c r="E31"/>
      <x:c r="F31"/>
    </x:row>
  </x:sheetData>
  <x:mergeCells>
    <x:mergeCell ref="A1:O1"/>
    <x:mergeCell ref="A2:O2"/>
  </x:mergeCells>
  <x:dataValidations count="2">
    <x:dataValidation type="list" sqref="J5:J24">
      <x:formula1>"初期,継続,初期/継続"</x:formula1>
    </x:dataValidation>
    <x:dataValidation type="list" sqref="K5:K24">
      <x:formula1>"必須,任意"</x:formula1>
    </x:dataValidation>
  </x:dataValidations>
  <x:pageMargins left="0.7" right="0.7" top="0.75" bottom="0.75" header="0.3" footer="0.3"/>
</x:worksheet>
</file>

<file path=xl/worksheets/sheet28.xml><?xml version="1.0" encoding="utf-8"?>
<x:worksheet xmlns:x="http://schemas.openxmlformats.org/spreadsheetml/2006/main">
  <x:sheetFormatPr defaultRowHeight="15"/>
  <x:cols>
    <x:col min="1" max="1" width="12" hidden="0" customWidth="1"/>
    <x:col min="2" max="2" width="14" hidden="0" customWidth="1"/>
    <x:col min="3" max="3" width="24" hidden="0" customWidth="1"/>
    <x:col min="4" max="4" width="42" hidden="0" customWidth="1"/>
    <x:col min="5" max="5" width="12" hidden="0" customWidth="1"/>
    <x:col min="6" max="6" width="16" hidden="0" customWidth="1"/>
    <x:col min="7" max="7" width="12" hidden="0" customWidth="1"/>
    <x:col min="8" max="8" width="14" hidden="0" customWidth="1"/>
    <x:col min="9" max="9" width="12" hidden="0" customWidth="1"/>
    <x:col min="10" max="10" width="14" hidden="0" customWidth="1"/>
    <x:col min="11" max="11" width="12" hidden="0" customWidth="1"/>
    <x:col min="12" max="12" width="14" hidden="0" customWidth="1"/>
    <x:col min="13" max="13" width="20" hidden="0" customWidth="1"/>
    <x:col min="14" max="14" width="28" hidden="0" customWidth="1"/>
    <x:col min="15" max="15" width="18" hidden="0" customWidth="1"/>
    <x:col min="16" max="16" width="22" hidden="0" customWidth="1"/>
  </x:cols>
  <x:sheetData>
    <x:row r="1" ht="28" customHeight="1">
      <x:c r="A1" s="1551" t="str">
        <x:v>27_提案評価</x:v>
      </x:c>
      <x:c r="B1" s="1551"/>
      <x:c r="C1" s="1551"/>
      <x:c r="D1" s="1551"/>
      <x:c r="E1" s="1551"/>
      <x:c r="F1" s="1551"/>
      <x:c r="G1" s="1551"/>
      <x:c r="H1" s="1551"/>
      <x:c r="I1" s="1551"/>
      <x:c r="J1" s="1551"/>
      <x:c r="K1" s="1551"/>
      <x:c r="L1" s="1551"/>
      <x:c r="M1" s="1551"/>
      <x:c r="N1" s="1551"/>
      <x:c r="O1" s="1551"/>
      <x:c r="P1" s="1551"/>
    </x:row>
    <x:row r="2" ht="36" customHeight="1">
      <x:c r="A2" s="1554" t="str">
        <x:v>提案会社を同一基準で採点し、技術・費用・体制・契約条件を総合評価する。</x:v>
      </x:c>
      <x:c r="B2" s="1554"/>
      <x:c r="C2" s="1554"/>
      <x:c r="D2" s="1554"/>
      <x:c r="E2" s="1554"/>
      <x:c r="F2" s="1554"/>
      <x:c r="G2" s="1554"/>
      <x:c r="H2" s="1554"/>
      <x:c r="I2" s="1554"/>
      <x:c r="J2" s="1554"/>
      <x:c r="K2" s="1554"/>
      <x:c r="L2" s="1554"/>
      <x:c r="M2" s="1554"/>
      <x:c r="N2" s="1554"/>
      <x:c r="O2" s="1554"/>
      <x:c r="P2" s="1554"/>
    </x:row>
    <x:row r="4" ht="38" customHeight="1">
      <x:c r="A4" s="1566" t="str">
        <x:v>評価ID</x:v>
      </x:c>
      <x:c r="B4" s="1567" t="str">
        <x:v>大分類</x:v>
      </x:c>
      <x:c r="C4" s="1567" t="str">
        <x:v>評価項目</x:v>
      </x:c>
      <x:c r="D4" s="1567" t="str">
        <x:v>評価基準</x:v>
      </x:c>
      <x:c r="E4" s="1567" t="str">
        <x:v>ウェイト</x:v>
      </x:c>
      <x:c r="F4" s="1567" t="str">
        <x:v>最低条件</x:v>
      </x:c>
      <x:c r="G4" s="1567" t="str">
        <x:v>A社点</x:v>
      </x:c>
      <x:c r="H4" s="1567" t="str">
        <x:v>A社加重点</x:v>
      </x:c>
      <x:c r="I4" s="1567" t="str">
        <x:v>B社点</x:v>
      </x:c>
      <x:c r="J4" s="1567" t="str">
        <x:v>B社加重点</x:v>
      </x:c>
      <x:c r="K4" s="1567" t="str">
        <x:v>C社点</x:v>
      </x:c>
      <x:c r="L4" s="1567" t="str">
        <x:v>C社加重点</x:v>
      </x:c>
      <x:c r="M4" s="1567" t="str">
        <x:v>確認資料</x:v>
      </x:c>
      <x:c r="N4" s="1567" t="str">
        <x:v>評価コメント</x:v>
      </x:c>
      <x:c r="O4" s="1567" t="str">
        <x:v>判定</x:v>
      </x:c>
      <x:c r="P4" s="1568" t="str">
        <x:v>備考</x:v>
      </x:c>
    </x:row>
    <x:row r="5">
      <x:c r="A5" s="1585" t="str">
        <x:v>EV-01</x:v>
      </x:c>
      <x:c r="B5" s="1586" t="str">
        <x:v>要件適合</x:v>
      </x:c>
      <x:c r="C5" s="1586" t="str">
        <x:v>必須要件適合度</x:v>
      </x:c>
      <x:c r="D5" s="1586" t="str">
        <x:v>Version0.7・RFPの必須要件を満たす</x:v>
      </x:c>
      <x:c r="E5" s="1599" t="str">
        <x:v>15%</x:v>
      </x:c>
      <x:c r="F5" s="1586" t="str">
        <x:v>3点以上</x:v>
      </x:c>
      <x:c r="G5" s="1586" t="str"/>
      <x:c r="H5" s="1602" t="str">
        <x:f>IF(G5="","",G5*$E5)</x:f>
      </x:c>
      <x:c r="I5" s="1586" t="str"/>
      <x:c r="J5" s="1602" t="str">
        <x:f>IF(I5="","",I5*$E5)</x:f>
      </x:c>
      <x:c r="K5" s="1586" t="str"/>
      <x:c r="L5" s="1602" t="str">
        <x:f>IF(K5="","",K5*$E5)</x:f>
      </x:c>
      <x:c r="M5" s="1586" t="str">
        <x:v>Fit&amp;Gap</x:v>
      </x:c>
      <x:c r="N5" s="1586" t="str"/>
      <x:c r="O5" s="1586" t="str"/>
      <x:c r="P5" s="1587" t="str"/>
    </x:row>
    <x:row r="6">
      <x:c r="A6" s="1588" t="str">
        <x:v>EV-02</x:v>
      </x:c>
      <x:c r="B6" s="1521" t="str">
        <x:v>技術</x:v>
      </x:c>
      <x:c r="C6" s="1521" t="str">
        <x:v>ルールエンジン</x:v>
      </x:c>
      <x:c r="D6" s="1521" t="str">
        <x:v>算定式・Guardrail・TOP5・Version管理の実現性</x:v>
      </x:c>
      <x:c r="E6" s="1600" t="str">
        <x:v>12%</x:v>
      </x:c>
      <x:c r="F6" s="1521" t="str">
        <x:v>3点以上</x:v>
      </x:c>
      <x:c r="G6" s="1521" t="str"/>
      <x:c r="H6" s="1603" t="str">
        <x:f>IF(G6="","",G6*$E6)</x:f>
      </x:c>
      <x:c r="I6" s="1521" t="str"/>
      <x:c r="J6" s="1603" t="str">
        <x:f>IF(I6="","",I6*$E6)</x:f>
      </x:c>
      <x:c r="K6" s="1521" t="str"/>
      <x:c r="L6" s="1603" t="str">
        <x:f>IF(K6="","",K6*$E6)</x:f>
      </x:c>
      <x:c r="M6" s="1521" t="str">
        <x:v>方式説明</x:v>
      </x:c>
      <x:c r="N6" s="1521" t="str"/>
      <x:c r="O6" s="1521" t="str"/>
      <x:c r="P6" s="1589" t="str"/>
    </x:row>
    <x:row r="7">
      <x:c r="A7" s="1588" t="str">
        <x:v>EV-03</x:v>
      </x:c>
      <x:c r="B7" s="1521" t="str">
        <x:v>技術</x:v>
      </x:c>
      <x:c r="C7" s="1521" t="str">
        <x:v>AI統制・再現性</x:v>
      </x:c>
      <x:c r="D7" s="1521" t="str">
        <x:v>承認済みコメントのみ使用し、AI逸脱を防止</x:v>
      </x:c>
      <x:c r="E7" s="1600" t="str">
        <x:v>12%</x:v>
      </x:c>
      <x:c r="F7" s="1521" t="str">
        <x:v>3点以上</x:v>
      </x:c>
      <x:c r="G7" s="1521" t="str"/>
      <x:c r="H7" s="1603" t="str">
        <x:f>IF(G7="","",G7*$E7)</x:f>
      </x:c>
      <x:c r="I7" s="1521" t="str"/>
      <x:c r="J7" s="1603" t="str">
        <x:f>IF(I7="","",I7*$E7)</x:f>
      </x:c>
      <x:c r="K7" s="1521" t="str"/>
      <x:c r="L7" s="1603" t="str">
        <x:f>IF(K7="","",K7*$E7)</x:f>
      </x:c>
      <x:c r="M7" s="1521" t="str">
        <x:v>AI処理仕様</x:v>
      </x:c>
      <x:c r="N7" s="1521" t="str"/>
      <x:c r="O7" s="1521" t="str"/>
      <x:c r="P7" s="1589" t="str"/>
    </x:row>
    <x:row r="8">
      <x:c r="A8" s="1588" t="str">
        <x:v>EV-04</x:v>
      </x:c>
      <x:c r="B8" s="1521" t="str">
        <x:v>技術</x:v>
      </x:c>
      <x:c r="C8" s="1521" t="str">
        <x:v>Evidence・セキュリティ</x:v>
      </x:c>
      <x:c r="D8" s="1521" t="str">
        <x:v>機密資料管理、権限、ログ、暗号化</x:v>
      </x:c>
      <x:c r="E8" s="1600" t="str">
        <x:v>10%</x:v>
      </x:c>
      <x:c r="F8" s="1521" t="str">
        <x:v>3点以上</x:v>
      </x:c>
      <x:c r="G8" s="1521" t="str"/>
      <x:c r="H8" s="1603" t="str">
        <x:f>IF(G8="","",G8*$E8)</x:f>
      </x:c>
      <x:c r="I8" s="1521" t="str"/>
      <x:c r="J8" s="1603" t="str">
        <x:f>IF(I8="","",I8*$E8)</x:f>
      </x:c>
      <x:c r="K8" s="1521" t="str"/>
      <x:c r="L8" s="1603" t="str">
        <x:f>IF(K8="","",K8*$E8)</x:f>
      </x:c>
      <x:c r="M8" s="1521" t="str">
        <x:v>セキュリティ表</x:v>
      </x:c>
      <x:c r="N8" s="1521" t="str"/>
      <x:c r="O8" s="1521" t="str"/>
      <x:c r="P8" s="1589" t="str"/>
    </x:row>
    <x:row r="9">
      <x:c r="A9" s="1588" t="str">
        <x:v>EV-05</x:v>
      </x:c>
      <x:c r="B9" s="1521" t="str">
        <x:v>技術</x:v>
      </x:c>
      <x:c r="C9" s="1521" t="str">
        <x:v>帳票品質</x:v>
      </x:c>
      <x:c r="D9" s="1521" t="str">
        <x:v>A3横2ページの再現性、文字超過対応</x:v>
      </x:c>
      <x:c r="E9" s="1600" t="str">
        <x:v>8%</x:v>
      </x:c>
      <x:c r="F9" s="1521" t="str">
        <x:v>3点以上</x:v>
      </x:c>
      <x:c r="G9" s="1521" t="str"/>
      <x:c r="H9" s="1603" t="str">
        <x:f>IF(G9="","",G9*$E9)</x:f>
      </x:c>
      <x:c r="I9" s="1521" t="str"/>
      <x:c r="J9" s="1603" t="str">
        <x:f>IF(I9="","",I9*$E9)</x:f>
      </x:c>
      <x:c r="K9" s="1521" t="str"/>
      <x:c r="L9" s="1603" t="str">
        <x:f>IF(K9="","",K9*$E9)</x:f>
      </x:c>
      <x:c r="M9" s="1521" t="str">
        <x:v>帳票サンプル</x:v>
      </x:c>
      <x:c r="N9" s="1521" t="str"/>
      <x:c r="O9" s="1521" t="str"/>
      <x:c r="P9" s="1589" t="str"/>
    </x:row>
    <x:row r="10">
      <x:c r="A10" s="1588" t="str">
        <x:v>EV-06</x:v>
      </x:c>
      <x:c r="B10" s="1521" t="str">
        <x:v>UI/UX</x:v>
      </x:c>
      <x:c r="C10" s="1521" t="str">
        <x:v>LP・診断体験</x:v>
      </x:c>
      <x:c r="D10" s="1521" t="str">
        <x:v>入力しやすさ、途中保存、離脱防止、スマホ対応</x:v>
      </x:c>
      <x:c r="E10" s="1600" t="str">
        <x:v>8%</x:v>
      </x:c>
      <x:c r="F10" s="1521" t="str">
        <x:v>2点以上</x:v>
      </x:c>
      <x:c r="G10" s="1521" t="str"/>
      <x:c r="H10" s="1603" t="str">
        <x:f>IF(G10="","",G10*$E10)</x:f>
      </x:c>
      <x:c r="I10" s="1521" t="str"/>
      <x:c r="J10" s="1603" t="str">
        <x:f>IF(I10="","",I10*$E10)</x:f>
      </x:c>
      <x:c r="K10" s="1521" t="str"/>
      <x:c r="L10" s="1603" t="str">
        <x:f>IF(K10="","",K10*$E10)</x:f>
      </x:c>
      <x:c r="M10" s="1521" t="str">
        <x:v>画面案</x:v>
      </x:c>
      <x:c r="N10" s="1521" t="str"/>
      <x:c r="O10" s="1521" t="str"/>
      <x:c r="P10" s="1589" t="str"/>
    </x:row>
    <x:row r="11">
      <x:c r="A11" s="1588" t="str">
        <x:v>EV-07</x:v>
      </x:c>
      <x:c r="B11" s="1521" t="str">
        <x:v>体制</x:v>
      </x:c>
      <x:c r="C11" s="1521" t="str">
        <x:v>PM・開発体制</x:v>
      </x:c>
      <x:c r="D11" s="1521" t="str">
        <x:v>責任者、専門性、代替要員、コミュニケーション</x:v>
      </x:c>
      <x:c r="E11" s="1600" t="str">
        <x:v>8%</x:v>
      </x:c>
      <x:c r="F11" s="1521" t="str">
        <x:v>3点以上</x:v>
      </x:c>
      <x:c r="G11" s="1521" t="str"/>
      <x:c r="H11" s="1603" t="str">
        <x:f>IF(G11="","",G11*$E11)</x:f>
      </x:c>
      <x:c r="I11" s="1521" t="str"/>
      <x:c r="J11" s="1603" t="str">
        <x:f>IF(I11="","",I11*$E11)</x:f>
      </x:c>
      <x:c r="K11" s="1521" t="str"/>
      <x:c r="L11" s="1603" t="str">
        <x:f>IF(K11="","",K11*$E11)</x:f>
      </x:c>
      <x:c r="M11" s="1521" t="str">
        <x:v>体制図</x:v>
      </x:c>
      <x:c r="N11" s="1521" t="str"/>
      <x:c r="O11" s="1521" t="str"/>
      <x:c r="P11" s="1589" t="str"/>
    </x:row>
    <x:row r="12">
      <x:c r="A12" s="1588" t="str">
        <x:v>EV-08</x:v>
      </x:c>
      <x:c r="B12" s="1521" t="str">
        <x:v>実績</x:v>
      </x:c>
      <x:c r="C12" s="1521" t="str">
        <x:v>類似実績</x:v>
      </x:c>
      <x:c r="D12" s="1521" t="str">
        <x:v>診断、帳票、AI、B2B業務システムの実績</x:v>
      </x:c>
      <x:c r="E12" s="1600" t="str">
        <x:v>5%</x:v>
      </x:c>
      <x:c r="F12" s="1521" t="str">
        <x:v>2点以上</x:v>
      </x:c>
      <x:c r="G12" s="1521" t="str"/>
      <x:c r="H12" s="1603" t="str">
        <x:f>IF(G12="","",G12*$E12)</x:f>
      </x:c>
      <x:c r="I12" s="1521" t="str"/>
      <x:c r="J12" s="1603" t="str">
        <x:f>IF(I12="","",I12*$E12)</x:f>
      </x:c>
      <x:c r="K12" s="1521" t="str"/>
      <x:c r="L12" s="1603" t="str">
        <x:f>IF(K12="","",K12*$E12)</x:f>
      </x:c>
      <x:c r="M12" s="1521" t="str">
        <x:v>実績一覧</x:v>
      </x:c>
      <x:c r="N12" s="1521" t="str"/>
      <x:c r="O12" s="1521" t="str"/>
      <x:c r="P12" s="1589" t="str"/>
    </x:row>
    <x:row r="13">
      <x:c r="A13" s="1588" t="str">
        <x:v>EV-09</x:v>
      </x:c>
      <x:c r="B13" s="1521" t="str">
        <x:v>工程</x:v>
      </x:c>
      <x:c r="C13" s="1521" t="str">
        <x:v>納期・進め方</x:v>
      </x:c>
      <x:c r="D13" s="1521" t="str">
        <x:v>段階開発、レビュー、受入、手戻り抑制</x:v>
      </x:c>
      <x:c r="E13" s="1600" t="str">
        <x:v>5%</x:v>
      </x:c>
      <x:c r="F13" s="1521" t="str">
        <x:v>2点以上</x:v>
      </x:c>
      <x:c r="G13" s="1521" t="str"/>
      <x:c r="H13" s="1603" t="str">
        <x:f>IF(G13="","",G13*$E13)</x:f>
      </x:c>
      <x:c r="I13" s="1521" t="str"/>
      <x:c r="J13" s="1603" t="str">
        <x:f>IF(I13="","",I13*$E13)</x:f>
      </x:c>
      <x:c r="K13" s="1521" t="str"/>
      <x:c r="L13" s="1603" t="str">
        <x:f>IF(K13="","",K13*$E13)</x:f>
      </x:c>
      <x:c r="M13" s="1521" t="str">
        <x:v>工程表</x:v>
      </x:c>
      <x:c r="N13" s="1521" t="str"/>
      <x:c r="O13" s="1521" t="str"/>
      <x:c r="P13" s="1589" t="str"/>
    </x:row>
    <x:row r="14">
      <x:c r="A14" s="1588" t="str">
        <x:v>EV-10</x:v>
      </x:c>
      <x:c r="B14" s="1521" t="str">
        <x:v>費用</x:v>
      </x:c>
      <x:c r="C14" s="1521" t="str">
        <x:v>3年間TCO</x:v>
      </x:c>
      <x:c r="D14" s="1521" t="str">
        <x:v>必須範囲の初期＋3年運用費</x:v>
      </x:c>
      <x:c r="E14" s="1600" t="str">
        <x:v>8%</x:v>
      </x:c>
      <x:c r="F14" s="1521" t="str">
        <x:v>なし</x:v>
      </x:c>
      <x:c r="G14" s="1521" t="str"/>
      <x:c r="H14" s="1603" t="str">
        <x:f>IF(G14="","",G14*$E14)</x:f>
      </x:c>
      <x:c r="I14" s="1521" t="str"/>
      <x:c r="J14" s="1603" t="str">
        <x:f>IF(I14="","",I14*$E14)</x:f>
      </x:c>
      <x:c r="K14" s="1521" t="str"/>
      <x:c r="L14" s="1603" t="str">
        <x:f>IF(K14="","",K14*$E14)</x:f>
      </x:c>
      <x:c r="M14" s="1521" t="str">
        <x:v>26_見積内訳</x:v>
      </x:c>
      <x:c r="N14" s="1521" t="str"/>
      <x:c r="O14" s="1521" t="str"/>
      <x:c r="P14" s="1589" t="str"/>
    </x:row>
    <x:row r="15">
      <x:c r="A15" s="1588" t="str">
        <x:v>EV-11</x:v>
      </x:c>
      <x:c r="B15" s="1521" t="str">
        <x:v>運用</x:v>
      </x:c>
      <x:c r="C15" s="1521" t="str">
        <x:v>保守・障害対応</x:v>
      </x:c>
      <x:c r="D15" s="1521" t="str">
        <x:v>SLA、監視、改修、問い合わせ、Version更新</x:v>
      </x:c>
      <x:c r="E15" s="1600" t="str">
        <x:v>5%</x:v>
      </x:c>
      <x:c r="F15" s="1521" t="str">
        <x:v>2点以上</x:v>
      </x:c>
      <x:c r="G15" s="1521" t="str"/>
      <x:c r="H15" s="1603" t="str">
        <x:f>IF(G15="","",G15*$E15)</x:f>
      </x:c>
      <x:c r="I15" s="1521" t="str"/>
      <x:c r="J15" s="1603" t="str">
        <x:f>IF(I15="","",I15*$E15)</x:f>
      </x:c>
      <x:c r="K15" s="1521" t="str"/>
      <x:c r="L15" s="1603" t="str">
        <x:f>IF(K15="","",K15*$E15)</x:f>
      </x:c>
      <x:c r="M15" s="1521" t="str">
        <x:v>運用仕様</x:v>
      </x:c>
      <x:c r="N15" s="1521" t="str"/>
      <x:c r="O15" s="1521" t="str"/>
      <x:c r="P15" s="1589" t="str"/>
    </x:row>
    <x:row r="16">
      <x:c r="A16" s="1590" t="str">
        <x:v>EV-12</x:v>
      </x:c>
      <x:c r="B16" s="1591" t="str">
        <x:v>契約</x:v>
      </x:c>
      <x:c r="C16" s="1591" t="str">
        <x:v>知財・データ・撤退性</x:v>
      </x:c>
      <x:c r="D16" s="1591" t="str">
        <x:v>ソース、データ、再委託、国外保管、移管性</x:v>
      </x:c>
      <x:c r="E16" s="1601" t="str">
        <x:v>4%</x:v>
      </x:c>
      <x:c r="F16" s="1591" t="str">
        <x:v>3点以上</x:v>
      </x:c>
      <x:c r="G16" s="1591" t="str"/>
      <x:c r="H16" s="1604" t="str">
        <x:f>IF(G16="","",G16*$E16)</x:f>
      </x:c>
      <x:c r="I16" s="1591" t="str"/>
      <x:c r="J16" s="1604" t="str">
        <x:f>IF(I16="","",I16*$E16)</x:f>
      </x:c>
      <x:c r="K16" s="1591" t="str"/>
      <x:c r="L16" s="1604" t="str">
        <x:f>IF(K16="","",K16*$E16)</x:f>
      </x:c>
      <x:c r="M16" s="1591" t="str">
        <x:v>契約回答</x:v>
      </x:c>
      <x:c r="N16" s="1591" t="str"/>
      <x:c r="O16" s="1591" t="str"/>
      <x:c r="P16" s="1592" t="str"/>
    </x:row>
    <x:row r="19" ht="38" customHeight="1">
      <x:c r="A19" s="1566" t="str">
        <x:v>集計</x:v>
      </x:c>
      <x:c r="B19" s="1567" t="str">
        <x:v>A社</x:v>
      </x:c>
      <x:c r="C19" s="1567" t="str">
        <x:v>B社</x:v>
      </x:c>
      <x:c r="D19" s="1567" t="str">
        <x:v>C社</x:v>
      </x:c>
      <x:c r="E19" s="1567" t="str">
        <x:v>判定目安</x:v>
      </x:c>
      <x:c r="F19" s="1568" t="str">
        <x:v>備考</x:v>
      </x:c>
    </x:row>
    <x:row r="20">
      <x:c r="A20" s="1585" t="str">
        <x:v>総合点</x:v>
      </x:c>
      <x:c r="B20" s="1602" t="n">
        <x:f>SUM(H5:H16)</x:f>
        <x:v>0</x:v>
      </x:c>
      <x:c r="C20" s="1602" t="n">
        <x:f>SUM(J5:J16)</x:f>
        <x:v>0</x:v>
      </x:c>
      <x:c r="D20" s="1602" t="n">
        <x:f>SUM(L5:L16)</x:f>
        <x:v>0</x:v>
      </x:c>
      <x:c r="E20" s="1586" t="str">
        <x:v>4.0以上：優良、3.0以上：採用候補</x:v>
      </x:c>
      <x:c r="F20" s="1587" t="str">
        <x:v>5点満点</x:v>
      </x:c>
    </x:row>
    <x:row r="21">
      <x:c r="A21" s="1588" t="str">
        <x:v>最低条件未達数</x:v>
      </x:c>
      <x:c r="B21" s="1521" t="n">
        <x:f>COUNTIF(O5:O16,"A社×")</x:f>
        <x:v>0</x:v>
      </x:c>
      <x:c r="C21" s="1521" t="n">
        <x:f>COUNTIF(O5:O16,"B社×")</x:f>
        <x:v>0</x:v>
      </x:c>
      <x:c r="D21" s="1521" t="n">
        <x:f>COUNTIF(O5:O16,"C社×")</x:f>
        <x:v>0</x:v>
      </x:c>
      <x:c r="E21" s="1521" t="str">
        <x:v>1件以上は条件付きまたは不採用</x:v>
      </x:c>
      <x:c r="F21" s="1589" t="str"/>
    </x:row>
    <x:row r="22">
      <x:c r="A22" s="1588" t="str">
        <x:v>3年間TCO</x:v>
      </x:c>
      <x:c r="B22" s="1521" t="str"/>
      <x:c r="C22" s="1521" t="str"/>
      <x:c r="D22" s="1521" t="str"/>
      <x:c r="E22" s="1521" t="str">
        <x:v>別途見積シートから転記</x:v>
      </x:c>
      <x:c r="F22" s="1589" t="str"/>
    </x:row>
    <x:row r="23">
      <x:c r="A23" s="1588" t="str">
        <x:v>総合順位</x:v>
      </x:c>
      <x:c r="B23" s="1521" t="n">
        <x:f>RANK(B20,$B$20:$D$20,0)</x:f>
        <x:v>1</x:v>
      </x:c>
      <x:c r="C23" s="1521" t="n">
        <x:f>RANK(C20,$B$20:$D$20,0)</x:f>
        <x:v>1</x:v>
      </x:c>
      <x:c r="D23" s="1521" t="n">
        <x:f>RANK(D20,$B$20:$D$20,0)</x:f>
        <x:v>1</x:v>
      </x:c>
      <x:c r="E23" s="1521" t="str">
        <x:v>最低条件未達がある場合は順位保留</x:v>
      </x:c>
      <x:c r="F23" s="1589" t="str"/>
    </x:row>
    <x:row r="24">
      <x:c r="A24" s="1590" t="str">
        <x:v>推奨判定</x:v>
      </x:c>
      <x:c r="B24" s="1591" t="str"/>
      <x:c r="C24" s="1591" t="str"/>
      <x:c r="D24" s="1591" t="str"/>
      <x:c r="E24" s="1591" t="str">
        <x:v>採用／条件付き／再提案／不採用</x:v>
      </x:c>
      <x:c r="F24" s="1592" t="str"/>
    </x:row>
  </x:sheetData>
  <x:mergeCells>
    <x:mergeCell ref="A1:P1"/>
    <x:mergeCell ref="A2:P2"/>
  </x:mergeCells>
  <x:dataValidations count="3">
    <x:dataValidation type="list" sqref="G5:G16">
      <x:formula1>"1,2,3,4,5"</x:formula1>
    </x:dataValidation>
    <x:dataValidation type="list" sqref="I5:I16">
      <x:formula1>"1,2,3,4,5"</x:formula1>
    </x:dataValidation>
    <x:dataValidation type="list" sqref="K5:K16">
      <x:formula1>"1,2,3,4,5"</x:formula1>
    </x:dataValidation>
  </x:dataValidations>
  <x:pageMargins left="0.7" right="0.7" top="0.75" bottom="0.75" header="0.3" footer="0.3"/>
</x:worksheet>
</file>

<file path=xl/worksheets/sheet29.xml><?xml version="1.0" encoding="utf-8"?>
<x:worksheet xmlns:x="http://schemas.openxmlformats.org/spreadsheetml/2006/main">
  <x:sheetFormatPr defaultRowHeight="15"/>
  <x:cols>
    <x:col min="1" max="1" width="14" hidden="0" customWidth="1"/>
    <x:col min="2" max="2" width="14" hidden="0" customWidth="1"/>
    <x:col min="3" max="3" width="24" hidden="0" customWidth="1"/>
    <x:col min="4" max="4" width="40" hidden="0" customWidth="1"/>
    <x:col min="5" max="5" width="28" hidden="0" customWidth="1"/>
    <x:col min="6" max="6" width="30" hidden="0" customWidth="1"/>
    <x:col min="7" max="7" width="32" hidden="0" customWidth="1"/>
    <x:col min="8" max="8" width="28" hidden="0" customWidth="1"/>
    <x:col min="9" max="9" width="18" hidden="0" customWidth="1"/>
    <x:col min="10" max="10" width="12" hidden="0" customWidth="1"/>
    <x:col min="11" max="11" width="16" hidden="0" customWidth="1"/>
    <x:col min="12" max="12" width="24" hidden="0" customWidth="1"/>
    <x:col min="13" max="13" width="14" hidden="0" customWidth="1"/>
    <x:col min="14" max="14" width="24" hidden="0" customWidth="1"/>
  </x:cols>
  <x:sheetData>
    <x:row r="1" ht="28" customHeight="1">
      <x:c r="A1" s="1551" t="str">
        <x:v>28_開発ロードマップ</x:v>
      </x:c>
      <x:c r="B1" s="1551"/>
      <x:c r="C1" s="1551"/>
      <x:c r="D1" s="1551"/>
      <x:c r="E1" s="1551"/>
      <x:c r="F1" s="1551"/>
      <x:c r="G1" s="1551"/>
      <x:c r="H1" s="1551"/>
      <x:c r="I1" s="1551"/>
      <x:c r="J1" s="1551"/>
      <x:c r="K1" s="1551"/>
      <x:c r="L1" s="1551"/>
      <x:c r="M1" s="1551"/>
      <x:c r="N1" s="1551"/>
    </x:row>
    <x:row r="2" ht="36" customHeight="1">
      <x:c r="A2" s="1554" t="str">
        <x:v>段階開発により診断ロジックを先行検証し、LP・帳票・AI・運用を順次実装する推奨工程。</x:v>
      </x:c>
      <x:c r="B2" s="1554"/>
      <x:c r="C2" s="1554"/>
      <x:c r="D2" s="1554"/>
      <x:c r="E2" s="1554"/>
      <x:c r="F2" s="1554"/>
      <x:c r="G2" s="1554"/>
      <x:c r="H2" s="1554"/>
      <x:c r="I2" s="1554"/>
      <x:c r="J2" s="1554"/>
      <x:c r="K2" s="1554"/>
      <x:c r="L2" s="1554"/>
      <x:c r="M2" s="1554"/>
      <x:c r="N2" s="1554"/>
    </x:row>
    <x:row r="4" ht="38" customHeight="1">
      <x:c r="A4" s="1566" t="str">
        <x:v>フェーズ</x:v>
      </x:c>
      <x:c r="B4" s="1567" t="str">
        <x:v>期間目安</x:v>
      </x:c>
      <x:c r="C4" s="1567" t="str">
        <x:v>目的</x:v>
      </x:c>
      <x:c r="D4" s="1567" t="str">
        <x:v>主要作業</x:v>
      </x:c>
      <x:c r="E4" s="1567" t="str">
        <x:v>成果物</x:v>
      </x:c>
      <x:c r="F4" s="1567" t="str">
        <x:v>澤電気機械側作業</x:v>
      </x:c>
      <x:c r="G4" s="1567" t="str">
        <x:v>開発会社側作業</x:v>
      </x:c>
      <x:c r="H4" s="1567" t="str">
        <x:v>ゲート条件</x:v>
      </x:c>
      <x:c r="I4" s="1567" t="str">
        <x:v>費用区分</x:v>
      </x:c>
      <x:c r="J4" s="1567" t="str">
        <x:v>優先度</x:v>
      </x:c>
      <x:c r="K4" s="1567" t="str">
        <x:v>依存関係</x:v>
      </x:c>
      <x:c r="L4" s="1567" t="str">
        <x:v>リスク</x:v>
      </x:c>
      <x:c r="M4" s="1567" t="str">
        <x:v>状態</x:v>
      </x:c>
      <x:c r="N4" s="1568" t="str">
        <x:v>備考</x:v>
      </x:c>
    </x:row>
    <x:row r="5">
      <x:c r="A5" s="1585" t="str">
        <x:v>Phase 0</x:v>
      </x:c>
      <x:c r="B5" s="1586" t="str">
        <x:v>2～3週</x:v>
      </x:c>
      <x:c r="C5" s="1586" t="str">
        <x:v>Fit&amp;Gap・要件凍結</x:v>
      </x:c>
      <x:c r="D5" s="1586" t="str">
        <x:v>Version0.7レビュー、未決事項、技術検証計画</x:v>
      </x:c>
      <x:c r="E5" s="1586" t="str">
        <x:v>要件確認書、Fit&amp;Gap、確定見積</x:v>
      </x:c>
      <x:c r="F5" s="1586" t="str">
        <x:v>判断基準・コメント承認</x:v>
      </x:c>
      <x:c r="G5" s="1586" t="str">
        <x:v>方式提案・見積</x:v>
      </x:c>
      <x:c r="H5" s="1586" t="str">
        <x:v>必須要件・責任境界合意</x:v>
      </x:c>
      <x:c r="I5" s="1586" t="str">
        <x:v>企画・要件</x:v>
      </x:c>
      <x:c r="J5" s="1586" t="str">
        <x:v>S</x:v>
      </x:c>
      <x:c r="K5" s="1586" t="str">
        <x:v>なし</x:v>
      </x:c>
      <x:c r="L5" s="1586" t="str">
        <x:v>要件膨張</x:v>
      </x:c>
      <x:c r="M5" s="1586" t="str">
        <x:v>未着手</x:v>
      </x:c>
      <x:c r="N5" s="1587" t="str"/>
    </x:row>
    <x:row r="6">
      <x:c r="A6" s="1588" t="str">
        <x:v>Phase 1</x:v>
      </x:c>
      <x:c r="B6" s="1521" t="str">
        <x:v>4～6週</x:v>
      </x:c>
      <x:c r="C6" s="1521" t="str">
        <x:v>診断エンジンPoC</x:v>
      </x:c>
      <x:c r="D6" s="1521" t="str">
        <x:v>回答、採点、Guardrail、TOP5、コメントコード選択</x:v>
      </x:c>
      <x:c r="E6" s="1521" t="str">
        <x:v>診断API、テスト結果</x:v>
      </x:c>
      <x:c r="F6" s="1521" t="str">
        <x:v>テストケース承認</x:v>
      </x:c>
      <x:c r="G6" s="1521" t="str">
        <x:v>ルールエンジン実装</x:v>
      </x:c>
      <x:c r="H6" s="1521" t="str">
        <x:v>AT-002～010合格</x:v>
      </x:c>
      <x:c r="I6" s="1521" t="str">
        <x:v>ルール・AI</x:v>
      </x:c>
      <x:c r="J6" s="1521" t="str">
        <x:v>S</x:v>
      </x:c>
      <x:c r="K6" s="1521" t="str">
        <x:v>Phase0</x:v>
      </x:c>
      <x:c r="L6" s="1521" t="str">
        <x:v>ロジック誤解</x:v>
      </x:c>
      <x:c r="M6" s="1521" t="str">
        <x:v>未着手</x:v>
      </x:c>
      <x:c r="N6" s="1589" t="str">
        <x:v>UIは簡易で可</x:v>
      </x:c>
    </x:row>
    <x:row r="7">
      <x:c r="A7" s="1588" t="str">
        <x:v>Phase 2</x:v>
      </x:c>
      <x:c r="B7" s="1521" t="str">
        <x:v>4～6週</x:v>
      </x:c>
      <x:c r="C7" s="1521" t="str">
        <x:v>LP・自己診断MVP</x:v>
      </x:c>
      <x:c r="D7" s="1521" t="str">
        <x:v>SCR-00～10、途中保存、Evidence添付</x:v>
      </x:c>
      <x:c r="E7" s="1521" t="str">
        <x:v>MVP Web、管理最小機能</x:v>
      </x:c>
      <x:c r="F7" s="1521" t="str">
        <x:v>文言・デザインレビュー</x:v>
      </x:c>
      <x:c r="G7" s="1521" t="str">
        <x:v>フロント・API・DB</x:v>
      </x:c>
      <x:c r="H7" s="1521" t="str">
        <x:v>主要画面・保存・算定合格</x:v>
      </x:c>
      <x:c r="I7" s="1521" t="str">
        <x:v>UI/フロント/バック</x:v>
      </x:c>
      <x:c r="J7" s="1521" t="str">
        <x:v>S</x:v>
      </x:c>
      <x:c r="K7" s="1521" t="str">
        <x:v>Phase1</x:v>
      </x:c>
      <x:c r="L7" s="1521" t="str">
        <x:v>離脱率・操作性</x:v>
      </x:c>
      <x:c r="M7" s="1521" t="str">
        <x:v>未着手</x:v>
      </x:c>
      <x:c r="N7" s="1589" t="str"/>
    </x:row>
    <x:row r="8">
      <x:c r="A8" s="1588" t="str">
        <x:v>Phase 3</x:v>
      </x:c>
      <x:c r="B8" s="1521" t="str">
        <x:v>3～5週</x:v>
      </x:c>
      <x:c r="C8" s="1521" t="str">
        <x:v>A3帳票・相談導線</x:v>
      </x:c>
      <x:c r="D8" s="1521" t="str">
        <x:v>P1/P2、PDF、メール、相談申込</x:v>
      </x:c>
      <x:c r="E8" s="1521" t="str">
        <x:v>A3 PDF、送付機能</x:v>
      </x:c>
      <x:c r="F8" s="1521" t="str">
        <x:v>帳票・免責承認</x:v>
      </x:c>
      <x:c r="G8" s="1521" t="str">
        <x:v>帳票・通知実装</x:v>
      </x:c>
      <x:c r="H8" s="1521" t="str">
        <x:v>AT-011～014合格</x:v>
      </x:c>
      <x:c r="I8" s="1521" t="str">
        <x:v>帳票・連携</x:v>
      </x:c>
      <x:c r="J8" s="1521" t="str">
        <x:v>S</x:v>
      </x:c>
      <x:c r="K8" s="1521" t="str">
        <x:v>Phase2</x:v>
      </x:c>
      <x:c r="L8" s="1521" t="str">
        <x:v>文字量・フォント</x:v>
      </x:c>
      <x:c r="M8" s="1521" t="str">
        <x:v>未着手</x:v>
      </x:c>
      <x:c r="N8" s="1589" t="str"/>
    </x:row>
    <x:row r="9">
      <x:c r="A9" s="1588" t="str">
        <x:v>Phase 4</x:v>
      </x:c>
      <x:c r="B9" s="1521" t="str">
        <x:v>3～4週</x:v>
      </x:c>
      <x:c r="C9" s="1521" t="str">
        <x:v>管理・運用・セキュリティ</x:v>
      </x:c>
      <x:c r="D9" s="1521" t="str">
        <x:v>管理画面、Version、ログ、監視、バックアップ</x:v>
      </x:c>
      <x:c r="E9" s="1521" t="str">
        <x:v>運用環境、手順書</x:v>
      </x:c>
      <x:c r="F9" s="1521" t="str">
        <x:v>運用担当決定</x:v>
      </x:c>
      <x:c r="G9" s="1521" t="str">
        <x:v>管理・非機能実装</x:v>
      </x:c>
      <x:c r="H9" s="1521" t="str">
        <x:v>セキュリティ・復旧試験合格</x:v>
      </x:c>
      <x:c r="I9" s="1521" t="str">
        <x:v>管理・導入</x:v>
      </x:c>
      <x:c r="J9" s="1521" t="str">
        <x:v>A</x:v>
      </x:c>
      <x:c r="K9" s="1521" t="str">
        <x:v>Phase2/3</x:v>
      </x:c>
      <x:c r="L9" s="1521" t="str">
        <x:v>運用負荷</x:v>
      </x:c>
      <x:c r="M9" s="1521" t="str">
        <x:v>未着手</x:v>
      </x:c>
      <x:c r="N9" s="1589" t="str"/>
    </x:row>
    <x:row r="10">
      <x:c r="A10" s="1588" t="str">
        <x:v>Phase 5</x:v>
      </x:c>
      <x:c r="B10" s="1521" t="str">
        <x:v>2～3週</x:v>
      </x:c>
      <x:c r="C10" s="1521" t="str">
        <x:v>受入・限定公開</x:v>
      </x:c>
      <x:c r="D10" s="1521" t="str">
        <x:v>全受入試験、実ユーザーテスト、修正</x:v>
      </x:c>
      <x:c r="E10" s="1521" t="str">
        <x:v>受入報告、リリース版</x:v>
      </x:c>
      <x:c r="F10" s="1521" t="str">
        <x:v>テスト・承認</x:v>
      </x:c>
      <x:c r="G10" s="1521" t="str">
        <x:v>不具合修正・移行</x:v>
      </x:c>
      <x:c r="H10" s="1521" t="str">
        <x:v>S/A項目合格</x:v>
      </x:c>
      <x:c r="I10" s="1521" t="str">
        <x:v>試験・導入</x:v>
      </x:c>
      <x:c r="J10" s="1521" t="str">
        <x:v>S</x:v>
      </x:c>
      <x:c r="K10" s="1521" t="str">
        <x:v>Phase1～4</x:v>
      </x:c>
      <x:c r="L10" s="1521" t="str">
        <x:v>利用者フィードバック</x:v>
      </x:c>
      <x:c r="M10" s="1521" t="str">
        <x:v>未着手</x:v>
      </x:c>
      <x:c r="N10" s="1589" t="str"/>
    </x:row>
    <x:row r="11">
      <x:c r="A11" s="1590" t="str">
        <x:v>Phase 6</x:v>
      </x:c>
      <x:c r="B11" s="1591" t="str">
        <x:v>3か月</x:v>
      </x:c>
      <x:c r="C11" s="1591" t="str">
        <x:v>パイロット運用</x:v>
      </x:c>
      <x:c r="D11" s="1591" t="str">
        <x:v>診断実績、CV、コメント品質、案件化を検証</x:v>
      </x:c>
      <x:c r="E11" s="1591" t="str">
        <x:v>改善報告、Version0.8候補</x:v>
      </x:c>
      <x:c r="F11" s="1591" t="str">
        <x:v>営業運用・レビュー</x:v>
      </x:c>
      <x:c r="G11" s="1591" t="str">
        <x:v>分析・改善対応</x:v>
      </x:c>
      <x:c r="H11" s="1591" t="str">
        <x:v>KPI目標達成または改善方針合意</x:v>
      </x:c>
      <x:c r="I11" s="1591" t="str">
        <x:v>運用</x:v>
      </x:c>
      <x:c r="J11" s="1591" t="str">
        <x:v>A</x:v>
      </x:c>
      <x:c r="K11" s="1591" t="str">
        <x:v>Phase5</x:v>
      </x:c>
      <x:c r="L11" s="1591" t="str">
        <x:v>利用数不足</x:v>
      </x:c>
      <x:c r="M11" s="1591" t="str">
        <x:v>未着手</x:v>
      </x:c>
      <x:c r="N11" s="1592" t="str"/>
    </x:row>
  </x:sheetData>
  <x:mergeCells>
    <x:mergeCell ref="A1:N1"/>
    <x:mergeCell ref="A2:N2"/>
  </x:mergeCells>
  <x:dataValidations count="2">
    <x:dataValidation type="list" sqref="J5:J11">
      <x:formula1>"S,A,B,C"</x:formula1>
    </x:dataValidation>
    <x:dataValidation type="list" sqref="M5:M11">
      <x:formula1>"未着手,進行中,レビュー中,完了,保留"</x:formula1>
    </x:dataValidation>
  </x:dataValidations>
  <x:pageMargins left="0.7" right="0.7" top="0.75" bottom="0.75" header="0.3" footer="0.3"/>
</x:worksheet>
</file>

<file path=xl/worksheets/sheet30.xml><?xml version="1.0" encoding="utf-8"?>
<x:worksheet xmlns:x="http://schemas.openxmlformats.org/spreadsheetml/2006/main">
  <x:sheetFormatPr defaultRowHeight="15"/>
  <x:cols>
    <x:col min="1" max="1" width="12" hidden="0" customWidth="1"/>
    <x:col min="2" max="2" width="14" hidden="0" customWidth="1"/>
    <x:col min="3" max="3" width="38" hidden="0" customWidth="1"/>
    <x:col min="4" max="4" width="14" hidden="0" customWidth="1"/>
    <x:col min="5" max="5" width="12" hidden="0" customWidth="1"/>
    <x:col min="6" max="6" width="12" hidden="0" customWidth="1"/>
    <x:col min="7" max="7" width="12" hidden="0" customWidth="1"/>
    <x:col min="8" max="8" width="34" hidden="0" customWidth="1"/>
    <x:col min="9" max="9" width="34" hidden="0" customWidth="1"/>
    <x:col min="10" max="10" width="18" hidden="0" customWidth="1"/>
    <x:col min="11" max="11" width="14" hidden="0" customWidth="1"/>
    <x:col min="12" max="12" width="14" hidden="0" customWidth="1"/>
    <x:col min="13" max="13" width="20" hidden="0" customWidth="1"/>
    <x:col min="14" max="14" width="18" hidden="0" customWidth="1"/>
    <x:col min="15" max="15" width="16" hidden="0" customWidth="1"/>
    <x:col min="16" max="16" width="24" hidden="0" customWidth="1"/>
  </x:cols>
  <x:sheetData>
    <x:row r="1" ht="28" customHeight="1">
      <x:c r="A1" s="1551" t="str">
        <x:v>29_リスク・課題管理</x:v>
      </x:c>
      <x:c r="B1" s="1551"/>
      <x:c r="C1" s="1551"/>
      <x:c r="D1" s="1551"/>
      <x:c r="E1" s="1551"/>
      <x:c r="F1" s="1551"/>
      <x:c r="G1" s="1551"/>
      <x:c r="H1" s="1551"/>
      <x:c r="I1" s="1551"/>
      <x:c r="J1" s="1551"/>
      <x:c r="K1" s="1551"/>
      <x:c r="L1" s="1551"/>
      <x:c r="M1" s="1551"/>
      <x:c r="N1" s="1551"/>
      <x:c r="O1" s="1551"/>
      <x:c r="P1" s="1551"/>
    </x:row>
    <x:row r="2" ht="36" customHeight="1">
      <x:c r="A2" s="1554" t="str">
        <x:v>開発・運用・事業化に関する主要リスクと対応方針を管理する。</x:v>
      </x:c>
      <x:c r="B2" s="1554"/>
      <x:c r="C2" s="1554"/>
      <x:c r="D2" s="1554"/>
      <x:c r="E2" s="1554"/>
      <x:c r="F2" s="1554"/>
      <x:c r="G2" s="1554"/>
      <x:c r="H2" s="1554"/>
      <x:c r="I2" s="1554"/>
      <x:c r="J2" s="1554"/>
      <x:c r="K2" s="1554"/>
      <x:c r="L2" s="1554"/>
      <x:c r="M2" s="1554"/>
      <x:c r="N2" s="1554"/>
      <x:c r="O2" s="1554"/>
      <x:c r="P2" s="1554"/>
    </x:row>
    <x:row r="4" ht="38" customHeight="1">
      <x:c r="A4" s="1566" t="str">
        <x:v>リスクID</x:v>
      </x:c>
      <x:c r="B4" s="1567" t="str">
        <x:v>分類</x:v>
      </x:c>
      <x:c r="C4" s="1567" t="str">
        <x:v>リスク内容</x:v>
      </x:c>
      <x:c r="D4" s="1567" t="str">
        <x:v>発生可能性</x:v>
      </x:c>
      <x:c r="E4" s="1567" t="str">
        <x:v>影響度</x:v>
      </x:c>
      <x:c r="F4" s="1567" t="str">
        <x:v>リスク点</x:v>
      </x:c>
      <x:c r="G4" s="1567" t="str">
        <x:v>優先度</x:v>
      </x:c>
      <x:c r="H4" s="1567" t="str">
        <x:v>予防策</x:v>
      </x:c>
      <x:c r="I4" s="1567" t="str">
        <x:v>発生時対応</x:v>
      </x:c>
      <x:c r="J4" s="1567" t="str">
        <x:v>責任者</x:v>
      </x:c>
      <x:c r="K4" s="1567" t="str">
        <x:v>期限</x:v>
      </x:c>
      <x:c r="L4" s="1567" t="str">
        <x:v>状態</x:v>
      </x:c>
      <x:c r="M4" s="1567" t="str">
        <x:v>検知指標</x:v>
      </x:c>
      <x:c r="N4" s="1567" t="str">
        <x:v>関連フェーズ</x:v>
      </x:c>
      <x:c r="O4" s="1567" t="str">
        <x:v>残存リスク</x:v>
      </x:c>
      <x:c r="P4" s="1568" t="str">
        <x:v>備考</x:v>
      </x:c>
    </x:row>
    <x:row r="5">
      <x:c r="A5" s="1585" t="str">
        <x:v>RK-001</x:v>
      </x:c>
      <x:c r="B5" s="1586" t="str">
        <x:v>要件</x:v>
      </x:c>
      <x:c r="C5" s="1586" t="str">
        <x:v>質問・判定ロジックが増え続け開発範囲が膨張</x:v>
      </x:c>
      <x:c r="D5" s="1586" t="str">
        <x:v>中</x:v>
      </x:c>
      <x:c r="E5" s="1586" t="str">
        <x:v>高</x:v>
      </x:c>
      <x:c r="F5" s="1605" t="n">
        <x:f>IF(OR(D5="",E5=""),"",IF(D5="低",1,IF(D5="中",2,IF(D5="高",3,4)))*IF(E5="低",1,IF(E5="中",2,IF(E5="高",3,4))))</x:f>
        <x:v>6</x:v>
      </x:c>
      <x:c r="G5" s="1586" t="str">
        <x:f>IF(F5="","",IF(F5&gt;=12,"S",IF(F5&gt;=8,"A",IF(F5&gt;=4,"B","C"))))</x:f>
        <x:v>B</x:v>
      </x:c>
      <x:c r="H5" s="1586" t="str">
        <x:v>Version Freezeと変更管理</x:v>
      </x:c>
      <x:c r="I5" s="1586" t="str">
        <x:v>Phase分割・追加見積</x:v>
      </x:c>
      <x:c r="J5" s="1586" t="str">
        <x:v>プロジェクト責任者</x:v>
      </x:c>
      <x:c r="K5" s="1586" t="str"/>
      <x:c r="L5" s="1586" t="str">
        <x:v>未着手</x:v>
      </x:c>
      <x:c r="M5" s="1586" t="str">
        <x:v>変更要求件数</x:v>
      </x:c>
      <x:c r="N5" s="1586" t="str">
        <x:v>Phase0</x:v>
      </x:c>
      <x:c r="O5" s="1586" t="str">
        <x:v>中</x:v>
      </x:c>
      <x:c r="P5" s="1587" t="str"/>
    </x:row>
    <x:row r="6">
      <x:c r="A6" s="1588" t="str">
        <x:v>RK-002</x:v>
      </x:c>
      <x:c r="B6" s="1521" t="str">
        <x:v>診断品質</x:v>
      </x:c>
      <x:c r="C6" s="1521" t="str">
        <x:v>自己申告だけで強い断定が出る</x:v>
      </x:c>
      <x:c r="D6" s="1521" t="str">
        <x:v>低</x:v>
      </x:c>
      <x:c r="E6" s="1521" t="str">
        <x:v>最高</x:v>
      </x:c>
      <x:c r="F6" s="1606" t="n">
        <x:f>IF(OR(D6="",E6=""),"",IF(D6="低",1,IF(D6="中",2,IF(D6="高",3,4)))*IF(E6="低",1,IF(E6="中",2,IF(E6="高",3,4))))</x:f>
        <x:v>4</x:v>
      </x:c>
      <x:c r="G6" s="1521" t="str">
        <x:f>IF(F6="","",IF(F6&gt;=12,"S",IF(F6&gt;=8,"A",IF(F6&gt;=4,"B","C"))))</x:f>
        <x:v>B</x:v>
      </x:c>
      <x:c r="H6" s="1521" t="str">
        <x:v>L0～L3、Evidence個別制御、受入試験</x:v>
      </x:c>
      <x:c r="I6" s="1521" t="str">
        <x:v>該当文停止・コード修正</x:v>
      </x:c>
      <x:c r="J6" s="1521" t="str">
        <x:v>診断ロジック責任者</x:v>
      </x:c>
      <x:c r="K6" s="1521" t="str"/>
      <x:c r="L6" s="1521" t="str">
        <x:v>未着手</x:v>
      </x:c>
      <x:c r="M6" s="1521" t="str">
        <x:v>L2→L3誤変換件数</x:v>
      </x:c>
      <x:c r="N6" s="1521" t="str">
        <x:v>Phase1</x:v>
      </x:c>
      <x:c r="O6" s="1521" t="str">
        <x:v>低</x:v>
      </x:c>
      <x:c r="P6" s="1589" t="str"/>
    </x:row>
    <x:row r="7">
      <x:c r="A7" s="1588" t="str">
        <x:v>RK-003</x:v>
      </x:c>
      <x:c r="B7" s="1521" t="str">
        <x:v>AI</x:v>
      </x:c>
      <x:c r="C7" s="1521" t="str">
        <x:v>AIが未承認の原因・数値・製品を生成</x:v>
      </x:c>
      <x:c r="D7" s="1521" t="str">
        <x:v>中</x:v>
      </x:c>
      <x:c r="E7" s="1521" t="str">
        <x:v>最高</x:v>
      </x:c>
      <x:c r="F7" s="1606" t="n">
        <x:f>IF(OR(D7="",E7=""),"",IF(D7="低",1,IF(D7="中",2,IF(D7="高",3,4)))*IF(E7="低",1,IF(E7="中",2,IF(E7="高",3,4))))</x:f>
        <x:v>8</x:v>
      </x:c>
      <x:c r="G7" s="1521" t="str">
        <x:f>IF(F7="","",IF(F7&gt;=12,"S",IF(F7&gt;=8,"A",IF(F7&gt;=4,"B","C"))))</x:f>
        <x:v>A</x:v>
      </x:c>
      <x:c r="H7" s="1521" t="str">
        <x:v>承認部品、禁止語検査、フォールバック</x:v>
      </x:c>
      <x:c r="I7" s="1521" t="str">
        <x:v>AI停止・原文出力</x:v>
      </x:c>
      <x:c r="J7" s="1521" t="str">
        <x:v>AI責任者</x:v>
      </x:c>
      <x:c r="K7" s="1521" t="str"/>
      <x:c r="L7" s="1521" t="str">
        <x:v>未着手</x:v>
      </x:c>
      <x:c r="M7" s="1521" t="str">
        <x:v>検査エラー率</x:v>
      </x:c>
      <x:c r="N7" s="1521" t="str">
        <x:v>Phase1</x:v>
      </x:c>
      <x:c r="O7" s="1521" t="str">
        <x:v>中</x:v>
      </x:c>
      <x:c r="P7" s="1589" t="str"/>
    </x:row>
    <x:row r="8">
      <x:c r="A8" s="1588" t="str">
        <x:v>RK-004</x:v>
      </x:c>
      <x:c r="B8" s="1521" t="str">
        <x:v>セキュリティ</x:v>
      </x:c>
      <x:c r="C8" s="1521" t="str">
        <x:v>図面・点検資料等の機密情報漏えい</x:v>
      </x:c>
      <x:c r="D8" s="1521" t="str">
        <x:v>低</x:v>
      </x:c>
      <x:c r="E8" s="1521" t="str">
        <x:v>最高</x:v>
      </x:c>
      <x:c r="F8" s="1606" t="n">
        <x:f>IF(OR(D8="",E8=""),"",IF(D8="低",1,IF(D8="中",2,IF(D8="高",3,4)))*IF(E8="低",1,IF(E8="中",2,IF(E8="高",3,4))))</x:f>
        <x:v>4</x:v>
      </x:c>
      <x:c r="G8" s="1521" t="str">
        <x:f>IF(F8="","",IF(F8&gt;=12,"S",IF(F8&gt;=8,"A",IF(F8&gt;=4,"B","C"))))</x:f>
        <x:v>B</x:v>
      </x:c>
      <x:c r="H8" s="1521" t="str">
        <x:v>暗号化、権限、期限付きURL、ログ</x:v>
      </x:c>
      <x:c r="I8" s="1521" t="str">
        <x:v>アクセス停止・通知・調査</x:v>
      </x:c>
      <x:c r="J8" s="1521" t="str">
        <x:v>セキュリティ責任者</x:v>
      </x:c>
      <x:c r="K8" s="1521" t="str"/>
      <x:c r="L8" s="1521" t="str">
        <x:v>未着手</x:v>
      </x:c>
      <x:c r="M8" s="1521" t="str">
        <x:v>不正アクセス・権限エラー</x:v>
      </x:c>
      <x:c r="N8" s="1521" t="str">
        <x:v>Phase2～4</x:v>
      </x:c>
      <x:c r="O8" s="1521" t="str">
        <x:v>低</x:v>
      </x:c>
      <x:c r="P8" s="1589" t="str"/>
    </x:row>
    <x:row r="9">
      <x:c r="A9" s="1588" t="str">
        <x:v>RK-005</x:v>
      </x:c>
      <x:c r="B9" s="1521" t="str">
        <x:v>帳票</x:v>
      </x:c>
      <x:c r="C9" s="1521" t="str">
        <x:v>A3レポートの文字切れ・可読性低下</x:v>
      </x:c>
      <x:c r="D9" s="1521" t="str">
        <x:v>中</x:v>
      </x:c>
      <x:c r="E9" s="1521" t="str">
        <x:v>高</x:v>
      </x:c>
      <x:c r="F9" s="1606" t="n">
        <x:f>IF(OR(D9="",E9=""),"",IF(D9="低",1,IF(D9="中",2,IF(D9="高",3,4)))*IF(E9="低",1,IF(E9="中",2,IF(E9="高",3,4))))</x:f>
        <x:v>6</x:v>
      </x:c>
      <x:c r="G9" s="1521" t="str">
        <x:f>IF(F9="","",IF(F9&gt;=12,"S",IF(F9&gt;=8,"A",IF(F9&gt;=4,"B","C"))))</x:f>
        <x:v>B</x:v>
      </x:c>
      <x:c r="H9" s="1521" t="str">
        <x:v>表示上限、短縮文、レイアウト試験</x:v>
      </x:c>
      <x:c r="I9" s="1521" t="str">
        <x:v>短縮テンプレート・再生成</x:v>
      </x:c>
      <x:c r="J9" s="1521" t="str">
        <x:v>UI/帳票責任者</x:v>
      </x:c>
      <x:c r="K9" s="1521" t="str"/>
      <x:c r="L9" s="1521" t="str">
        <x:v>未着手</x:v>
      </x:c>
      <x:c r="M9" s="1521" t="str">
        <x:v>生成失敗・文字超過率</x:v>
      </x:c>
      <x:c r="N9" s="1521" t="str">
        <x:v>Phase3</x:v>
      </x:c>
      <x:c r="O9" s="1521" t="str">
        <x:v>低</x:v>
      </x:c>
      <x:c r="P9" s="1589" t="str"/>
    </x:row>
    <x:row r="10">
      <x:c r="A10" s="1588" t="str">
        <x:v>RK-006</x:v>
      </x:c>
      <x:c r="B10" s="1521" t="str">
        <x:v>運用</x:v>
      </x:c>
      <x:c r="C10" s="1521" t="str">
        <x:v>コメント・算定式Version更新が開発会社依存</x:v>
      </x:c>
      <x:c r="D10" s="1521" t="str">
        <x:v>中</x:v>
      </x:c>
      <x:c r="E10" s="1521" t="str">
        <x:v>高</x:v>
      </x:c>
      <x:c r="F10" s="1606" t="n">
        <x:f>IF(OR(D10="",E10=""),"",IF(D10="低",1,IF(D10="中",2,IF(D10="高",3,4)))*IF(E10="低",1,IF(E10="中",2,IF(E10="高",3,4))))</x:f>
        <x:v>6</x:v>
      </x:c>
      <x:c r="G10" s="1521" t="str">
        <x:f>IF(F10="","",IF(F10&gt;=12,"S",IF(F10&gt;=8,"A",IF(F10&gt;=4,"B","C"))))</x:f>
        <x:v>B</x:v>
      </x:c>
      <x:c r="H10" s="1521" t="str">
        <x:v>管理画面・設定化・手順書</x:v>
      </x:c>
      <x:c r="I10" s="1521" t="str">
        <x:v>保守契約見直し・移管</x:v>
      </x:c>
      <x:c r="J10" s="1521" t="str">
        <x:v>運用責任者</x:v>
      </x:c>
      <x:c r="K10" s="1521" t="str"/>
      <x:c r="L10" s="1521" t="str">
        <x:v>未着手</x:v>
      </x:c>
      <x:c r="M10" s="1521" t="str">
        <x:v>設定変更に要する日数</x:v>
      </x:c>
      <x:c r="N10" s="1521" t="str">
        <x:v>Phase4</x:v>
      </x:c>
      <x:c r="O10" s="1521" t="str">
        <x:v>中</x:v>
      </x:c>
      <x:c r="P10" s="1589" t="str"/>
    </x:row>
    <x:row r="11">
      <x:c r="A11" s="1588" t="str">
        <x:v>RK-007</x:v>
      </x:c>
      <x:c r="B11" s="1521" t="str">
        <x:v>費用</x:v>
      </x:c>
      <x:c r="C11" s="1521" t="str">
        <x:v>AI・クラウド従量費が想定を超える</x:v>
      </x:c>
      <x:c r="D11" s="1521" t="str">
        <x:v>中</x:v>
      </x:c>
      <x:c r="E11" s="1521" t="str">
        <x:v>中</x:v>
      </x:c>
      <x:c r="F11" s="1606" t="n">
        <x:f>IF(OR(D11="",E11=""),"",IF(D11="低",1,IF(D11="中",2,IF(D11="高",3,4)))*IF(E11="低",1,IF(E11="中",2,IF(E11="高",3,4))))</x:f>
        <x:v>4</x:v>
      </x:c>
      <x:c r="G11" s="1521" t="str">
        <x:f>IF(F11="","",IF(F11&gt;=12,"S",IF(F11&gt;=8,"A",IF(F11&gt;=4,"B","C"))))</x:f>
        <x:v>B</x:v>
      </x:c>
      <x:c r="H11" s="1521" t="str">
        <x:v>上限、キャッシュ、利用量監視</x:v>
      </x:c>
      <x:c r="I11" s="1521" t="str">
        <x:v>プラン変更・機能制限</x:v>
      </x:c>
      <x:c r="J11" s="1521" t="str">
        <x:v>事業責任者</x:v>
      </x:c>
      <x:c r="K11" s="1521" t="str"/>
      <x:c r="L11" s="1521" t="str">
        <x:v>未着手</x:v>
      </x:c>
      <x:c r="M11" s="1521" t="str">
        <x:v>1診断当たり原価</x:v>
      </x:c>
      <x:c r="N11" s="1521" t="str">
        <x:v>Phase4～6</x:v>
      </x:c>
      <x:c r="O11" s="1521" t="str">
        <x:v>低</x:v>
      </x:c>
      <x:c r="P11" s="1589" t="str"/>
    </x:row>
    <x:row r="12">
      <x:c r="A12" s="1588" t="str">
        <x:v>RK-008</x:v>
      </x:c>
      <x:c r="B12" s="1521" t="str">
        <x:v>利用</x:v>
      </x:c>
      <x:c r="C12" s="1521" t="str">
        <x:v>質問数が多く途中離脱が増える</x:v>
      </x:c>
      <x:c r="D12" s="1521" t="str">
        <x:v>高</x:v>
      </x:c>
      <x:c r="E12" s="1521" t="str">
        <x:v>高</x:v>
      </x:c>
      <x:c r="F12" s="1606" t="n">
        <x:f>IF(OR(D12="",E12=""),"",IF(D12="低",1,IF(D12="中",2,IF(D12="高",3,4)))*IF(E12="低",1,IF(E12="中",2,IF(E12="高",3,4))))</x:f>
        <x:v>9</x:v>
      </x:c>
      <x:c r="G12" s="1521" t="str">
        <x:f>IF(F12="","",IF(F12&gt;=12,"S",IF(F12&gt;=8,"A",IF(F12&gt;=4,"B","C"))))</x:f>
        <x:v>A</x:v>
      </x:c>
      <x:c r="H12" s="1521" t="str">
        <x:v>進捗、分割、途中保存、条件分岐</x:v>
      </x:c>
      <x:c r="I12" s="1521" t="str">
        <x:v>質問削減・ABテスト</x:v>
      </x:c>
      <x:c r="J12" s="1521" t="str">
        <x:v>マーケ責任者</x:v>
      </x:c>
      <x:c r="K12" s="1521" t="str"/>
      <x:c r="L12" s="1521" t="str">
        <x:v>未着手</x:v>
      </x:c>
      <x:c r="M12" s="1521" t="str">
        <x:v>Step別離脱率</x:v>
      </x:c>
      <x:c r="N12" s="1521" t="str">
        <x:v>Phase2/6</x:v>
      </x:c>
      <x:c r="O12" s="1521" t="str">
        <x:v>中</x:v>
      </x:c>
      <x:c r="P12" s="1589" t="str"/>
    </x:row>
    <x:row r="13">
      <x:c r="A13" s="1588" t="str">
        <x:v>RK-009</x:v>
      </x:c>
      <x:c r="B13" s="1521" t="str">
        <x:v>案件化</x:v>
      </x:c>
      <x:c r="C13" s="1521" t="str">
        <x:v>レポート閲覧後の相談転換が低い</x:v>
      </x:c>
      <x:c r="D13" s="1521" t="str">
        <x:v>中</x:v>
      </x:c>
      <x:c r="E13" s="1521" t="str">
        <x:v>高</x:v>
      </x:c>
      <x:c r="F13" s="1606" t="n">
        <x:f>IF(OR(D13="",E13=""),"",IF(D13="低",1,IF(D13="中",2,IF(D13="高",3,4)))*IF(E13="低",1,IF(E13="中",2,IF(E13="高",3,4))))</x:f>
        <x:v>6</x:v>
      </x:c>
      <x:c r="G13" s="1521" t="str">
        <x:f>IF(F13="","",IF(F13&gt;=12,"S",IF(F13&gt;=8,"A",IF(F13&gt;=4,"B","C"))))</x:f>
        <x:v>B</x:v>
      </x:c>
      <x:c r="H13" s="1521" t="str">
        <x:v>CTA、Next Action、営業連携</x:v>
      </x:c>
      <x:c r="I13" s="1521" t="str">
        <x:v>導線・文言・対象顧客見直し</x:v>
      </x:c>
      <x:c r="J13" s="1521" t="str">
        <x:v>営業責任者</x:v>
      </x:c>
      <x:c r="K13" s="1521" t="str"/>
      <x:c r="L13" s="1521" t="str">
        <x:v>未着手</x:v>
      </x:c>
      <x:c r="M13" s="1521" t="str">
        <x:v>相談CV率</x:v>
      </x:c>
      <x:c r="N13" s="1521" t="str">
        <x:v>Phase3/6</x:v>
      </x:c>
      <x:c r="O13" s="1521" t="str">
        <x:v>中</x:v>
      </x:c>
      <x:c r="P13" s="1589" t="str"/>
    </x:row>
    <x:row r="14">
      <x:c r="A14" s="1590" t="str">
        <x:v>RK-010</x:v>
      </x:c>
      <x:c r="B14" s="1591" t="str">
        <x:v>法務</x:v>
      </x:c>
      <x:c r="C14" s="1591" t="str">
        <x:v>免責・個人情報・データ利用条件が不十分</x:v>
      </x:c>
      <x:c r="D14" s="1591" t="str">
        <x:v>中</x:v>
      </x:c>
      <x:c r="E14" s="1591" t="str">
        <x:v>高</x:v>
      </x:c>
      <x:c r="F14" s="1607" t="n">
        <x:f>IF(OR(D14="",E14=""),"",IF(D14="低",1,IF(D14="中",2,IF(D14="高",3,4)))*IF(E14="低",1,IF(E14="中",2,IF(E14="高",3,4))))</x:f>
        <x:v>6</x:v>
      </x:c>
      <x:c r="G14" s="1591" t="str">
        <x:f>IF(F14="","",IF(F14&gt;=12,"S",IF(F14&gt;=8,"A",IF(F14&gt;=4,"B","C"))))</x:f>
        <x:v>B</x:v>
      </x:c>
      <x:c r="H14" s="1591" t="str">
        <x:v>法務レビュー、同意記録、規約</x:v>
      </x:c>
      <x:c r="I14" s="1591" t="str">
        <x:v>公開停止・規約改訂</x:v>
      </x:c>
      <x:c r="J14" s="1591" t="str">
        <x:v>管理責任者</x:v>
      </x:c>
      <x:c r="K14" s="1591" t="str"/>
      <x:c r="L14" s="1591" t="str">
        <x:v>未着手</x:v>
      </x:c>
      <x:c r="M14" s="1591" t="str">
        <x:v>規約未同意・問い合わせ</x:v>
      </x:c>
      <x:c r="N14" s="1591" t="str">
        <x:v>Phase0～5</x:v>
      </x:c>
      <x:c r="O14" s="1591" t="str">
        <x:v>低</x:v>
      </x:c>
      <x:c r="P14" s="1592" t="str"/>
    </x:row>
  </x:sheetData>
  <x:mergeCells>
    <x:mergeCell ref="A1:P1"/>
    <x:mergeCell ref="A2:P2"/>
  </x:mergeCells>
  <x:conditionalFormatting sqref="G5:G14">
    <x:cfRule type="expression" dxfId="6" priority="1">
      <x:formula>G5="S"</x:formula>
    </x:cfRule>
    <x:cfRule type="expression" dxfId="7" priority="2">
      <x:formula>G5="A"</x:formula>
    </x:cfRule>
    <x:cfRule type="expression" dxfId="8" priority="3">
      <x:formula>G5="B"</x:formula>
    </x:cfRule>
  </x:conditionalFormatting>
  <x:dataValidations count="2">
    <x:dataValidation type="list" sqref="D5:E14">
      <x:formula1>"低,中,高,最高"</x:formula1>
    </x:dataValidation>
    <x:dataValidation type="list" sqref="L5:L14">
      <x:formula1>"未着手,対応中,監視中,解消,受容"</x:formula1>
    </x:dataValidation>
  </x:dataValidations>
  <x:pageMargins left="0.7" right="0.7" top="0.75" bottom="0.75" header="0.3" footer="0.3"/>
</x:worksheet>
</file>

<file path=xl/worksheets/sheet31.xml><?xml version="1.0" encoding="utf-8"?>
<x:worksheet xmlns:x="http://schemas.openxmlformats.org/spreadsheetml/2006/main">
  <x:sheetFormatPr defaultRowHeight="15"/>
  <x:cols>
    <x:col min="1" max="1" width="12" hidden="0" customWidth="1"/>
    <x:col min="2" max="2" width="24" hidden="0" customWidth="1"/>
    <x:col min="3" max="3" width="34" hidden="0" customWidth="1"/>
    <x:col min="4" max="4" width="24" hidden="0" customWidth="1"/>
    <x:col min="5" max="5" width="24" hidden="0" customWidth="1"/>
    <x:col min="6" max="6" width="38" hidden="0" customWidth="1"/>
    <x:col min="7" max="7" width="16" hidden="0" customWidth="1"/>
    <x:col min="8" max="8" width="18" hidden="0" customWidth="1"/>
    <x:col min="9" max="9" width="16" hidden="0" customWidth="1"/>
    <x:col min="10" max="10" width="20" hidden="0" customWidth="1"/>
    <x:col min="11" max="11" width="20" hidden="0" customWidth="1"/>
    <x:col min="12" max="12" width="16" hidden="0" customWidth="1"/>
    <x:col min="13" max="13" width="28" hidden="0" customWidth="1"/>
    <x:col min="14" max="14" width="26" hidden="0" customWidth="1"/>
    <x:col min="15" max="15" width="14" hidden="0" customWidth="1"/>
  </x:cols>
  <x:sheetData>
    <x:row r="1" ht="28" customHeight="1">
      <x:c r="A1" s="1625" t="str">
        <x:v>30_社内決裁・予算計画</x:v>
      </x:c>
      <x:c r="B1" s="1625"/>
      <x:c r="C1" s="1625"/>
      <x:c r="D1" s="1625"/>
      <x:c r="E1" s="1625"/>
      <x:c r="F1" s="1625"/>
      <x:c r="G1" s="1625"/>
      <x:c r="H1" s="1625"/>
      <x:c r="I1" s="1625"/>
      <x:c r="J1" s="1625"/>
      <x:c r="K1" s="1625"/>
      <x:c r="L1" s="1625"/>
      <x:c r="M1" s="1625"/>
      <x:c r="N1" s="1625"/>
      <x:c r="O1" s="1625"/>
    </x:row>
    <x:row r="2" ht="36" customHeight="1">
      <x:c r="A2" s="1628" t="str">
        <x:v>開発着手前の社内意思決定事項、予算枠、承認条件、段階投資の判断基準を整理。</x:v>
      </x:c>
      <x:c r="B2" s="1628"/>
      <x:c r="C2" s="1628"/>
      <x:c r="D2" s="1628"/>
      <x:c r="E2" s="1628"/>
      <x:c r="F2" s="1628"/>
      <x:c r="G2" s="1628"/>
      <x:c r="H2" s="1628"/>
      <x:c r="I2" s="1628"/>
      <x:c r="J2" s="1628"/>
      <x:c r="K2" s="1628"/>
      <x:c r="L2" s="1628"/>
      <x:c r="M2" s="1628"/>
      <x:c r="N2" s="1628"/>
      <x:c r="O2" s="1628"/>
    </x:row>
    <x:row r="4" ht="38" customHeight="1">
      <x:c r="A4" s="1640" t="str">
        <x:v>決裁ID</x:v>
      </x:c>
      <x:c r="B4" s="1641" t="str">
        <x:v>決裁テーマ</x:v>
      </x:c>
      <x:c r="C4" s="1641" t="str">
        <x:v>決定内容</x:v>
      </x:c>
      <x:c r="D4" s="1641" t="str">
        <x:v>選択肢</x:v>
      </x:c>
      <x:c r="E4" s="1641" t="str">
        <x:v>推奨案</x:v>
      </x:c>
      <x:c r="F4" s="1641" t="str">
        <x:v>判断根拠</x:v>
      </x:c>
      <x:c r="G4" s="1641" t="str">
        <x:v>初期費用枠</x:v>
      </x:c>
      <x:c r="H4" s="1641" t="str">
        <x:v>年間運用費枠</x:v>
      </x:c>
      <x:c r="I4" s="1641" t="str">
        <x:v>3年TCO上限</x:v>
      </x:c>
      <x:c r="J4" s="1641" t="str">
        <x:v>承認者</x:v>
      </x:c>
      <x:c r="K4" s="1641" t="str">
        <x:v>起案者</x:v>
      </x:c>
      <x:c r="L4" s="1641" t="str">
        <x:v>決裁期限</x:v>
      </x:c>
      <x:c r="M4" s="1641" t="str">
        <x:v>前提条件</x:v>
      </x:c>
      <x:c r="N4" s="1641" t="str">
        <x:v>未決事項</x:v>
      </x:c>
      <x:c r="O4" s="1642" t="str">
        <x:v>状態</x:v>
      </x:c>
    </x:row>
    <x:row r="5">
      <x:c r="A5" s="1659" t="str">
        <x:v>AP-001</x:v>
      </x:c>
      <x:c r="B5" s="1660" t="str">
        <x:v>開発方針</x:v>
      </x:c>
      <x:c r="C5" s="1660" t="str">
        <x:v>一括開発か段階開発か</x:v>
      </x:c>
      <x:c r="D5" s="1660" t="str">
        <x:v>一括／PoC先行／外部SaaS活用</x:v>
      </x:c>
      <x:c r="E5" s="1660" t="str">
        <x:v>PoC先行</x:v>
      </x:c>
      <x:c r="F5" s="1660" t="str">
        <x:v>診断ロジックとAI統制を先に検証し、手戻りを抑える</x:v>
      </x:c>
      <x:c r="G5" s="1667" t="str"/>
      <x:c r="H5" s="1667" t="str"/>
      <x:c r="I5" s="1667" t="str"/>
      <x:c r="J5" s="1660" t="str">
        <x:v>社長・担当役員</x:v>
      </x:c>
      <x:c r="K5" s="1660" t="str">
        <x:v>プロジェクト責任者</x:v>
      </x:c>
      <x:c r="L5" s="1660" t="str"/>
      <x:c r="M5" s="1660" t="str">
        <x:v>Version0.8を基準</x:v>
      </x:c>
      <x:c r="N5" s="1660" t="str">
        <x:v>予算上限</x:v>
      </x:c>
      <x:c r="O5" s="1661" t="str">
        <x:v>未決</x:v>
      </x:c>
    </x:row>
    <x:row r="6">
      <x:c r="A6" s="1662" t="str">
        <x:v>AP-002</x:v>
      </x:c>
      <x:c r="B6" s="1521" t="str">
        <x:v>Phase 0～1発注</x:v>
      </x:c>
      <x:c r="C6" s="1521" t="str">
        <x:v>Fit&amp;Gap＋診断エンジンPoCの発注可否</x:v>
      </x:c>
      <x:c r="D6" s="1521" t="str">
        <x:v>発注／条件付き発注／保留</x:v>
      </x:c>
      <x:c r="E6" s="1521" t="str">
        <x:v>条件付き発注</x:v>
      </x:c>
      <x:c r="F6" s="1521" t="str">
        <x:v>受入テストAT-002～010を満たすこと</x:v>
      </x:c>
      <x:c r="G6" s="1594" t="str"/>
      <x:c r="H6" s="1594" t="str"/>
      <x:c r="I6" s="1594" t="str"/>
      <x:c r="J6" s="1521" t="str">
        <x:v>社長・担当役員</x:v>
      </x:c>
      <x:c r="K6" s="1521" t="str">
        <x:v>プロジェクト責任者</x:v>
      </x:c>
      <x:c r="L6" s="1521" t="str"/>
      <x:c r="M6" s="1521" t="str">
        <x:v>複数社比較</x:v>
      </x:c>
      <x:c r="N6" s="1521" t="str">
        <x:v>候補会社</x:v>
      </x:c>
      <x:c r="O6" s="1663" t="str">
        <x:v>未決</x:v>
      </x:c>
    </x:row>
    <x:row r="7">
      <x:c r="A7" s="1662" t="str">
        <x:v>AP-003</x:v>
      </x:c>
      <x:c r="B7" s="1521" t="str">
        <x:v>Phase 2以降移行</x:v>
      </x:c>
      <x:c r="C7" s="1521" t="str">
        <x:v>LP・MVP開発への移行条件</x:v>
      </x:c>
      <x:c r="D7" s="1521" t="str">
        <x:v>移行／再設計／中止</x:v>
      </x:c>
      <x:c r="E7" s="1521" t="str">
        <x:v>条件達成後移行</x:v>
      </x:c>
      <x:c r="F7" s="1521" t="str">
        <x:v>PoC精度、再現性、見積妥当性をゲートとする</x:v>
      </x:c>
      <x:c r="G7" s="1594" t="str"/>
      <x:c r="H7" s="1594" t="str"/>
      <x:c r="I7" s="1594" t="str"/>
      <x:c r="J7" s="1521" t="str">
        <x:v>ステアリング委員会</x:v>
      </x:c>
      <x:c r="K7" s="1521" t="str">
        <x:v>PM</x:v>
      </x:c>
      <x:c r="L7" s="1521" t="str">
        <x:v>Phase1完了時</x:v>
      </x:c>
      <x:c r="M7" s="1521" t="str">
        <x:v>PoC合格</x:v>
      </x:c>
      <x:c r="N7" s="1521" t="str">
        <x:v>実ユーザー評価</x:v>
      </x:c>
      <x:c r="O7" s="1663" t="str">
        <x:v>未決</x:v>
      </x:c>
    </x:row>
    <x:row r="8">
      <x:c r="A8" s="1662" t="str">
        <x:v>AP-004</x:v>
      </x:c>
      <x:c r="B8" s="1521" t="str">
        <x:v>初期予算</x:v>
      </x:c>
      <x:c r="C8" s="1521" t="str">
        <x:v>初期開発費の承認枠</x:v>
      </x:c>
      <x:c r="D8" s="1521" t="str">
        <x:v>上限予算を設定</x:v>
      </x:c>
      <x:c r="E8" s="1521" t="str">
        <x:v>RFP回答後決定</x:v>
      </x:c>
      <x:c r="F8" s="1521" t="str">
        <x:v>見積内訳と3社評価により決定</x:v>
      </x:c>
      <x:c r="G8" s="1594" t="str"/>
      <x:c r="H8" s="1594" t="str"/>
      <x:c r="I8" s="1594" t="str"/>
      <x:c r="J8" s="1521" t="str">
        <x:v>社長・取締役会等</x:v>
      </x:c>
      <x:c r="K8" s="1521" t="str">
        <x:v>財務・プロジェクト責任者</x:v>
      </x:c>
      <x:c r="L8" s="1521" t="str">
        <x:v>ベンダー選定前</x:v>
      </x:c>
      <x:c r="M8" s="1521" t="str">
        <x:v>26・27シート完成</x:v>
      </x:c>
      <x:c r="N8" s="1521" t="str">
        <x:v>予算区分</x:v>
      </x:c>
      <x:c r="O8" s="1663" t="str">
        <x:v>未決</x:v>
      </x:c>
    </x:row>
    <x:row r="9">
      <x:c r="A9" s="1662" t="str">
        <x:v>AP-005</x:v>
      </x:c>
      <x:c r="B9" s="1521" t="str">
        <x:v>運用予算</x:v>
      </x:c>
      <x:c r="C9" s="1521" t="str">
        <x:v>クラウド・AI・保守の年間枠</x:v>
      </x:c>
      <x:c r="D9" s="1521" t="str">
        <x:v>固定＋従量上限</x:v>
      </x:c>
      <x:c r="E9" s="1521" t="str">
        <x:v>診断件数別に設定</x:v>
      </x:c>
      <x:c r="F9" s="1521" t="str">
        <x:v>1診断当たり原価と年間診断数で判断</x:v>
      </x:c>
      <x:c r="G9" s="1594" t="str"/>
      <x:c r="H9" s="1594" t="str"/>
      <x:c r="I9" s="1594" t="str"/>
      <x:c r="J9" s="1521" t="str">
        <x:v>社長・担当役員</x:v>
      </x:c>
      <x:c r="K9" s="1521" t="str">
        <x:v>事業責任者</x:v>
      </x:c>
      <x:c r="L9" s="1521" t="str">
        <x:v>本番発注前</x:v>
      </x:c>
      <x:c r="M9" s="1521" t="str">
        <x:v>利用量試算</x:v>
      </x:c>
      <x:c r="N9" s="1521" t="str">
        <x:v>診断件数予測</x:v>
      </x:c>
      <x:c r="O9" s="1663" t="str">
        <x:v>未決</x:v>
      </x:c>
    </x:row>
    <x:row r="10">
      <x:c r="A10" s="1664" t="str">
        <x:v>AP-006</x:v>
      </x:c>
      <x:c r="B10" s="1665" t="str">
        <x:v>知財・データ</x:v>
      </x:c>
      <x:c r="C10" s="1665" t="str">
        <x:v>ソースコード・データ・移管条件</x:v>
      </x:c>
      <x:c r="D10" s="1665" t="str">
        <x:v>自社帰属／共同／利用許諾</x:v>
      </x:c>
      <x:c r="E10" s="1665" t="str">
        <x:v>自社継続利用と移管可能性を確保</x:v>
      </x:c>
      <x:c r="F10" s="1665" t="str">
        <x:v>ベンダーロックイン回避</x:v>
      </x:c>
      <x:c r="G10" s="1668" t="str"/>
      <x:c r="H10" s="1668" t="str"/>
      <x:c r="I10" s="1668" t="str"/>
      <x:c r="J10" s="1665" t="str">
        <x:v>社長・法務</x:v>
      </x:c>
      <x:c r="K10" s="1665" t="str">
        <x:v>プロジェクト責任者</x:v>
      </x:c>
      <x:c r="L10" s="1665" t="str">
        <x:v>契約締結前</x:v>
      </x:c>
      <x:c r="M10" s="1665" t="str">
        <x:v>契約条項確認</x:v>
      </x:c>
      <x:c r="N10" s="1665" t="str">
        <x:v>再委託・国外保管</x:v>
      </x:c>
      <x:c r="O10" s="1666" t="str">
        <x:v>未決</x:v>
      </x:c>
    </x:row>
  </x:sheetData>
  <x:mergeCells>
    <x:mergeCell ref="A1:O1"/>
    <x:mergeCell ref="A2:O2"/>
  </x:mergeCells>
  <x:dataValidations count="1">
    <x:dataValidation type="list" sqref="O5:O10">
      <x:formula1>"未決,起案中,承認待ち,承認,条件付き承認,否決,保留"</x:formula1>
    </x:dataValidation>
  </x:dataValidations>
  <x:pageMargins left="0.7" right="0.7" top="0.75" bottom="0.75" header="0.3" footer="0.3"/>
</x:worksheet>
</file>

<file path=xl/worksheets/sheet32.xml><?xml version="1.0" encoding="utf-8"?>
<x:worksheet xmlns:x="http://schemas.openxmlformats.org/spreadsheetml/2006/main">
  <x:sheetFormatPr defaultRowHeight="15"/>
  <x:cols>
    <x:col min="1" max="1" width="12" hidden="0" customWidth="1"/>
    <x:col min="2" max="2" width="14" hidden="0" customWidth="1"/>
    <x:col min="3" max="3" width="22" hidden="0" customWidth="1"/>
    <x:col min="4" max="4" width="40"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20" hidden="0" customWidth="1"/>
    <x:col min="12" max="12" width="18" hidden="0" customWidth="1"/>
    <x:col min="13" max="13" width="34" hidden="0" customWidth="1"/>
    <x:col min="14" max="14" width="16" hidden="0" customWidth="1"/>
    <x:col min="15" max="15" width="18" hidden="0" customWidth="1"/>
    <x:col min="16" max="16" width="22" hidden="0" customWidth="1"/>
  </x:cols>
  <x:sheetData>
    <x:row r="1" ht="28" customHeight="1">
      <x:c r="A1" s="1625" t="str">
        <x:v>31_パイロットKPI</x:v>
      </x:c>
      <x:c r="B1" s="1625"/>
      <x:c r="C1" s="1625"/>
      <x:c r="D1" s="1625"/>
      <x:c r="E1" s="1625"/>
      <x:c r="F1" s="1625"/>
      <x:c r="G1" s="1625"/>
      <x:c r="H1" s="1625"/>
      <x:c r="I1" s="1625"/>
      <x:c r="J1" s="1625"/>
      <x:c r="K1" s="1625"/>
      <x:c r="L1" s="1625"/>
      <x:c r="M1" s="1625"/>
      <x:c r="N1" s="1625"/>
      <x:c r="O1" s="1625"/>
      <x:c r="P1" s="1625"/>
    </x:row>
    <x:row r="2" ht="36" customHeight="1">
      <x:c r="A2" s="1628" t="str">
        <x:v>限定公開3か月で、診断品質、利用性、案件化、原価、運用負荷を評価するKPI。</x:v>
      </x:c>
      <x:c r="B2" s="1628"/>
      <x:c r="C2" s="1628"/>
      <x:c r="D2" s="1628"/>
      <x:c r="E2" s="1628"/>
      <x:c r="F2" s="1628"/>
      <x:c r="G2" s="1628"/>
      <x:c r="H2" s="1628"/>
      <x:c r="I2" s="1628"/>
      <x:c r="J2" s="1628"/>
      <x:c r="K2" s="1628"/>
      <x:c r="L2" s="1628"/>
      <x:c r="M2" s="1628"/>
      <x:c r="N2" s="1628"/>
      <x:c r="O2" s="1628"/>
      <x:c r="P2" s="1628"/>
    </x:row>
    <x:row r="4" ht="38" customHeight="1">
      <x:c r="A4" s="1640" t="str">
        <x:v>KPI ID</x:v>
      </x:c>
      <x:c r="B4" s="1641" t="str">
        <x:v>分類</x:v>
      </x:c>
      <x:c r="C4" s="1641" t="str">
        <x:v>KPI</x:v>
      </x:c>
      <x:c r="D4" s="1641" t="str">
        <x:v>定義・算定式</x:v>
      </x:c>
      <x:c r="E4" s="1641" t="str">
        <x:v>目標値</x:v>
      </x:c>
      <x:c r="F4" s="1641" t="str">
        <x:v>警戒値</x:v>
      </x:c>
      <x:c r="G4" s="1641" t="str">
        <x:v>実績</x:v>
      </x:c>
      <x:c r="H4" s="1641" t="str">
        <x:v>達成率</x:v>
      </x:c>
      <x:c r="I4" s="1641" t="str">
        <x:v>判定</x:v>
      </x:c>
      <x:c r="J4" s="1641" t="str">
        <x:v>測定頻度</x:v>
      </x:c>
      <x:c r="K4" s="1641" t="str">
        <x:v>データ源</x:v>
      </x:c>
      <x:c r="L4" s="1641" t="str">
        <x:v>責任者</x:v>
      </x:c>
      <x:c r="M4" s="1641" t="str">
        <x:v>改善アクション</x:v>
      </x:c>
      <x:c r="N4" s="1641" t="str">
        <x:v>レビュー日</x:v>
      </x:c>
      <x:c r="O4" s="1641" t="str">
        <x:v>Phase6継続条件</x:v>
      </x:c>
      <x:c r="P4" s="1642" t="str">
        <x:v>備考</x:v>
      </x:c>
    </x:row>
    <x:row r="5">
      <x:c r="A5" s="1659" t="str">
        <x:v>PK-001</x:v>
      </x:c>
      <x:c r="B5" s="1660" t="str">
        <x:v>利用</x:v>
      </x:c>
      <x:c r="C5" s="1660" t="str">
        <x:v>診断開始数</x:v>
      </x:c>
      <x:c r="D5" s="1660" t="str">
        <x:v>SCR-01到達セッション数</x:v>
      </x:c>
      <x:c r="E5" s="1669" t="n">
        <x:v>100</x:v>
      </x:c>
      <x:c r="F5" s="1669" t="n">
        <x:v>50</x:v>
      </x:c>
      <x:c r="G5" s="1669"/>
      <x:c r="H5" s="1669" t="str">
        <x:f>IF(G5="","",IF(E5=0,"",G5/E5))</x:f>
      </x:c>
      <x:c r="I5" s="1660" t="str">
        <x:f>IF(G5="","",IF(OR(A5="PK-003",A5="PK-005",A5="PK-006",A5="PK-010",A5="PK-011",A5="PK-012"),IF(G5&lt;=E5,"達成",IF(G5&lt;=F5,"注意","未達")),IF(G5&gt;=E5,"達成",IF(G5&gt;=F5,"注意","未達"))))</x:f>
      </x:c>
      <x:c r="J5" s="1660" t="str">
        <x:v>月次</x:v>
      </x:c>
      <x:c r="K5" s="1660" t="str">
        <x:v>アクセスログ</x:v>
      </x:c>
      <x:c r="L5" s="1660" t="str">
        <x:v>マーケ責任者</x:v>
      </x:c>
      <x:c r="M5" s="1660" t="str">
        <x:v>集客施策見直し</x:v>
      </x:c>
      <x:c r="N5" s="1660" t="str"/>
      <x:c r="O5" s="1660" t="str">
        <x:v>参考値</x:v>
      </x:c>
      <x:c r="P5" s="1661" t="str"/>
    </x:row>
    <x:row r="6">
      <x:c r="A6" s="1662" t="str">
        <x:v>PK-002</x:v>
      </x:c>
      <x:c r="B6" s="1521" t="str">
        <x:v>利用</x:v>
      </x:c>
      <x:c r="C6" s="1521" t="str">
        <x:v>診断完了率</x:v>
      </x:c>
      <x:c r="D6" s="1521" t="str">
        <x:v>診断完了数÷診断開始数</x:v>
      </x:c>
      <x:c r="E6" s="1671" t="n">
        <x:v>0.65</x:v>
      </x:c>
      <x:c r="F6" s="1671" t="n">
        <x:v>0.4</x:v>
      </x:c>
      <x:c r="G6" s="1671"/>
      <x:c r="H6" s="1671" t="str">
        <x:f>IF(G6="","",IF(E6=0,"",G6/E6))</x:f>
      </x:c>
      <x:c r="I6" s="1521" t="str">
        <x:f>IF(G6="","",IF(OR(A6="PK-003",A6="PK-005",A6="PK-006",A6="PK-010",A6="PK-011",A6="PK-012"),IF(G6&lt;=E6,"達成",IF(G6&lt;=F6,"注意","未達")),IF(G6&gt;=E6,"達成",IF(G6&gt;=F6,"注意","未達"))))</x:f>
      </x:c>
      <x:c r="J6" s="1521" t="str">
        <x:v>週次</x:v>
      </x:c>
      <x:c r="K6" s="1521" t="str">
        <x:v>診断ログ</x:v>
      </x:c>
      <x:c r="L6" s="1521" t="str">
        <x:v>プロダクト責任者</x:v>
      </x:c>
      <x:c r="M6" s="1521" t="str">
        <x:v>質問削減・UI改善</x:v>
      </x:c>
      <x:c r="N6" s="1521" t="str"/>
      <x:c r="O6" s="1521" t="str">
        <x:v>&gt;=60%</x:v>
      </x:c>
      <x:c r="P6" s="1663" t="str"/>
    </x:row>
    <x:row r="7">
      <x:c r="A7" s="1662" t="str">
        <x:v>PK-003</x:v>
      </x:c>
      <x:c r="B7" s="1521" t="str">
        <x:v>利用</x:v>
      </x:c>
      <x:c r="C7" s="1521" t="str">
        <x:v>平均完了時間</x:v>
      </x:c>
      <x:c r="D7" s="1521" t="str">
        <x:v>開始～結果表示の中央値（分）</x:v>
      </x:c>
      <x:c r="E7" s="1603" t="n">
        <x:v>12</x:v>
      </x:c>
      <x:c r="F7" s="1603" t="n">
        <x:v>20</x:v>
      </x:c>
      <x:c r="G7" s="1603"/>
      <x:c r="H7" s="1603" t="str">
        <x:f>IF(G7="","",IF(E7=0,"",G7/E7))</x:f>
      </x:c>
      <x:c r="I7" s="1521" t="str">
        <x:f>IF(G7="","",IF(OR(A7="PK-003",A7="PK-005",A7="PK-006",A7="PK-010",A7="PK-011",A7="PK-012"),IF(G7&lt;=E7,"達成",IF(G7&lt;=F7,"注意","未達")),IF(G7&gt;=E7,"達成",IF(G7&gt;=F7,"注意","未達"))))</x:f>
      </x:c>
      <x:c r="J7" s="1521" t="str">
        <x:v>週次</x:v>
      </x:c>
      <x:c r="K7" s="1521" t="str">
        <x:v>診断ログ</x:v>
      </x:c>
      <x:c r="L7" s="1521" t="str">
        <x:v>プロダクト責任者</x:v>
      </x:c>
      <x:c r="M7" s="1521" t="str">
        <x:v>導線・質問整理</x:v>
      </x:c>
      <x:c r="N7" s="1521" t="str"/>
      <x:c r="O7" s="1521" t="str">
        <x:v>&lt;=15分</x:v>
      </x:c>
      <x:c r="P7" s="1663" t="str"/>
    </x:row>
    <x:row r="8">
      <x:c r="A8" s="1662" t="str">
        <x:v>PK-004</x:v>
      </x:c>
      <x:c r="B8" s="1521" t="str">
        <x:v>Evidence</x:v>
      </x:c>
      <x:c r="C8" s="1521" t="str">
        <x:v>Evidence添付率</x:v>
      </x:c>
      <x:c r="D8" s="1521" t="str">
        <x:v>1件以上添付した診断÷完了診断</x:v>
      </x:c>
      <x:c r="E8" s="1671" t="n">
        <x:v>0.35</x:v>
      </x:c>
      <x:c r="F8" s="1671" t="n">
        <x:v>0.15</x:v>
      </x:c>
      <x:c r="G8" s="1671"/>
      <x:c r="H8" s="1671" t="str">
        <x:f>IF(G8="","",IF(E8=0,"",G8/E8))</x:f>
      </x:c>
      <x:c r="I8" s="1521" t="str">
        <x:f>IF(G8="","",IF(OR(A8="PK-003",A8="PK-005",A8="PK-006",A8="PK-010",A8="PK-011",A8="PK-012"),IF(G8&lt;=E8,"達成",IF(G8&lt;=F8,"注意","未達")),IF(G8&gt;=E8,"達成",IF(G8&gt;=F8,"注意","未達"))))</x:f>
      </x:c>
      <x:c r="J8" s="1521" t="str">
        <x:v>月次</x:v>
      </x:c>
      <x:c r="K8" s="1521" t="str">
        <x:v>Evidenceログ</x:v>
      </x:c>
      <x:c r="L8" s="1521" t="str">
        <x:v>営業責任者</x:v>
      </x:c>
      <x:c r="M8" s="1521" t="str">
        <x:v>添付価値の説明改善</x:v>
      </x:c>
      <x:c r="N8" s="1521" t="str"/>
      <x:c r="O8" s="1521" t="str">
        <x:v>&gt;=25%</x:v>
      </x:c>
      <x:c r="P8" s="1663" t="str"/>
    </x:row>
    <x:row r="9">
      <x:c r="A9" s="1662" t="str">
        <x:v>PK-005</x:v>
      </x:c>
      <x:c r="B9" s="1521" t="str">
        <x:v>品質</x:v>
      </x:c>
      <x:c r="C9" s="1521" t="str">
        <x:v>L0矛盾率</x:v>
      </x:c>
      <x:c r="D9" s="1521" t="str">
        <x:v>重要L0件数÷完了診断</x:v>
      </x:c>
      <x:c r="E9" s="1671" t="n">
        <x:v>0.05</x:v>
      </x:c>
      <x:c r="F9" s="1671" t="n">
        <x:v>0.15</x:v>
      </x:c>
      <x:c r="G9" s="1671"/>
      <x:c r="H9" s="1671" t="str">
        <x:f>IF(G9="","",IF(E9=0,"",G9/E9))</x:f>
      </x:c>
      <x:c r="I9" s="1521" t="str">
        <x:f>IF(G9="","",IF(OR(A9="PK-003",A9="PK-005",A9="PK-006",A9="PK-010",A9="PK-011",A9="PK-012"),IF(G9&lt;=E9,"達成",IF(G9&lt;=F9,"注意","未達")),IF(G9&gt;=E9,"達成",IF(G9&gt;=F9,"注意","未達"))))</x:f>
      </x:c>
      <x:c r="J9" s="1521" t="str">
        <x:v>月次</x:v>
      </x:c>
      <x:c r="K9" s="1521" t="str">
        <x:v>整合性ログ</x:v>
      </x:c>
      <x:c r="L9" s="1521" t="str">
        <x:v>診断責任者</x:v>
      </x:c>
      <x:c r="M9" s="1521" t="str">
        <x:v>質問・矛盾ルール改善</x:v>
      </x:c>
      <x:c r="N9" s="1521" t="str"/>
      <x:c r="O9" s="1521" t="str">
        <x:v>&lt;=10%</x:v>
      </x:c>
      <x:c r="P9" s="1663" t="str">
        <x:v>低いほど良い</x:v>
      </x:c>
    </x:row>
    <x:row r="10">
      <x:c r="A10" s="1662" t="str">
        <x:v>PK-006</x:v>
      </x:c>
      <x:c r="B10" s="1521" t="str">
        <x:v>品質</x:v>
      </x:c>
      <x:c r="C10" s="1521" t="str">
        <x:v>専門家修正率</x:v>
      </x:c>
      <x:c r="D10" s="1521" t="str">
        <x:v>レビューで所見修正した件数÷レビュー件数</x:v>
      </x:c>
      <x:c r="E10" s="1671" t="n">
        <x:v>0.1</x:v>
      </x:c>
      <x:c r="F10" s="1671" t="n">
        <x:v>0.25</x:v>
      </x:c>
      <x:c r="G10" s="1671"/>
      <x:c r="H10" s="1671" t="str">
        <x:f>IF(G10="","",IF(E10=0,"",G10/E10))</x:f>
      </x:c>
      <x:c r="I10" s="1521" t="str">
        <x:f>IF(G10="","",IF(OR(A10="PK-003",A10="PK-005",A10="PK-006",A10="PK-010",A10="PK-011",A10="PK-012"),IF(G10&lt;=E10,"達成",IF(G10&lt;=F10,"注意","未達")),IF(G10&gt;=E10,"達成",IF(G10&gt;=F10,"注意","未達"))))</x:f>
      </x:c>
      <x:c r="J10" s="1521" t="str">
        <x:v>月次</x:v>
      </x:c>
      <x:c r="K10" s="1521" t="str">
        <x:v>レビュー履歴</x:v>
      </x:c>
      <x:c r="L10" s="1521" t="str">
        <x:v>診断責任者</x:v>
      </x:c>
      <x:c r="M10" s="1521" t="str">
        <x:v>コメント・判定ルール修正</x:v>
      </x:c>
      <x:c r="N10" s="1521" t="str"/>
      <x:c r="O10" s="1521" t="str">
        <x:v>&lt;=15%</x:v>
      </x:c>
      <x:c r="P10" s="1663" t="str">
        <x:v>低いほど良い</x:v>
      </x:c>
    </x:row>
    <x:row r="11">
      <x:c r="A11" s="1662" t="str">
        <x:v>PK-007</x:v>
      </x:c>
      <x:c r="B11" s="1521" t="str">
        <x:v>品質</x:v>
      </x:c>
      <x:c r="C11" s="1521" t="str">
        <x:v>再現一致率</x:v>
      </x:c>
      <x:c r="D11" s="1521" t="str">
        <x:v>同一入力・同一Versionで同一結果となる割合</x:v>
      </x:c>
      <x:c r="E11" s="1671" t="n">
        <x:v>1</x:v>
      </x:c>
      <x:c r="F11" s="1671" t="n">
        <x:v>0.98</x:v>
      </x:c>
      <x:c r="G11" s="1671"/>
      <x:c r="H11" s="1671" t="str">
        <x:f>IF(G11="","",IF(E11=0,"",G11/E11))</x:f>
      </x:c>
      <x:c r="I11" s="1521" t="str">
        <x:f>IF(G11="","",IF(OR(A11="PK-003",A11="PK-005",A11="PK-006",A11="PK-010",A11="PK-011",A11="PK-012"),IF(G11&lt;=E11,"達成",IF(G11&lt;=F11,"注意","未達")),IF(G11&gt;=E11,"達成",IF(G11&gt;=F11,"注意","未達"))))</x:f>
      </x:c>
      <x:c r="J11" s="1521" t="str">
        <x:v>リリース毎</x:v>
      </x:c>
      <x:c r="K11" s="1521" t="str">
        <x:v>監査ログ</x:v>
      </x:c>
      <x:c r="L11" s="1521" t="str">
        <x:v>QA責任者</x:v>
      </x:c>
      <x:c r="M11" s="1521" t="str">
        <x:v>不定処理の修正</x:v>
      </x:c>
      <x:c r="N11" s="1521" t="str"/>
      <x:c r="O11" s="1521" t="n">
        <x:f>100%</x:f>
        <x:v>1</x:v>
      </x:c>
      <x:c r="P11" s="1663" t="str"/>
    </x:row>
    <x:row r="12">
      <x:c r="A12" s="1662" t="str">
        <x:v>PK-008</x:v>
      </x:c>
      <x:c r="B12" s="1521" t="str">
        <x:v>案件化</x:v>
      </x:c>
      <x:c r="C12" s="1521" t="str">
        <x:v>相談申込率</x:v>
      </x:c>
      <x:c r="D12" s="1521" t="str">
        <x:v>相談申込数÷結果閲覧数</x:v>
      </x:c>
      <x:c r="E12" s="1671" t="n">
        <x:v>0.12</x:v>
      </x:c>
      <x:c r="F12" s="1671" t="n">
        <x:v>0.05</x:v>
      </x:c>
      <x:c r="G12" s="1671"/>
      <x:c r="H12" s="1671" t="str">
        <x:f>IF(G12="","",IF(E12=0,"",G12/E12))</x:f>
      </x:c>
      <x:c r="I12" s="1521" t="str">
        <x:f>IF(G12="","",IF(OR(A12="PK-003",A12="PK-005",A12="PK-006",A12="PK-010",A12="PK-011",A12="PK-012"),IF(G12&lt;=E12,"達成",IF(G12&lt;=F12,"注意","未達")),IF(G12&gt;=E12,"達成",IF(G12&gt;=F12,"注意","未達"))))</x:f>
      </x:c>
      <x:c r="J12" s="1521" t="str">
        <x:v>月次</x:v>
      </x:c>
      <x:c r="K12" s="1521" t="str">
        <x:v>CTAログ</x:v>
      </x:c>
      <x:c r="L12" s="1521" t="str">
        <x:v>営業責任者</x:v>
      </x:c>
      <x:c r="M12" s="1521" t="str">
        <x:v>CTA・対象顧客見直し</x:v>
      </x:c>
      <x:c r="N12" s="1521" t="str"/>
      <x:c r="O12" s="1521" t="str">
        <x:v>&gt;=8%</x:v>
      </x:c>
      <x:c r="P12" s="1663" t="str"/>
    </x:row>
    <x:row r="13">
      <x:c r="A13" s="1662" t="str">
        <x:v>PK-009</x:v>
      </x:c>
      <x:c r="B13" s="1521" t="str">
        <x:v>案件化</x:v>
      </x:c>
      <x:c r="C13" s="1521" t="str">
        <x:v>有効商談化率</x:v>
      </x:c>
      <x:c r="D13" s="1521" t="str">
        <x:v>有効商談数÷相談申込数</x:v>
      </x:c>
      <x:c r="E13" s="1671" t="n">
        <x:v>0.5</x:v>
      </x:c>
      <x:c r="F13" s="1671" t="n">
        <x:v>0.25</x:v>
      </x:c>
      <x:c r="G13" s="1671"/>
      <x:c r="H13" s="1671" t="str">
        <x:f>IF(G13="","",IF(E13=0,"",G13/E13))</x:f>
      </x:c>
      <x:c r="I13" s="1521" t="str">
        <x:f>IF(G13="","",IF(OR(A13="PK-003",A13="PK-005",A13="PK-006",A13="PK-010",A13="PK-011",A13="PK-012"),IF(G13&lt;=E13,"達成",IF(G13&lt;=F13,"注意","未達")),IF(G13&gt;=E13,"達成",IF(G13&gt;=F13,"注意","未達"))))</x:f>
      </x:c>
      <x:c r="J13" s="1521" t="str">
        <x:v>月次</x:v>
      </x:c>
      <x:c r="K13" s="1521" t="str">
        <x:v>営業管理</x:v>
      </x:c>
      <x:c r="L13" s="1521" t="str">
        <x:v>営業責任者</x:v>
      </x:c>
      <x:c r="M13" s="1521" t="str">
        <x:v>ヒアリング・対象見直し</x:v>
      </x:c>
      <x:c r="N13" s="1521" t="str"/>
      <x:c r="O13" s="1521" t="str">
        <x:v>&gt;=40%</x:v>
      </x:c>
      <x:c r="P13" s="1663" t="str"/>
    </x:row>
    <x:row r="14">
      <x:c r="A14" s="1662" t="str">
        <x:v>PK-010</x:v>
      </x:c>
      <x:c r="B14" s="1521" t="str">
        <x:v>経済性</x:v>
      </x:c>
      <x:c r="C14" s="1521" t="str">
        <x:v>1診断当たり変動原価</x:v>
      </x:c>
      <x:c r="D14" s="1521" t="str">
        <x:v>AI＋メール＋PDF＋ストレージ従量費÷診断数</x:v>
      </x:c>
      <x:c r="E14" s="1594" t="n">
        <x:v>500</x:v>
      </x:c>
      <x:c r="F14" s="1594" t="n">
        <x:v>1200</x:v>
      </x:c>
      <x:c r="G14" s="1594"/>
      <x:c r="H14" s="1671" t="str">
        <x:f>IF(G14="","",IF(E14=0,"",G14/E14))</x:f>
      </x:c>
      <x:c r="I14" s="1521" t="str">
        <x:f>IF(G14="","",IF(OR(A14="PK-003",A14="PK-005",A14="PK-006",A14="PK-010",A14="PK-011",A14="PK-012"),IF(G14&lt;=E14,"達成",IF(G14&lt;=F14,"注意","未達")),IF(G14&gt;=E14,"達成",IF(G14&gt;=F14,"注意","未達"))))</x:f>
      </x:c>
      <x:c r="J14" s="1521" t="str">
        <x:v>月次</x:v>
      </x:c>
      <x:c r="K14" s="1521" t="str">
        <x:v>請求・利用量</x:v>
      </x:c>
      <x:c r="L14" s="1521" t="str">
        <x:v>事業責任者</x:v>
      </x:c>
      <x:c r="M14" s="1521" t="str">
        <x:v>AI・保存・生成方式最適化</x:v>
      </x:c>
      <x:c r="N14" s="1521" t="str"/>
      <x:c r="O14" s="1521" t="str">
        <x:v>&lt;=800円</x:v>
      </x:c>
      <x:c r="P14" s="1663" t="str">
        <x:v>円、低いほど良い</x:v>
      </x:c>
    </x:row>
    <x:row r="15">
      <x:c r="A15" s="1662" t="str">
        <x:v>PK-011</x:v>
      </x:c>
      <x:c r="B15" s="1521" t="str">
        <x:v>運用</x:v>
      </x:c>
      <x:c r="C15" s="1521" t="str">
        <x:v>問い合わせ率</x:v>
      </x:c>
      <x:c r="D15" s="1521" t="str">
        <x:v>問い合わせ件数÷完了診断</x:v>
      </x:c>
      <x:c r="E15" s="1671" t="n">
        <x:v>0.05</x:v>
      </x:c>
      <x:c r="F15" s="1671" t="n">
        <x:v>0.15</x:v>
      </x:c>
      <x:c r="G15" s="1671"/>
      <x:c r="H15" s="1671" t="str">
        <x:f>IF(G15="","",IF(E15=0,"",G15/E15))</x:f>
      </x:c>
      <x:c r="I15" s="1521" t="str">
        <x:f>IF(G15="","",IF(OR(A15="PK-003",A15="PK-005",A15="PK-006",A15="PK-010",A15="PK-011",A15="PK-012"),IF(G15&lt;=E15,"達成",IF(G15&lt;=F15,"注意","未達")),IF(G15&gt;=E15,"達成",IF(G15&gt;=F15,"注意","未達"))))</x:f>
      </x:c>
      <x:c r="J15" s="1521" t="str">
        <x:v>月次</x:v>
      </x:c>
      <x:c r="K15" s="1521" t="str">
        <x:v>問い合わせ管理</x:v>
      </x:c>
      <x:c r="L15" s="1521" t="str">
        <x:v>運用責任者</x:v>
      </x:c>
      <x:c r="M15" s="1521" t="str">
        <x:v>ヘルプ・エラー文改善</x:v>
      </x:c>
      <x:c r="N15" s="1521" t="str"/>
      <x:c r="O15" s="1521" t="str">
        <x:v>&lt;=10%</x:v>
      </x:c>
      <x:c r="P15" s="1663" t="str">
        <x:v>低いほど良い</x:v>
      </x:c>
    </x:row>
    <x:row r="16">
      <x:c r="A16" s="1664" t="str">
        <x:v>PK-012</x:v>
      </x:c>
      <x:c r="B16" s="1665" t="str">
        <x:v>性能</x:v>
      </x:c>
      <x:c r="C16" s="1665" t="str">
        <x:v>診断処理P95</x:v>
      </x:c>
      <x:c r="D16" s="1665" t="str">
        <x:v>診断実行～結果表示の95パーセンタイル秒</x:v>
      </x:c>
      <x:c r="E16" s="1670" t="n">
        <x:v>30</x:v>
      </x:c>
      <x:c r="F16" s="1670" t="n">
        <x:v>60</x:v>
      </x:c>
      <x:c r="G16" s="1670"/>
      <x:c r="H16" s="1670" t="str">
        <x:f>IF(G16="","",IF(E16=0,"",G16/E16))</x:f>
      </x:c>
      <x:c r="I16" s="1665" t="str">
        <x:f>IF(G16="","",IF(OR(A16="PK-003",A16="PK-005",A16="PK-006",A16="PK-010",A16="PK-011",A16="PK-012"),IF(G16&lt;=E16,"達成",IF(G16&lt;=F16,"注意","未達")),IF(G16&gt;=E16,"達成",IF(G16&gt;=F16,"注意","未達"))))</x:f>
      </x:c>
      <x:c r="J16" s="1665" t="str">
        <x:v>週次</x:v>
      </x:c>
      <x:c r="K16" s="1665" t="str">
        <x:v>性能ログ</x:v>
      </x:c>
      <x:c r="L16" s="1665" t="str">
        <x:v>開発責任者</x:v>
      </x:c>
      <x:c r="M16" s="1665" t="str">
        <x:v>処理最適化</x:v>
      </x:c>
      <x:c r="N16" s="1665" t="str"/>
      <x:c r="O16" s="1665" t="str">
        <x:v>&lt;=45秒</x:v>
      </x:c>
      <x:c r="P16" s="1666" t="str"/>
    </x:row>
  </x:sheetData>
  <x:mergeCells>
    <x:mergeCell ref="A1:P1"/>
    <x:mergeCell ref="A2:P2"/>
  </x:mergeCells>
  <x:conditionalFormatting sqref="I5:I16">
    <x:cfRule type="expression" dxfId="9" priority="1">
      <x:formula>I5="達成"</x:formula>
    </x:cfRule>
    <x:cfRule type="expression" dxfId="10" priority="2">
      <x:formula>I5="注意"</x:formula>
    </x:cfRule>
    <x:cfRule type="expression" dxfId="11" priority="3">
      <x:formula>I5="未達"</x:formula>
    </x:cfRule>
  </x:conditionalFormatting>
  <x:pageMargins left="0.7" right="0.7" top="0.75" bottom="0.75" header="0.3" footer="0.3"/>
</x:worksheet>
</file>

<file path=xl/worksheets/sheet33.xml><?xml version="1.0" encoding="utf-8"?>
<x:worksheet xmlns:x="http://schemas.openxmlformats.org/spreadsheetml/2006/main">
  <x:sheetFormatPr defaultRowHeight="15"/>
  <x:cols>
    <x:col min="1" max="1" width="12" hidden="0" customWidth="1"/>
    <x:col min="2" max="2" width="30" hidden="0" customWidth="1"/>
    <x:col min="3" max="3" width="14" hidden="0" customWidth="1"/>
    <x:col min="4" max="4" width="16" hidden="0" customWidth="1"/>
    <x:col min="5" max="5" width="20" hidden="0" customWidth="1"/>
    <x:col min="6" max="6" width="16" hidden="0" customWidth="1"/>
    <x:col min="7" max="7" width="16" hidden="0" customWidth="1"/>
    <x:col min="8" max="8" width="18" hidden="0" customWidth="1"/>
    <x:col min="9" max="9" width="18" hidden="0" customWidth="1"/>
    <x:col min="10" max="10" width="16" hidden="0" customWidth="1"/>
    <x:col min="11" max="11" width="18" hidden="0" customWidth="1"/>
    <x:col min="12" max="12" width="26" hidden="0" customWidth="1"/>
    <x:col min="13" max="13" width="28" hidden="0" customWidth="1"/>
    <x:col min="14" max="14" width="22" hidden="0" customWidth="1"/>
  </x:cols>
  <x:sheetData>
    <x:row r="1" ht="28" customHeight="1">
      <x:c r="A1" s="1625" t="str">
        <x:v>32_運用体制_RACI</x:v>
      </x:c>
      <x:c r="B1" s="1625"/>
      <x:c r="C1" s="1625"/>
      <x:c r="D1" s="1625"/>
      <x:c r="E1" s="1625"/>
      <x:c r="F1" s="1625"/>
      <x:c r="G1" s="1625"/>
      <x:c r="H1" s="1625"/>
      <x:c r="I1" s="1625"/>
      <x:c r="J1" s="1625"/>
      <x:c r="K1" s="1625"/>
      <x:c r="L1" s="1625"/>
      <x:c r="M1" s="1625"/>
      <x:c r="N1" s="1625"/>
    </x:row>
    <x:row r="2" ht="36" customHeight="1">
      <x:c r="A2" s="1628" t="str">
        <x:v>開発・診断・コメント承認・営業対応・運用・セキュリティの役割分担を明確化。</x:v>
      </x:c>
      <x:c r="B2" s="1628"/>
      <x:c r="C2" s="1628"/>
      <x:c r="D2" s="1628"/>
      <x:c r="E2" s="1628"/>
      <x:c r="F2" s="1628"/>
      <x:c r="G2" s="1628"/>
      <x:c r="H2" s="1628"/>
      <x:c r="I2" s="1628"/>
      <x:c r="J2" s="1628"/>
      <x:c r="K2" s="1628"/>
      <x:c r="L2" s="1628"/>
      <x:c r="M2" s="1628"/>
      <x:c r="N2" s="1628"/>
    </x:row>
    <x:row r="4" ht="38" customHeight="1">
      <x:c r="A4" s="1640" t="str">
        <x:v>業務ID</x:v>
      </x:c>
      <x:c r="B4" s="1641" t="str">
        <x:v>業務</x:v>
      </x:c>
      <x:c r="C4" s="1641" t="str">
        <x:v>社長・経営</x:v>
      </x:c>
      <x:c r="D4" s="1641" t="str">
        <x:v>事業責任者</x:v>
      </x:c>
      <x:c r="E4" s="1641" t="str">
        <x:v>診断ロジック責任者</x:v>
      </x:c>
      <x:c r="F4" s="1641" t="str">
        <x:v>営業</x:v>
      </x:c>
      <x:c r="G4" s="1641" t="str">
        <x:v>運用管理</x:v>
      </x:c>
      <x:c r="H4" s="1641" t="str">
        <x:v>情報システム</x:v>
      </x:c>
      <x:c r="I4" s="1641" t="str">
        <x:v>開発会社</x:v>
      </x:c>
      <x:c r="J4" s="1641" t="str">
        <x:v>法務・管理</x:v>
      </x:c>
      <x:c r="K4" s="1641" t="str">
        <x:v>実施頻度</x:v>
      </x:c>
      <x:c r="L4" s="1641" t="str">
        <x:v>成果物</x:v>
      </x:c>
      <x:c r="M4" s="1641" t="str">
        <x:v>エスカレーション</x:v>
      </x:c>
      <x:c r="N4" s="1642" t="str">
        <x:v>備考</x:v>
      </x:c>
    </x:row>
    <x:row r="5">
      <x:c r="A5" s="1659" t="str">
        <x:v>RC-001</x:v>
      </x:c>
      <x:c r="B5" s="1660" t="str">
        <x:v>事業方針・予算承認</x:v>
      </x:c>
      <x:c r="C5" s="1660" t="str">
        <x:v>A</x:v>
      </x:c>
      <x:c r="D5" s="1660" t="str">
        <x:v>R</x:v>
      </x:c>
      <x:c r="E5" s="1660" t="str">
        <x:v>C</x:v>
      </x:c>
      <x:c r="F5" s="1660" t="str">
        <x:v>I</x:v>
      </x:c>
      <x:c r="G5" s="1660" t="str">
        <x:v>I</x:v>
      </x:c>
      <x:c r="H5" s="1660" t="str">
        <x:v>I</x:v>
      </x:c>
      <x:c r="I5" s="1660" t="str">
        <x:v>I</x:v>
      </x:c>
      <x:c r="J5" s="1660" t="str">
        <x:v>C</x:v>
      </x:c>
      <x:c r="K5" s="1660" t="str">
        <x:v>年度・ゲート</x:v>
      </x:c>
      <x:c r="L5" s="1660" t="str">
        <x:v>決裁書</x:v>
      </x:c>
      <x:c r="M5" s="1660" t="str">
        <x:v>予算超過・重大変更</x:v>
      </x:c>
      <x:c r="N5" s="1661" t="str"/>
    </x:row>
    <x:row r="6">
      <x:c r="A6" s="1662" t="str">
        <x:v>RC-002</x:v>
      </x:c>
      <x:c r="B6" s="1521" t="str">
        <x:v>質問・算定式の変更</x:v>
      </x:c>
      <x:c r="C6" s="1521" t="str">
        <x:v>I</x:v>
      </x:c>
      <x:c r="D6" s="1521" t="str">
        <x:v>A</x:v>
      </x:c>
      <x:c r="E6" s="1521" t="str">
        <x:v>R</x:v>
      </x:c>
      <x:c r="F6" s="1521" t="str">
        <x:v>C</x:v>
      </x:c>
      <x:c r="G6" s="1521" t="str">
        <x:v>C</x:v>
      </x:c>
      <x:c r="H6" s="1521" t="str">
        <x:v>C</x:v>
      </x:c>
      <x:c r="I6" s="1521" t="str">
        <x:v>C</x:v>
      </x:c>
      <x:c r="J6" s="1521" t="str">
        <x:v>I</x:v>
      </x:c>
      <x:c r="K6" s="1521" t="str">
        <x:v>必要時</x:v>
      </x:c>
      <x:c r="L6" s="1521" t="str">
        <x:v>変更申請・テスト結果</x:v>
      </x:c>
      <x:c r="M6" s="1521" t="str">
        <x:v>重大影響は経営承認</x:v>
      </x:c>
      <x:c r="N6" s="1663" t="str"/>
    </x:row>
    <x:row r="7">
      <x:c r="A7" s="1662" t="str">
        <x:v>RC-003</x:v>
      </x:c>
      <x:c r="B7" s="1521" t="str">
        <x:v>コメントコード承認</x:v>
      </x:c>
      <x:c r="C7" s="1521" t="str">
        <x:v>I</x:v>
      </x:c>
      <x:c r="D7" s="1521" t="str">
        <x:v>A</x:v>
      </x:c>
      <x:c r="E7" s="1521" t="str">
        <x:v>R</x:v>
      </x:c>
      <x:c r="F7" s="1521" t="str">
        <x:v>C</x:v>
      </x:c>
      <x:c r="G7" s="1521" t="str">
        <x:v>C</x:v>
      </x:c>
      <x:c r="H7" s="1521" t="str">
        <x:v>I</x:v>
      </x:c>
      <x:c r="I7" s="1521" t="str">
        <x:v>C</x:v>
      </x:c>
      <x:c r="J7" s="1521" t="str">
        <x:v>C</x:v>
      </x:c>
      <x:c r="K7" s="1521" t="str">
        <x:v>必要時</x:v>
      </x:c>
      <x:c r="L7" s="1521" t="str">
        <x:v>承認済みコード</x:v>
      </x:c>
      <x:c r="M7" s="1521" t="str">
        <x:v>安全・法令表現は法務確認</x:v>
      </x:c>
      <x:c r="N7" s="1663" t="str"/>
    </x:row>
    <x:row r="8">
      <x:c r="A8" s="1662" t="str">
        <x:v>RC-004</x:v>
      </x:c>
      <x:c r="B8" s="1521" t="str">
        <x:v>Level3正式診断レビュー</x:v>
      </x:c>
      <x:c r="C8" s="1521" t="str">
        <x:v>I</x:v>
      </x:c>
      <x:c r="D8" s="1521" t="str">
        <x:v>A</x:v>
      </x:c>
      <x:c r="E8" s="1521" t="str">
        <x:v>R</x:v>
      </x:c>
      <x:c r="F8" s="1521" t="str">
        <x:v>C</x:v>
      </x:c>
      <x:c r="G8" s="1521" t="str">
        <x:v>C</x:v>
      </x:c>
      <x:c r="H8" s="1521" t="str">
        <x:v>I</x:v>
      </x:c>
      <x:c r="I8" s="1521" t="str">
        <x:v>I</x:v>
      </x:c>
      <x:c r="J8" s="1521" t="str">
        <x:v>I</x:v>
      </x:c>
      <x:c r="K8" s="1521" t="str">
        <x:v>案件毎</x:v>
      </x:c>
      <x:c r="L8" s="1521" t="str">
        <x:v>承認済みレポート</x:v>
      </x:c>
      <x:c r="M8" s="1521" t="str">
        <x:v>重大Guardrailは即時</x:v>
      </x:c>
      <x:c r="N8" s="1663" t="str"/>
    </x:row>
    <x:row r="9">
      <x:c r="A9" s="1662" t="str">
        <x:v>RC-005</x:v>
      </x:c>
      <x:c r="B9" s="1521" t="str">
        <x:v>相談・商談フォロー</x:v>
      </x:c>
      <x:c r="C9" s="1521" t="str">
        <x:v>I</x:v>
      </x:c>
      <x:c r="D9" s="1521" t="str">
        <x:v>A</x:v>
      </x:c>
      <x:c r="E9" s="1521" t="str">
        <x:v>C</x:v>
      </x:c>
      <x:c r="F9" s="1521" t="str">
        <x:v>R</x:v>
      </x:c>
      <x:c r="G9" s="1521" t="str">
        <x:v>C</x:v>
      </x:c>
      <x:c r="H9" s="1521" t="str">
        <x:v>I</x:v>
      </x:c>
      <x:c r="I9" s="1521" t="str">
        <x:v>I</x:v>
      </x:c>
      <x:c r="J9" s="1521" t="str">
        <x:v>I</x:v>
      </x:c>
      <x:c r="K9" s="1521" t="str">
        <x:v>日次</x:v>
      </x:c>
      <x:c r="L9" s="1521" t="str">
        <x:v>案件記録</x:v>
      </x:c>
      <x:c r="M9" s="1521" t="str">
        <x:v>重大案件・苦情</x:v>
      </x:c>
      <x:c r="N9" s="1663" t="str"/>
    </x:row>
    <x:row r="10">
      <x:c r="A10" s="1662" t="str">
        <x:v>RC-006</x:v>
      </x:c>
      <x:c r="B10" s="1521" t="str">
        <x:v>利用者問い合わせ</x:v>
      </x:c>
      <x:c r="C10" s="1521" t="str">
        <x:v>I</x:v>
      </x:c>
      <x:c r="D10" s="1521" t="str">
        <x:v>A</x:v>
      </x:c>
      <x:c r="E10" s="1521" t="str">
        <x:v>C</x:v>
      </x:c>
      <x:c r="F10" s="1521" t="str">
        <x:v>C</x:v>
      </x:c>
      <x:c r="G10" s="1521" t="str">
        <x:v>R</x:v>
      </x:c>
      <x:c r="H10" s="1521" t="str">
        <x:v>C</x:v>
      </x:c>
      <x:c r="I10" s="1521" t="str">
        <x:v>C</x:v>
      </x:c>
      <x:c r="J10" s="1521" t="str">
        <x:v>I</x:v>
      </x:c>
      <x:c r="K10" s="1521" t="str">
        <x:v>日次</x:v>
      </x:c>
      <x:c r="L10" s="1521" t="str">
        <x:v>問い合わせ記録</x:v>
      </x:c>
      <x:c r="M10" s="1521" t="str">
        <x:v>SLA超過・品質問題</x:v>
      </x:c>
      <x:c r="N10" s="1663" t="str"/>
    </x:row>
    <x:row r="11">
      <x:c r="A11" s="1662" t="str">
        <x:v>RC-007</x:v>
      </x:c>
      <x:c r="B11" s="1521" t="str">
        <x:v>障害監視・復旧</x:v>
      </x:c>
      <x:c r="C11" s="1521" t="str">
        <x:v>I</x:v>
      </x:c>
      <x:c r="D11" s="1521" t="str">
        <x:v>I</x:v>
      </x:c>
      <x:c r="E11" s="1521" t="str">
        <x:v>I</x:v>
      </x:c>
      <x:c r="F11" s="1521" t="str">
        <x:v>I</x:v>
      </x:c>
      <x:c r="G11" s="1521" t="str">
        <x:v>A</x:v>
      </x:c>
      <x:c r="H11" s="1521" t="str">
        <x:v>R</x:v>
      </x:c>
      <x:c r="I11" s="1521" t="str">
        <x:v>R</x:v>
      </x:c>
      <x:c r="J11" s="1521" t="str">
        <x:v>I</x:v>
      </x:c>
      <x:c r="K11" s="1521" t="str">
        <x:v>常時</x:v>
      </x:c>
      <x:c r="L11" s="1521" t="str">
        <x:v>障害報告</x:v>
      </x:c>
      <x:c r="M11" s="1521" t="str">
        <x:v>重大障害は経営・顧客通知</x:v>
      </x:c>
      <x:c r="N11" s="1663" t="str"/>
    </x:row>
    <x:row r="12">
      <x:c r="A12" s="1662" t="str">
        <x:v>RC-008</x:v>
      </x:c>
      <x:c r="B12" s="1521" t="str">
        <x:v>セキュリティ・権限管理</x:v>
      </x:c>
      <x:c r="C12" s="1521" t="str">
        <x:v>I</x:v>
      </x:c>
      <x:c r="D12" s="1521" t="str">
        <x:v>A</x:v>
      </x:c>
      <x:c r="E12" s="1521" t="str">
        <x:v>I</x:v>
      </x:c>
      <x:c r="F12" s="1521" t="str">
        <x:v>I</x:v>
      </x:c>
      <x:c r="G12" s="1521" t="str">
        <x:v>C</x:v>
      </x:c>
      <x:c r="H12" s="1521" t="str">
        <x:v>R</x:v>
      </x:c>
      <x:c r="I12" s="1521" t="str">
        <x:v>C</x:v>
      </x:c>
      <x:c r="J12" s="1521" t="str">
        <x:v>C</x:v>
      </x:c>
      <x:c r="K12" s="1521" t="str">
        <x:v>月次・随時</x:v>
      </x:c>
      <x:c r="L12" s="1521" t="str">
        <x:v>権限台帳・監査ログ</x:v>
      </x:c>
      <x:c r="M12" s="1521" t="str">
        <x:v>漏えい・不正アクセス</x:v>
      </x:c>
      <x:c r="N12" s="1663" t="str"/>
    </x:row>
    <x:row r="13">
      <x:c r="A13" s="1662" t="str">
        <x:v>RC-009</x:v>
      </x:c>
      <x:c r="B13" s="1521" t="str">
        <x:v>KPIレビュー・改善</x:v>
      </x:c>
      <x:c r="C13" s="1521" t="str">
        <x:v>I</x:v>
      </x:c>
      <x:c r="D13" s="1521" t="str">
        <x:v>A</x:v>
      </x:c>
      <x:c r="E13" s="1521" t="str">
        <x:v>C</x:v>
      </x:c>
      <x:c r="F13" s="1521" t="str">
        <x:v>R</x:v>
      </x:c>
      <x:c r="G13" s="1521" t="str">
        <x:v>R</x:v>
      </x:c>
      <x:c r="H13" s="1521" t="str">
        <x:v>C</x:v>
      </x:c>
      <x:c r="I13" s="1521" t="str">
        <x:v>C</x:v>
      </x:c>
      <x:c r="J13" s="1521" t="str">
        <x:v>I</x:v>
      </x:c>
      <x:c r="K13" s="1521" t="str">
        <x:v>月次</x:v>
      </x:c>
      <x:c r="L13" s="1521" t="str">
        <x:v>KPIレビュー</x:v>
      </x:c>
      <x:c r="M13" s="1521" t="str">
        <x:v>未達2か月継続</x:v>
      </x:c>
      <x:c r="N13" s="1663" t="str"/>
    </x:row>
    <x:row r="14">
      <x:c r="A14" s="1664" t="str">
        <x:v>RC-010</x:v>
      </x:c>
      <x:c r="B14" s="1665" t="str">
        <x:v>Versionリリース判定</x:v>
      </x:c>
      <x:c r="C14" s="1665" t="str">
        <x:v>I</x:v>
      </x:c>
      <x:c r="D14" s="1665" t="str">
        <x:v>A</x:v>
      </x:c>
      <x:c r="E14" s="1665" t="str">
        <x:v>R</x:v>
      </x:c>
      <x:c r="F14" s="1665" t="str">
        <x:v>C</x:v>
      </x:c>
      <x:c r="G14" s="1665" t="str">
        <x:v>R</x:v>
      </x:c>
      <x:c r="H14" s="1665" t="str">
        <x:v>C</x:v>
      </x:c>
      <x:c r="I14" s="1665" t="str">
        <x:v>C</x:v>
      </x:c>
      <x:c r="J14" s="1665" t="str">
        <x:v>C</x:v>
      </x:c>
      <x:c r="K14" s="1665" t="str">
        <x:v>リリース毎</x:v>
      </x:c>
      <x:c r="L14" s="1665" t="str">
        <x:v>リリース承認</x:v>
      </x:c>
      <x:c r="M14" s="1665" t="str">
        <x:v>S項目不合格</x:v>
      </x:c>
      <x:c r="N14" s="1666" t="str"/>
    </x:row>
  </x:sheetData>
  <x:mergeCells>
    <x:mergeCell ref="A1:N1"/>
    <x:mergeCell ref="A2:N2"/>
  </x:mergeCells>
  <x:dataValidations count="1">
    <x:dataValidation type="list" sqref="C5:J14">
      <x:formula1>"R,A,C,I,"</x:formula1>
    </x:dataValidation>
  </x:dataValidations>
  <x:pageMargins left="0.7" right="0.7" top="0.75" bottom="0.75" header="0.3" footer="0.3"/>
</x:worksheet>
</file>

<file path=xl/worksheets/sheet34.xml><?xml version="1.0" encoding="utf-8"?>
<x:worksheet xmlns:x="http://schemas.openxmlformats.org/spreadsheetml/2006/main">
  <x:sheetFormatPr defaultRowHeight="15"/>
  <x:cols>
    <x:col min="1" max="1" width="14" hidden="0" customWidth="1"/>
    <x:col min="2" max="2" width="14" hidden="0" customWidth="1"/>
    <x:col min="3" max="3" width="16" hidden="0" customWidth="1"/>
    <x:col min="4" max="4" width="14" hidden="0" customWidth="1"/>
    <x:col min="5" max="5" width="24" hidden="0" customWidth="1"/>
    <x:col min="6" max="6" width="40" hidden="0" customWidth="1"/>
    <x:col min="7" max="7" width="32" hidden="0" customWidth="1"/>
    <x:col min="8" max="8" width="32" hidden="0" customWidth="1"/>
    <x:col min="9" max="9" width="12" hidden="0" customWidth="1"/>
    <x:col min="10" max="10" width="14" hidden="0" customWidth="1"/>
    <x:col min="11" max="11" width="28" hidden="0" customWidth="1"/>
    <x:col min="12" max="12" width="18" hidden="0" customWidth="1"/>
    <x:col min="13" max="13" width="18" hidden="0" customWidth="1"/>
    <x:col min="14" max="14" width="16" hidden="0" customWidth="1"/>
    <x:col min="15" max="15" width="16" hidden="0" customWidth="1"/>
    <x:col min="16" max="16" width="28" hidden="0" customWidth="1"/>
  </x:cols>
  <x:sheetData>
    <x:row r="1" ht="28" customHeight="1">
      <x:c r="A1" s="1625" t="str">
        <x:v>33_変更管理</x:v>
      </x:c>
      <x:c r="B1" s="1625"/>
      <x:c r="C1" s="1625"/>
      <x:c r="D1" s="1625"/>
      <x:c r="E1" s="1625"/>
      <x:c r="F1" s="1625"/>
      <x:c r="G1" s="1625"/>
      <x:c r="H1" s="1625"/>
      <x:c r="I1" s="1625"/>
      <x:c r="J1" s="1625"/>
      <x:c r="K1" s="1625"/>
      <x:c r="L1" s="1625"/>
      <x:c r="M1" s="1625"/>
      <x:c r="N1" s="1625"/>
      <x:c r="O1" s="1625"/>
      <x:c r="P1" s="1625"/>
    </x:row>
    <x:row r="2" ht="36" customHeight="1">
      <x:c r="A2" s="1628" t="str">
        <x:v>質問・採点・コメント・UI・帳票・システム変更をVersion管理し、影響評価と承認を必須化。</x:v>
      </x:c>
      <x:c r="B2" s="1628"/>
      <x:c r="C2" s="1628"/>
      <x:c r="D2" s="1628"/>
      <x:c r="E2" s="1628"/>
      <x:c r="F2" s="1628"/>
      <x:c r="G2" s="1628"/>
      <x:c r="H2" s="1628"/>
      <x:c r="I2" s="1628"/>
      <x:c r="J2" s="1628"/>
      <x:c r="K2" s="1628"/>
      <x:c r="L2" s="1628"/>
      <x:c r="M2" s="1628"/>
      <x:c r="N2" s="1628"/>
      <x:c r="O2" s="1628"/>
      <x:c r="P2" s="1628"/>
    </x:row>
    <x:row r="4" ht="38" customHeight="1">
      <x:c r="A4" s="1640" t="str">
        <x:v>変更ID</x:v>
      </x:c>
      <x:c r="B4" s="1641" t="str">
        <x:v>申請日</x:v>
      </x:c>
      <x:c r="C4" s="1641" t="str">
        <x:v>変更区分</x:v>
      </x:c>
      <x:c r="D4" s="1641" t="str">
        <x:v>対象Version</x:v>
      </x:c>
      <x:c r="E4" s="1641" t="str">
        <x:v>変更対象</x:v>
      </x:c>
      <x:c r="F4" s="1641" t="str">
        <x:v>変更内容</x:v>
      </x:c>
      <x:c r="G4" s="1641" t="str">
        <x:v>変更理由</x:v>
      </x:c>
      <x:c r="H4" s="1641" t="str">
        <x:v>影響範囲</x:v>
      </x:c>
      <x:c r="I4" s="1641" t="str">
        <x:v>重要度</x:v>
      </x:c>
      <x:c r="J4" s="1641" t="str">
        <x:v>テスト要否</x:v>
      </x:c>
      <x:c r="K4" s="1641" t="str">
        <x:v>必要テスト</x:v>
      </x:c>
      <x:c r="L4" s="1641" t="str">
        <x:v>申請者</x:v>
      </x:c>
      <x:c r="M4" s="1641" t="str">
        <x:v>承認者</x:v>
      </x:c>
      <x:c r="N4" s="1641" t="str">
        <x:v>リリース予定</x:v>
      </x:c>
      <x:c r="O4" s="1641" t="str">
        <x:v>状態</x:v>
      </x:c>
      <x:c r="P4" s="1642" t="str">
        <x:v>結果・備考</x:v>
      </x:c>
    </x:row>
    <x:row r="5">
      <x:c r="A5" s="1659" t="str">
        <x:v>CHG-0001</x:v>
      </x:c>
      <x:c r="B5" s="1660" t="str"/>
      <x:c r="C5" s="1660" t="str">
        <x:v>質問票</x:v>
      </x:c>
      <x:c r="D5" s="1660" t="str">
        <x:v>0.8</x:v>
      </x:c>
      <x:c r="E5" s="1660" t="str">
        <x:v>01_LP質問票</x:v>
      </x:c>
      <x:c r="F5" s="1660" t="str"/>
      <x:c r="G5" s="1660" t="str"/>
      <x:c r="H5" s="1660" t="str">
        <x:v>EDI/DRI/EPI、UI、充足率</x:v>
      </x:c>
      <x:c r="I5" s="1660" t="str">
        <x:v>A</x:v>
      </x:c>
      <x:c r="J5" s="1660" t="str">
        <x:v>要</x:v>
      </x:c>
      <x:c r="K5" s="1660" t="str">
        <x:v>関連質問・回帰テスト</x:v>
      </x:c>
      <x:c r="L5" s="1660" t="str"/>
      <x:c r="M5" s="1660" t="str"/>
      <x:c r="N5" s="1660" t="str"/>
      <x:c r="O5" s="1660" t="str">
        <x:v>未申請</x:v>
      </x:c>
      <x:c r="P5" s="1661" t="str"/>
    </x:row>
    <x:row r="6">
      <x:c r="A6" s="1662" t="str">
        <x:v>CHG-0002</x:v>
      </x:c>
      <x:c r="B6" s="1521" t="str"/>
      <x:c r="C6" s="1521" t="str">
        <x:v>算定式</x:v>
      </x:c>
      <x:c r="D6" s="1521" t="str">
        <x:v>0.8</x:v>
      </x:c>
      <x:c r="E6" s="1521" t="str">
        <x:v>13_算定式・順位ロジック</x:v>
      </x:c>
      <x:c r="F6" s="1521" t="str"/>
      <x:c r="G6" s="1521" t="str"/>
      <x:c r="H6" s="1521" t="str">
        <x:v>全レポート、過去比較、監査</x:v>
      </x:c>
      <x:c r="I6" s="1521" t="str">
        <x:v>S</x:v>
      </x:c>
      <x:c r="J6" s="1521" t="str">
        <x:v>要</x:v>
      </x:c>
      <x:c r="K6" s="1521" t="str">
        <x:v>全テストケース・再現性</x:v>
      </x:c>
      <x:c r="L6" s="1521" t="str"/>
      <x:c r="M6" s="1521" t="str"/>
      <x:c r="N6" s="1521" t="str"/>
      <x:c r="O6" s="1521" t="str">
        <x:v>未申請</x:v>
      </x:c>
      <x:c r="P6" s="1663" t="str"/>
    </x:row>
    <x:row r="7">
      <x:c r="A7" s="1662" t="str">
        <x:v>CHG-0003</x:v>
      </x:c>
      <x:c r="B7" s="1521" t="str"/>
      <x:c r="C7" s="1521" t="str">
        <x:v>コメント</x:v>
      </x:c>
      <x:c r="D7" s="1521" t="str">
        <x:v>0.8</x:v>
      </x:c>
      <x:c r="E7" s="1521" t="str">
        <x:v>07_コメントコード</x:v>
      </x:c>
      <x:c r="F7" s="1521" t="str"/>
      <x:c r="G7" s="1521" t="str"/>
      <x:c r="H7" s="1521" t="str">
        <x:v>文章、断定レベル、法務</x:v>
      </x:c>
      <x:c r="I7" s="1521" t="str">
        <x:v>A</x:v>
      </x:c>
      <x:c r="J7" s="1521" t="str">
        <x:v>要</x:v>
      </x:c>
      <x:c r="K7" s="1521" t="str">
        <x:v>L0～L3・AI検査</x:v>
      </x:c>
      <x:c r="L7" s="1521" t="str"/>
      <x:c r="M7" s="1521" t="str"/>
      <x:c r="N7" s="1521" t="str"/>
      <x:c r="O7" s="1521" t="str">
        <x:v>未申請</x:v>
      </x:c>
      <x:c r="P7" s="1663" t="str"/>
    </x:row>
    <x:row r="8">
      <x:c r="A8" s="1662" t="str">
        <x:v>CHG-0004</x:v>
      </x:c>
      <x:c r="B8" s="1521" t="str"/>
      <x:c r="C8" s="1521" t="str">
        <x:v>UI</x:v>
      </x:c>
      <x:c r="D8" s="1521" t="str">
        <x:v>0.8</x:v>
      </x:c>
      <x:c r="E8" s="1521" t="str">
        <x:v>20/21</x:v>
      </x:c>
      <x:c r="F8" s="1521" t="str"/>
      <x:c r="G8" s="1521" t="str"/>
      <x:c r="H8" s="1521" t="str">
        <x:v>離脱率、入力、保存</x:v>
      </x:c>
      <x:c r="I8" s="1521" t="str">
        <x:v>B</x:v>
      </x:c>
      <x:c r="J8" s="1521" t="str">
        <x:v>要</x:v>
      </x:c>
      <x:c r="K8" s="1521" t="str">
        <x:v>画面・レスポンシブ</x:v>
      </x:c>
      <x:c r="L8" s="1521" t="str"/>
      <x:c r="M8" s="1521" t="str"/>
      <x:c r="N8" s="1521" t="str"/>
      <x:c r="O8" s="1521" t="str">
        <x:v>未申請</x:v>
      </x:c>
      <x:c r="P8" s="1663" t="str"/>
    </x:row>
    <x:row r="9">
      <x:c r="A9" s="1662" t="str">
        <x:v>CHG-0005</x:v>
      </x:c>
      <x:c r="B9" s="1521" t="str"/>
      <x:c r="C9" s="1521" t="str">
        <x:v>帳票</x:v>
      </x:c>
      <x:c r="D9" s="1521" t="str">
        <x:v>0.8</x:v>
      </x:c>
      <x:c r="E9" s="1521" t="str">
        <x:v>18/19</x:v>
      </x:c>
      <x:c r="F9" s="1521" t="str"/>
      <x:c r="G9" s="1521" t="str"/>
      <x:c r="H9" s="1521" t="str">
        <x:v>PDF、LPプレビュー</x:v>
      </x:c>
      <x:c r="I9" s="1521" t="str">
        <x:v>B</x:v>
      </x:c>
      <x:c r="J9" s="1521" t="str">
        <x:v>要</x:v>
      </x:c>
      <x:c r="K9" s="1521" t="str">
        <x:v>文字量・印刷</x:v>
      </x:c>
      <x:c r="L9" s="1521" t="str"/>
      <x:c r="M9" s="1521" t="str"/>
      <x:c r="N9" s="1521" t="str"/>
      <x:c r="O9" s="1521" t="str">
        <x:v>未申請</x:v>
      </x:c>
      <x:c r="P9" s="1663" t="str"/>
    </x:row>
    <x:row r="10">
      <x:c r="A10" s="1664" t="str">
        <x:v>CHG-0006</x:v>
      </x:c>
      <x:c r="B10" s="1665" t="str"/>
      <x:c r="C10" s="1665" t="str">
        <x:v>システム</x:v>
      </x:c>
      <x:c r="D10" s="1665" t="str">
        <x:v>0.8</x:v>
      </x:c>
      <x:c r="E10" s="1665" t="str">
        <x:v>22/23</x:v>
      </x:c>
      <x:c r="F10" s="1665" t="str"/>
      <x:c r="G10" s="1665" t="str"/>
      <x:c r="H10" s="1665" t="str">
        <x:v>API、DB、セキュリティ</x:v>
      </x:c>
      <x:c r="I10" s="1665" t="str">
        <x:v>A</x:v>
      </x:c>
      <x:c r="J10" s="1665" t="str">
        <x:v>要</x:v>
      </x:c>
      <x:c r="K10" s="1665" t="str">
        <x:v>結合・性能・セキュリティ</x:v>
      </x:c>
      <x:c r="L10" s="1665" t="str"/>
      <x:c r="M10" s="1665" t="str"/>
      <x:c r="N10" s="1665" t="str"/>
      <x:c r="O10" s="1665" t="str">
        <x:v>未申請</x:v>
      </x:c>
      <x:c r="P10" s="1666" t="str"/>
    </x:row>
  </x:sheetData>
  <x:mergeCells>
    <x:mergeCell ref="A1:P1"/>
    <x:mergeCell ref="A2:P2"/>
  </x:mergeCells>
  <x:dataValidations count="4">
    <x:dataValidation type="list" sqref="C5:C10">
      <x:formula1>"質問票,選択肢,算定式,Guardrail,Evidence,整合性,コメント,UI,帳票,システム,運用,契約"</x:formula1>
    </x:dataValidation>
    <x:dataValidation type="list" sqref="I5:I10">
      <x:formula1>"S,A,B,C"</x:formula1>
    </x:dataValidation>
    <x:dataValidation type="list" sqref="J5:J10">
      <x:formula1>"要,不要,条件付き"</x:formula1>
    </x:dataValidation>
    <x:dataValidation type="list" sqref="O5:O10">
      <x:formula1>"未申請,申請中,影響評価中,承認,却下,開発中,テスト中,リリース済み,取消"</x:formula1>
    </x:dataValidation>
  </x:dataValidations>
  <x:pageMargins left="0.7" right="0.7" top="0.75" bottom="0.75" header="0.3" footer="0.3"/>
</x:worksheet>
</file>

<file path=xl/worksheets/sheet35.xml><?xml version="1.0" encoding="utf-8"?>
<x:worksheet xmlns:x="http://schemas.openxmlformats.org/spreadsheetml/2006/main">
  <x:sheetFormatPr defaultRowHeight="15"/>
  <x:cols>
    <x:col min="1" max="1" width="12" hidden="0" customWidth="1"/>
    <x:col min="2" max="2" width="14" hidden="0" customWidth="1"/>
    <x:col min="3" max="3" width="18" hidden="0" customWidth="1"/>
    <x:col min="4" max="4" width="16" hidden="0" customWidth="1"/>
    <x:col min="5" max="5" width="44" hidden="0" customWidth="1"/>
    <x:col min="6" max="6" width="18" hidden="0" customWidth="1"/>
    <x:col min="7" max="7" width="44" hidden="0" customWidth="1"/>
    <x:col min="8" max="8" width="14" hidden="0" customWidth="1"/>
    <x:col min="9" max="9" width="14" hidden="0" customWidth="1"/>
    <x:col min="10" max="10" width="14" hidden="0" customWidth="1"/>
    <x:col min="11" max="11" width="16" hidden="0" customWidth="1"/>
    <x:col min="12" max="12" width="14" hidden="0" customWidth="1"/>
    <x:col min="13" max="13" width="18" hidden="0" customWidth="1"/>
    <x:col min="14" max="14" width="24" hidden="0" customWidth="1"/>
  </x:cols>
  <x:sheetData>
    <x:row r="1" ht="28" customHeight="1">
      <x:c r="A1" s="1625" t="str">
        <x:v>34_ベンダーQ&amp;A</x:v>
      </x:c>
      <x:c r="B1" s="1625"/>
      <x:c r="C1" s="1625"/>
      <x:c r="D1" s="1625"/>
      <x:c r="E1" s="1625"/>
      <x:c r="F1" s="1625"/>
      <x:c r="G1" s="1625"/>
      <x:c r="H1" s="1625"/>
      <x:c r="I1" s="1625"/>
      <x:c r="J1" s="1625"/>
      <x:c r="K1" s="1625"/>
      <x:c r="L1" s="1625"/>
      <x:c r="M1" s="1625"/>
      <x:c r="N1" s="1625"/>
    </x:row>
    <x:row r="2" ht="36" customHeight="1">
      <x:c r="A2" s="1628" t="str">
        <x:v>RFP期間中の質問と回答を全社へ公平に共有し、要件解釈の差を抑える。</x:v>
      </x:c>
      <x:c r="B2" s="1628"/>
      <x:c r="C2" s="1628"/>
      <x:c r="D2" s="1628"/>
      <x:c r="E2" s="1628"/>
      <x:c r="F2" s="1628"/>
      <x:c r="G2" s="1628"/>
      <x:c r="H2" s="1628"/>
      <x:c r="I2" s="1628"/>
      <x:c r="J2" s="1628"/>
      <x:c r="K2" s="1628"/>
      <x:c r="L2" s="1628"/>
      <x:c r="M2" s="1628"/>
      <x:c r="N2" s="1628"/>
    </x:row>
    <x:row r="4" ht="38" customHeight="1">
      <x:c r="A4" s="1640" t="str">
        <x:v>Q&amp;A ID</x:v>
      </x:c>
      <x:c r="B4" s="1641" t="str">
        <x:v>受付日</x:v>
      </x:c>
      <x:c r="C4" s="1641" t="str">
        <x:v>質問会社</x:v>
      </x:c>
      <x:c r="D4" s="1641" t="str">
        <x:v>分類</x:v>
      </x:c>
      <x:c r="E4" s="1641" t="str">
        <x:v>質問内容</x:v>
      </x:c>
      <x:c r="F4" s="1641" t="str">
        <x:v>関連要件</x:v>
      </x:c>
      <x:c r="G4" s="1641" t="str">
        <x:v>回答</x:v>
      </x:c>
      <x:c r="H4" s="1641" t="str">
        <x:v>回答区分</x:v>
      </x:c>
      <x:c r="I4" s="1641" t="str">
        <x:v>回答日</x:v>
      </x:c>
      <x:c r="J4" s="1641" t="str">
        <x:v>全社共有</x:v>
      </x:c>
      <x:c r="K4" s="1641" t="str">
        <x:v>RFP変更有無</x:v>
      </x:c>
      <x:c r="L4" s="1641" t="str">
        <x:v>変更ID</x:v>
      </x:c>
      <x:c r="M4" s="1641" t="str">
        <x:v>回答者</x:v>
      </x:c>
      <x:c r="N4" s="1642" t="str">
        <x:v>備考</x:v>
      </x:c>
    </x:row>
    <x:row r="5">
      <x:c r="A5" s="1659" t="str">
        <x:v>QA-001</x:v>
      </x:c>
      <x:c r="B5" s="1660" t="str"/>
      <x:c r="C5" s="1660" t="str"/>
      <x:c r="D5" s="1660" t="str">
        <x:v>算定ロジック</x:v>
      </x:c>
      <x:c r="E5" s="1660" t="str"/>
      <x:c r="F5" s="1660" t="str">
        <x:v>13</x:v>
      </x:c>
      <x:c r="G5" s="1660" t="str"/>
      <x:c r="H5" s="1660" t="str">
        <x:v>個別/共通</x:v>
      </x:c>
      <x:c r="I5" s="1660" t="str"/>
      <x:c r="J5" s="1660" t="str">
        <x:v>未</x:v>
      </x:c>
      <x:c r="K5" s="1660" t="str">
        <x:v>なし</x:v>
      </x:c>
      <x:c r="L5" s="1660" t="str"/>
      <x:c r="M5" s="1660" t="str"/>
      <x:c r="N5" s="1661" t="str"/>
    </x:row>
    <x:row r="6">
      <x:c r="A6" s="1662" t="str">
        <x:v>QA-002</x:v>
      </x:c>
      <x:c r="B6" s="1521" t="str"/>
      <x:c r="C6" s="1521" t="str"/>
      <x:c r="D6" s="1521" t="str">
        <x:v>AI</x:v>
      </x:c>
      <x:c r="E6" s="1521" t="str"/>
      <x:c r="F6" s="1521" t="str">
        <x:v>07/14/22</x:v>
      </x:c>
      <x:c r="G6" s="1521" t="str"/>
      <x:c r="H6" s="1521" t="str">
        <x:v>個別/共通</x:v>
      </x:c>
      <x:c r="I6" s="1521" t="str"/>
      <x:c r="J6" s="1521" t="str">
        <x:v>未</x:v>
      </x:c>
      <x:c r="K6" s="1521" t="str">
        <x:v>なし</x:v>
      </x:c>
      <x:c r="L6" s="1521" t="str"/>
      <x:c r="M6" s="1521" t="str"/>
      <x:c r="N6" s="1663" t="str"/>
    </x:row>
    <x:row r="7">
      <x:c r="A7" s="1662" t="str">
        <x:v>QA-003</x:v>
      </x:c>
      <x:c r="B7" s="1521" t="str"/>
      <x:c r="C7" s="1521" t="str"/>
      <x:c r="D7" s="1521" t="str">
        <x:v>Evidence</x:v>
      </x:c>
      <x:c r="E7" s="1521" t="str"/>
      <x:c r="F7" s="1521" t="str">
        <x:v>05/21/23</x:v>
      </x:c>
      <x:c r="G7" s="1521" t="str"/>
      <x:c r="H7" s="1521" t="str">
        <x:v>個別/共通</x:v>
      </x:c>
      <x:c r="I7" s="1521" t="str"/>
      <x:c r="J7" s="1521" t="str">
        <x:v>未</x:v>
      </x:c>
      <x:c r="K7" s="1521" t="str">
        <x:v>なし</x:v>
      </x:c>
      <x:c r="L7" s="1521" t="str"/>
      <x:c r="M7" s="1521" t="str"/>
      <x:c r="N7" s="1663" t="str"/>
    </x:row>
    <x:row r="8">
      <x:c r="A8" s="1662" t="str">
        <x:v>QA-004</x:v>
      </x:c>
      <x:c r="B8" s="1521" t="str"/>
      <x:c r="C8" s="1521" t="str"/>
      <x:c r="D8" s="1521" t="str">
        <x:v>セキュリティ</x:v>
      </x:c>
      <x:c r="E8" s="1521" t="str"/>
      <x:c r="F8" s="1521" t="str">
        <x:v>23/24</x:v>
      </x:c>
      <x:c r="G8" s="1521" t="str"/>
      <x:c r="H8" s="1521" t="str">
        <x:v>個別/共通</x:v>
      </x:c>
      <x:c r="I8" s="1521" t="str"/>
      <x:c r="J8" s="1521" t="str">
        <x:v>未</x:v>
      </x:c>
      <x:c r="K8" s="1521" t="str">
        <x:v>なし</x:v>
      </x:c>
      <x:c r="L8" s="1521" t="str"/>
      <x:c r="M8" s="1521" t="str"/>
      <x:c r="N8" s="1663" t="str"/>
    </x:row>
    <x:row r="9">
      <x:c r="A9" s="1662" t="str">
        <x:v>QA-005</x:v>
      </x:c>
      <x:c r="B9" s="1521" t="str"/>
      <x:c r="C9" s="1521" t="str"/>
      <x:c r="D9" s="1521" t="str">
        <x:v>帳票</x:v>
      </x:c>
      <x:c r="E9" s="1521" t="str"/>
      <x:c r="F9" s="1521" t="str">
        <x:v>18/19</x:v>
      </x:c>
      <x:c r="G9" s="1521" t="str"/>
      <x:c r="H9" s="1521" t="str">
        <x:v>個別/共通</x:v>
      </x:c>
      <x:c r="I9" s="1521" t="str"/>
      <x:c r="J9" s="1521" t="str">
        <x:v>未</x:v>
      </x:c>
      <x:c r="K9" s="1521" t="str">
        <x:v>なし</x:v>
      </x:c>
      <x:c r="L9" s="1521" t="str"/>
      <x:c r="M9" s="1521" t="str"/>
      <x:c r="N9" s="1663" t="str"/>
    </x:row>
    <x:row r="10">
      <x:c r="A10" s="1664" t="str">
        <x:v>QA-006</x:v>
      </x:c>
      <x:c r="B10" s="1665" t="str"/>
      <x:c r="C10" s="1665" t="str"/>
      <x:c r="D10" s="1665" t="str">
        <x:v>見積</x:v>
      </x:c>
      <x:c r="E10" s="1665" t="str"/>
      <x:c r="F10" s="1665" t="str">
        <x:v>26</x:v>
      </x:c>
      <x:c r="G10" s="1665" t="str"/>
      <x:c r="H10" s="1665" t="str">
        <x:v>個別/共通</x:v>
      </x:c>
      <x:c r="I10" s="1665" t="str"/>
      <x:c r="J10" s="1665" t="str">
        <x:v>未</x:v>
      </x:c>
      <x:c r="K10" s="1665" t="str">
        <x:v>なし</x:v>
      </x:c>
      <x:c r="L10" s="1665" t="str"/>
      <x:c r="M10" s="1665" t="str"/>
      <x:c r="N10" s="1666" t="str"/>
    </x:row>
  </x:sheetData>
  <x:mergeCells>
    <x:mergeCell ref="A1:N1"/>
    <x:mergeCell ref="A2:N2"/>
  </x:mergeCells>
  <x:dataValidations count="4">
    <x:dataValidation type="list" sqref="D5:D10">
      <x:formula1>"要件,算定ロジック,AI,Evidence,UI,帳票,セキュリティ,運用,工程,見積,契約,その他"</x:formula1>
    </x:dataValidation>
    <x:dataValidation type="list" sqref="H5:H10">
      <x:formula1>"個別,共通"</x:formula1>
    </x:dataValidation>
    <x:dataValidation type="list" sqref="J5:J10">
      <x:formula1>"未,済"</x:formula1>
    </x:dataValidation>
    <x:dataValidation type="list" sqref="K5:K10">
      <x:formula1>"なし,あり,確認中"</x:formula1>
    </x:dataValidation>
  </x:dataValidations>
  <x:pageMargins left="0.7" right="0.7" top="0.75" bottom="0.75" header="0.3" footer="0.3"/>
</x:worksheet>
</file>

<file path=xl/worksheets/sheet36.xml><?xml version="1.0" encoding="utf-8"?>
<x:worksheet xmlns:x="http://schemas.openxmlformats.org/spreadsheetml/2006/main">
  <x:sheetFormatPr defaultRowHeight="15"/>
  <x:cols>
    <x:col min="1" max="1" width="12" hidden="0" customWidth="1"/>
    <x:col min="2" max="2" width="14" hidden="0" customWidth="1"/>
    <x:col min="3" max="3" width="34" hidden="0" customWidth="1"/>
    <x:col min="4" max="4" width="38" hidden="0" customWidth="1"/>
    <x:col min="5" max="5" width="38" hidden="0" customWidth="1"/>
    <x:col min="6" max="6" width="14" hidden="0" customWidth="1"/>
    <x:col min="7" max="7" width="12" hidden="0" customWidth="1"/>
    <x:col min="8" max="8" width="22" hidden="0" customWidth="1"/>
    <x:col min="9" max="9" width="20" hidden="0" customWidth="1"/>
    <x:col min="10" max="10" width="14" hidden="0" customWidth="1"/>
    <x:col min="11" max="11" width="34" hidden="0" customWidth="1"/>
    <x:col min="12" max="12" width="14" hidden="0" customWidth="1"/>
    <x:col min="13" max="13" width="22" hidden="0" customWidth="1"/>
    <x:col min="14" max="14" width="22" hidden="0" customWidth="1"/>
  </x:cols>
  <x:sheetData>
    <x:row r="1" ht="28" customHeight="1">
      <x:c r="A1" s="1625" t="str">
        <x:v>35_契約・発注チェック</x:v>
      </x:c>
      <x:c r="B1" s="1625"/>
      <x:c r="C1" s="1625"/>
      <x:c r="D1" s="1625"/>
      <x:c r="E1" s="1625"/>
      <x:c r="F1" s="1625"/>
      <x:c r="G1" s="1625"/>
      <x:c r="H1" s="1625"/>
      <x:c r="I1" s="1625"/>
      <x:c r="J1" s="1625"/>
      <x:c r="K1" s="1625"/>
      <x:c r="L1" s="1625"/>
      <x:c r="M1" s="1625"/>
      <x:c r="N1" s="1625"/>
    </x:row>
    <x:row r="2" ht="36" customHeight="1">
      <x:c r="A2" s="1628" t="str">
        <x:v>選定後の契約・発注で、範囲、検収、知財、データ、セキュリティ、撤退性を確認する。</x:v>
      </x:c>
      <x:c r="B2" s="1628"/>
      <x:c r="C2" s="1628"/>
      <x:c r="D2" s="1628"/>
      <x:c r="E2" s="1628"/>
      <x:c r="F2" s="1628"/>
      <x:c r="G2" s="1628"/>
      <x:c r="H2" s="1628"/>
      <x:c r="I2" s="1628"/>
      <x:c r="J2" s="1628"/>
      <x:c r="K2" s="1628"/>
      <x:c r="L2" s="1628"/>
      <x:c r="M2" s="1628"/>
      <x:c r="N2" s="1628"/>
    </x:row>
    <x:row r="4" ht="38" customHeight="1">
      <x:c r="A4" s="1640" t="str">
        <x:v>チェックID</x:v>
      </x:c>
      <x:c r="B4" s="1641" t="str">
        <x:v>分類</x:v>
      </x:c>
      <x:c r="C4" s="1641" t="str">
        <x:v>確認事項</x:v>
      </x:c>
      <x:c r="D4" s="1641" t="str">
        <x:v>望ましい条件</x:v>
      </x:c>
      <x:c r="E4" s="1641" t="str">
        <x:v>提案・契約内容</x:v>
      </x:c>
      <x:c r="F4" s="1641" t="str">
        <x:v>適合</x:v>
      </x:c>
      <x:c r="G4" s="1641" t="str">
        <x:v>重要度</x:v>
      </x:c>
      <x:c r="H4" s="1641" t="str">
        <x:v>確認資料</x:v>
      </x:c>
      <x:c r="I4" s="1641" t="str">
        <x:v>責任者</x:v>
      </x:c>
      <x:c r="J4" s="1641" t="str">
        <x:v>期限</x:v>
      </x:c>
      <x:c r="K4" s="1641" t="str">
        <x:v>是正・交渉事項</x:v>
      </x:c>
      <x:c r="L4" s="1641" t="str">
        <x:v>完了日</x:v>
      </x:c>
      <x:c r="M4" s="1641" t="str">
        <x:v>証跡</x:v>
      </x:c>
      <x:c r="N4" s="1642" t="str">
        <x:v>備考</x:v>
      </x:c>
    </x:row>
    <x:row r="5">
      <x:c r="A5" s="1659" t="str">
        <x:v>CT-001</x:v>
      </x:c>
      <x:c r="B5" s="1660" t="str">
        <x:v>範囲</x:v>
      </x:c>
      <x:c r="C5" s="1660" t="str">
        <x:v>対象機能・成果物・除外事項が明確</x:v>
      </x:c>
      <x:c r="D5" s="1660" t="str">
        <x:v>RFP・見積・契約の一致</x:v>
      </x:c>
      <x:c r="E5" s="1660" t="str"/>
      <x:c r="F5" s="1660" t="str"/>
      <x:c r="G5" s="1660" t="str">
        <x:v>S</x:v>
      </x:c>
      <x:c r="H5" s="1660" t="str">
        <x:v>契約書・見積</x:v>
      </x:c>
      <x:c r="I5" s="1660" t="str">
        <x:v>PM</x:v>
      </x:c>
      <x:c r="J5" s="1660" t="str"/>
      <x:c r="K5" s="1660" t="str"/>
      <x:c r="L5" s="1660" t="str"/>
      <x:c r="M5" s="1660" t="str"/>
      <x:c r="N5" s="1661" t="str"/>
    </x:row>
    <x:row r="6">
      <x:c r="A6" s="1662" t="str">
        <x:v>CT-002</x:v>
      </x:c>
      <x:c r="B6" s="1521" t="str">
        <x:v>検収</x:v>
      </x:c>
      <x:c r="C6" s="1521" t="str">
        <x:v>受入条件と不合格時の修正が明確</x:v>
      </x:c>
      <x:c r="D6" s="1521" t="str">
        <x:v>24シートS/A項目を基準</x:v>
      </x:c>
      <x:c r="E6" s="1521" t="str"/>
      <x:c r="F6" s="1521" t="str"/>
      <x:c r="G6" s="1521" t="str">
        <x:v>S</x:v>
      </x:c>
      <x:c r="H6" s="1521" t="str">
        <x:v>検収条項</x:v>
      </x:c>
      <x:c r="I6" s="1521" t="str">
        <x:v>PM/QA</x:v>
      </x:c>
      <x:c r="J6" s="1521" t="str"/>
      <x:c r="K6" s="1521" t="str"/>
      <x:c r="L6" s="1521" t="str"/>
      <x:c r="M6" s="1521" t="str"/>
      <x:c r="N6" s="1663" t="str"/>
    </x:row>
    <x:row r="7">
      <x:c r="A7" s="1662" t="str">
        <x:v>CT-003</x:v>
      </x:c>
      <x:c r="B7" s="1521" t="str">
        <x:v>変更</x:v>
      </x:c>
      <x:c r="C7" s="1521" t="str">
        <x:v>仕様変更手続と追加費用条件が明確</x:v>
      </x:c>
      <x:c r="D7" s="1521" t="str">
        <x:v>33_変更管理を適用</x:v>
      </x:c>
      <x:c r="E7" s="1521" t="str"/>
      <x:c r="F7" s="1521" t="str"/>
      <x:c r="G7" s="1521" t="str">
        <x:v>A</x:v>
      </x:c>
      <x:c r="H7" s="1521" t="str">
        <x:v>変更管理条項</x:v>
      </x:c>
      <x:c r="I7" s="1521" t="str">
        <x:v>PM</x:v>
      </x:c>
      <x:c r="J7" s="1521" t="str"/>
      <x:c r="K7" s="1521" t="str"/>
      <x:c r="L7" s="1521" t="str"/>
      <x:c r="M7" s="1521" t="str"/>
      <x:c r="N7" s="1663" t="str"/>
    </x:row>
    <x:row r="8">
      <x:c r="A8" s="1662" t="str">
        <x:v>CT-004</x:v>
      </x:c>
      <x:c r="B8" s="1521" t="str">
        <x:v>知財</x:v>
      </x:c>
      <x:c r="C8" s="1521" t="str">
        <x:v>ソースコード・設計書・コメント・帳票の利用権</x:v>
      </x:c>
      <x:c r="D8" s="1521" t="str">
        <x:v>自社継続利用・改修・移管可能</x:v>
      </x:c>
      <x:c r="E8" s="1521" t="str"/>
      <x:c r="F8" s="1521" t="str"/>
      <x:c r="G8" s="1521" t="str">
        <x:v>S</x:v>
      </x:c>
      <x:c r="H8" s="1521" t="str">
        <x:v>知財条項</x:v>
      </x:c>
      <x:c r="I8" s="1521" t="str">
        <x:v>法務</x:v>
      </x:c>
      <x:c r="J8" s="1521" t="str"/>
      <x:c r="K8" s="1521" t="str"/>
      <x:c r="L8" s="1521" t="str"/>
      <x:c r="M8" s="1521" t="str"/>
      <x:c r="N8" s="1663" t="str"/>
    </x:row>
    <x:row r="9">
      <x:c r="A9" s="1662" t="str">
        <x:v>CT-005</x:v>
      </x:c>
      <x:c r="B9" s="1521" t="str">
        <x:v>データ</x:v>
      </x:c>
      <x:c r="C9" s="1521" t="str">
        <x:v>顧客データ・添付資料の所有権</x:v>
      </x:c>
      <x:c r="D9" s="1521" t="str">
        <x:v>澤電気機械または顧客に帰属</x:v>
      </x:c>
      <x:c r="E9" s="1521" t="str"/>
      <x:c r="F9" s="1521" t="str"/>
      <x:c r="G9" s="1521" t="str">
        <x:v>S</x:v>
      </x:c>
      <x:c r="H9" s="1521" t="str">
        <x:v>データ条項</x:v>
      </x:c>
      <x:c r="I9" s="1521" t="str">
        <x:v>法務/情報システム</x:v>
      </x:c>
      <x:c r="J9" s="1521" t="str"/>
      <x:c r="K9" s="1521" t="str"/>
      <x:c r="L9" s="1521" t="str"/>
      <x:c r="M9" s="1521" t="str"/>
      <x:c r="N9" s="1663" t="str"/>
    </x:row>
    <x:row r="10">
      <x:c r="A10" s="1662" t="str">
        <x:v>CT-006</x:v>
      </x:c>
      <x:c r="B10" s="1521" t="str">
        <x:v>AI</x:v>
      </x:c>
      <x:c r="C10" s="1521" t="str">
        <x:v>入力データの学習利用・第三者提供</x:v>
      </x:c>
      <x:c r="D10" s="1521" t="str">
        <x:v>原則不使用、使用時は明示・同意</x:v>
      </x:c>
      <x:c r="E10" s="1521" t="str"/>
      <x:c r="F10" s="1521" t="str"/>
      <x:c r="G10" s="1521" t="str">
        <x:v>S</x:v>
      </x:c>
      <x:c r="H10" s="1521" t="str">
        <x:v>AI利用条件</x:v>
      </x:c>
      <x:c r="I10" s="1521" t="str">
        <x:v>法務/情報システム</x:v>
      </x:c>
      <x:c r="J10" s="1521" t="str"/>
      <x:c r="K10" s="1521" t="str"/>
      <x:c r="L10" s="1521" t="str"/>
      <x:c r="M10" s="1521" t="str"/>
      <x:c r="N10" s="1663" t="str"/>
    </x:row>
    <x:row r="11">
      <x:c r="A11" s="1662" t="str">
        <x:v>CT-007</x:v>
      </x:c>
      <x:c r="B11" s="1521" t="str">
        <x:v>再委託</x:v>
      </x:c>
      <x:c r="C11" s="1521" t="str">
        <x:v>再委託先・国外処理・保管場所</x:v>
      </x:c>
      <x:c r="D11" s="1521" t="str">
        <x:v>事前承認・一覧開示</x:v>
      </x:c>
      <x:c r="E11" s="1521" t="str"/>
      <x:c r="F11" s="1521" t="str"/>
      <x:c r="G11" s="1521" t="str">
        <x:v>A</x:v>
      </x:c>
      <x:c r="H11" s="1521" t="str">
        <x:v>再委託条項</x:v>
      </x:c>
      <x:c r="I11" s="1521" t="str">
        <x:v>法務</x:v>
      </x:c>
      <x:c r="J11" s="1521" t="str"/>
      <x:c r="K11" s="1521" t="str"/>
      <x:c r="L11" s="1521" t="str"/>
      <x:c r="M11" s="1521" t="str"/>
      <x:c r="N11" s="1663" t="str"/>
    </x:row>
    <x:row r="12">
      <x:c r="A12" s="1662" t="str">
        <x:v>CT-008</x:v>
      </x:c>
      <x:c r="B12" s="1521" t="str">
        <x:v>セキュリティ</x:v>
      </x:c>
      <x:c r="C12" s="1521" t="str">
        <x:v>暗号化、権限、ログ、脆弱性、事故通知</x:v>
      </x:c>
      <x:c r="D12" s="1521" t="str">
        <x:v>RFP回答内容を契約義務化</x:v>
      </x:c>
      <x:c r="E12" s="1521" t="str"/>
      <x:c r="F12" s="1521" t="str"/>
      <x:c r="G12" s="1521" t="str">
        <x:v>S</x:v>
      </x:c>
      <x:c r="H12" s="1521" t="str">
        <x:v>セキュリティ別紙</x:v>
      </x:c>
      <x:c r="I12" s="1521" t="str">
        <x:v>情報システム</x:v>
      </x:c>
      <x:c r="J12" s="1521" t="str"/>
      <x:c r="K12" s="1521" t="str"/>
      <x:c r="L12" s="1521" t="str"/>
      <x:c r="M12" s="1521" t="str"/>
      <x:c r="N12" s="1663" t="str"/>
    </x:row>
    <x:row r="13">
      <x:c r="A13" s="1662" t="str">
        <x:v>CT-009</x:v>
      </x:c>
      <x:c r="B13" s="1521" t="str">
        <x:v>SLA</x:v>
      </x:c>
      <x:c r="C13" s="1521" t="str">
        <x:v>障害等級、受付、復旧目標、報告</x:v>
      </x:c>
      <x:c r="D13" s="1521" t="str">
        <x:v>重大障害の即時連絡・復旧目標明記</x:v>
      </x:c>
      <x:c r="E13" s="1521" t="str"/>
      <x:c r="F13" s="1521" t="str"/>
      <x:c r="G13" s="1521" t="str">
        <x:v>A</x:v>
      </x:c>
      <x:c r="H13" s="1521" t="str">
        <x:v>運用保守契約</x:v>
      </x:c>
      <x:c r="I13" s="1521" t="str">
        <x:v>運用管理</x:v>
      </x:c>
      <x:c r="J13" s="1521" t="str"/>
      <x:c r="K13" s="1521" t="str"/>
      <x:c r="L13" s="1521" t="str"/>
      <x:c r="M13" s="1521" t="str"/>
      <x:c r="N13" s="1663" t="str"/>
    </x:row>
    <x:row r="14">
      <x:c r="A14" s="1662" t="str">
        <x:v>CT-010</x:v>
      </x:c>
      <x:c r="B14" s="1521" t="str">
        <x:v>バックアップ</x:v>
      </x:c>
      <x:c r="C14" s="1521" t="str">
        <x:v>頻度、保持、復旧試験</x:v>
      </x:c>
      <x:c r="D14" s="1521" t="str">
        <x:v>RPO/RTOと試験頻度を明記</x:v>
      </x:c>
      <x:c r="E14" s="1521" t="str"/>
      <x:c r="F14" s="1521" t="str"/>
      <x:c r="G14" s="1521" t="str">
        <x:v>A</x:v>
      </x:c>
      <x:c r="H14" s="1521" t="str">
        <x:v>運用設計</x:v>
      </x:c>
      <x:c r="I14" s="1521" t="str">
        <x:v>情報システム</x:v>
      </x:c>
      <x:c r="J14" s="1521" t="str"/>
      <x:c r="K14" s="1521" t="str"/>
      <x:c r="L14" s="1521" t="str"/>
      <x:c r="M14" s="1521" t="str"/>
      <x:c r="N14" s="1663" t="str"/>
    </x:row>
    <x:row r="15">
      <x:c r="A15" s="1662" t="str">
        <x:v>CT-011</x:v>
      </x:c>
      <x:c r="B15" s="1521" t="str">
        <x:v>費用</x:v>
      </x:c>
      <x:c r="C15" s="1521" t="str">
        <x:v>従量単価、上限、価格改定条件</x:v>
      </x:c>
      <x:c r="D15" s="1521" t="str">
        <x:v>予算超過防止・事前通知</x:v>
      </x:c>
      <x:c r="E15" s="1521" t="str"/>
      <x:c r="F15" s="1521" t="str"/>
      <x:c r="G15" s="1521" t="str">
        <x:v>A</x:v>
      </x:c>
      <x:c r="H15" s="1521" t="str">
        <x:v>料金表</x:v>
      </x:c>
      <x:c r="I15" s="1521" t="str">
        <x:v>事業責任者</x:v>
      </x:c>
      <x:c r="J15" s="1521" t="str"/>
      <x:c r="K15" s="1521" t="str"/>
      <x:c r="L15" s="1521" t="str"/>
      <x:c r="M15" s="1521" t="str"/>
      <x:c r="N15" s="1663" t="str"/>
    </x:row>
    <x:row r="16">
      <x:c r="A16" s="1662" t="str">
        <x:v>CT-012</x:v>
      </x:c>
      <x:c r="B16" s="1521" t="str">
        <x:v>撤退性</x:v>
      </x:c>
      <x:c r="C16" s="1521" t="str">
        <x:v>契約終了時のデータ・ソース・設定移管</x:v>
      </x:c>
      <x:c r="D16" s="1521" t="str">
        <x:v>標準形式で返却、削除証明</x:v>
      </x:c>
      <x:c r="E16" s="1521" t="str"/>
      <x:c r="F16" s="1521" t="str"/>
      <x:c r="G16" s="1521" t="str">
        <x:v>S</x:v>
      </x:c>
      <x:c r="H16" s="1521" t="str">
        <x:v>終了条項</x:v>
      </x:c>
      <x:c r="I16" s="1521" t="str">
        <x:v>法務/情報システム</x:v>
      </x:c>
      <x:c r="J16" s="1521" t="str"/>
      <x:c r="K16" s="1521" t="str"/>
      <x:c r="L16" s="1521" t="str"/>
      <x:c r="M16" s="1521" t="str"/>
      <x:c r="N16" s="1663" t="str"/>
    </x:row>
    <x:row r="17">
      <x:c r="A17" s="1662" t="str">
        <x:v>CT-013</x:v>
      </x:c>
      <x:c r="B17" s="1521" t="str">
        <x:v>保証</x:v>
      </x:c>
      <x:c r="C17" s="1521" t="str">
        <x:v>瑕疵・不具合修正期間</x:v>
      </x:c>
      <x:c r="D17" s="1521" t="str">
        <x:v>検収後一定期間無償修正</x:v>
      </x:c>
      <x:c r="E17" s="1521" t="str"/>
      <x:c r="F17" s="1521" t="str"/>
      <x:c r="G17" s="1521" t="str">
        <x:v>A</x:v>
      </x:c>
      <x:c r="H17" s="1521" t="str">
        <x:v>保証条項</x:v>
      </x:c>
      <x:c r="I17" s="1521" t="str">
        <x:v>PM</x:v>
      </x:c>
      <x:c r="J17" s="1521" t="str"/>
      <x:c r="K17" s="1521" t="str"/>
      <x:c r="L17" s="1521" t="str"/>
      <x:c r="M17" s="1521" t="str"/>
      <x:c r="N17" s="1663" t="str"/>
    </x:row>
    <x:row r="18">
      <x:c r="A18" s="1664" t="str">
        <x:v>CT-014</x:v>
      </x:c>
      <x:c r="B18" s="1665" t="str">
        <x:v>責任</x:v>
      </x:c>
      <x:c r="C18" s="1665" t="str">
        <x:v>損害賠償・免責・保険</x:v>
      </x:c>
      <x:c r="D18" s="1665" t="str">
        <x:v>リスクに見合う上限と例外</x:v>
      </x:c>
      <x:c r="E18" s="1665" t="str"/>
      <x:c r="F18" s="1665" t="str"/>
      <x:c r="G18" s="1665" t="str">
        <x:v>A</x:v>
      </x:c>
      <x:c r="H18" s="1665" t="str">
        <x:v>責任条項</x:v>
      </x:c>
      <x:c r="I18" s="1665" t="str">
        <x:v>法務</x:v>
      </x:c>
      <x:c r="J18" s="1665" t="str"/>
      <x:c r="K18" s="1665" t="str"/>
      <x:c r="L18" s="1665" t="str"/>
      <x:c r="M18" s="1665" t="str"/>
      <x:c r="N18" s="1666" t="str"/>
    </x:row>
  </x:sheetData>
  <x:mergeCells>
    <x:mergeCell ref="A1:N1"/>
    <x:mergeCell ref="A2:N2"/>
  </x:mergeCells>
  <x:conditionalFormatting sqref="F5:F18">
    <x:cfRule type="expression" dxfId="12" priority="1">
      <x:formula>F5="適合"</x:formula>
    </x:cfRule>
    <x:cfRule type="expression" dxfId="13" priority="2">
      <x:formula>F5="条件付き"</x:formula>
    </x:cfRule>
    <x:cfRule type="expression" dxfId="14" priority="3">
      <x:formula>F5="不適合"</x:formula>
    </x:cfRule>
  </x:conditionalFormatting>
  <x:dataValidations count="2">
    <x:dataValidation type="list" sqref="F5:F18">
      <x:formula1>"適合,条件付き,不適合,未確認"</x:formula1>
    </x:dataValidation>
    <x:dataValidation type="list" sqref="G5:G18">
      <x:formula1>"S,A,B,C"</x:formula1>
    </x:dataValidation>
  </x:dataValidations>
  <x:pageMargins left="0.7" right="0.7" top="0.75" bottom="0.75" header="0.3" footer="0.3"/>
</x:worksheet>
</file>

<file path=xl/worksheets/sheet37.xml><?xml version="1.0" encoding="utf-8"?>
<x:worksheet xmlns:x="http://schemas.openxmlformats.org/spreadsheetml/2006/main">
  <x:sheetFormatPr defaultRowHeight="15"/>
  <x:cols>
    <x:col min="1" max="1" width="12" hidden="0" customWidth="1"/>
    <x:col min="2" max="2" width="16" hidden="0" customWidth="1"/>
    <x:col min="3" max="3" width="28" hidden="0" customWidth="1"/>
    <x:col min="4" max="4" width="42" hidden="0" customWidth="1"/>
    <x:col min="5" max="5" width="38" hidden="0" customWidth="1"/>
    <x:col min="6" max="6" width="14" hidden="0" customWidth="1"/>
    <x:col min="7" max="7" width="12" hidden="0" customWidth="1"/>
    <x:col min="8" max="8" width="22" hidden="0" customWidth="1"/>
    <x:col min="9" max="9" width="20" hidden="0" customWidth="1"/>
    <x:col min="10" max="10" width="14" hidden="0" customWidth="1"/>
    <x:col min="11" max="11" width="14" hidden="0" customWidth="1"/>
    <x:col min="12" max="12" width="18" hidden="0" customWidth="1"/>
    <x:col min="13" max="13" width="18" hidden="0" customWidth="1"/>
    <x:col min="14" max="14" width="24" hidden="0" customWidth="1"/>
  </x:cols>
  <x:sheetData>
    <x:row r="1" ht="28" customHeight="1">
      <x:c r="A1" s="1625" t="str">
        <x:v>36_リリース判定</x:v>
      </x:c>
      <x:c r="B1" s="1625"/>
      <x:c r="C1" s="1625"/>
      <x:c r="D1" s="1625"/>
      <x:c r="E1" s="1625"/>
      <x:c r="F1" s="1625"/>
      <x:c r="G1" s="1625"/>
      <x:c r="H1" s="1625"/>
      <x:c r="I1" s="1625"/>
      <x:c r="J1" s="1625"/>
      <x:c r="K1" s="1625"/>
      <x:c r="L1" s="1625"/>
      <x:c r="M1" s="1625"/>
      <x:c r="N1" s="1625"/>
    </x:row>
    <x:row r="2" ht="36" customHeight="1">
      <x:c r="A2" s="1628" t="str">
        <x:v>Phaseごとのゲート判定と本番公開可否を、受入・品質・セキュリティ・運用・事業KPIで決定。</x:v>
      </x:c>
      <x:c r="B2" s="1628"/>
      <x:c r="C2" s="1628"/>
      <x:c r="D2" s="1628"/>
      <x:c r="E2" s="1628"/>
      <x:c r="F2" s="1628"/>
      <x:c r="G2" s="1628"/>
      <x:c r="H2" s="1628"/>
      <x:c r="I2" s="1628"/>
      <x:c r="J2" s="1628"/>
      <x:c r="K2" s="1628"/>
      <x:c r="L2" s="1628"/>
      <x:c r="M2" s="1628"/>
      <x:c r="N2" s="1628"/>
    </x:row>
    <x:row r="4" ht="38" customHeight="1">
      <x:c r="A4" s="1640" t="str">
        <x:v>ゲートID</x:v>
      </x:c>
      <x:c r="B4" s="1641" t="str">
        <x:v>判定時点</x:v>
      </x:c>
      <x:c r="C4" s="1641" t="str">
        <x:v>判定項目</x:v>
      </x:c>
      <x:c r="D4" s="1641" t="str">
        <x:v>必須条件</x:v>
      </x:c>
      <x:c r="E4" s="1641" t="str">
        <x:v>実績・確認結果</x:v>
      </x:c>
      <x:c r="F4" s="1641" t="str">
        <x:v>適合</x:v>
      </x:c>
      <x:c r="G4" s="1641" t="str">
        <x:v>重要度</x:v>
      </x:c>
      <x:c r="H4" s="1641" t="str">
        <x:v>証跡</x:v>
      </x:c>
      <x:c r="I4" s="1641" t="str">
        <x:v>責任者</x:v>
      </x:c>
      <x:c r="J4" s="1641" t="str">
        <x:v>判定日</x:v>
      </x:c>
      <x:c r="K4" s="1641" t="str">
        <x:v>是正期限</x:v>
      </x:c>
      <x:c r="L4" s="1641" t="str">
        <x:v>最終判定</x:v>
      </x:c>
      <x:c r="M4" s="1641" t="str">
        <x:v>次フェーズ</x:v>
      </x:c>
      <x:c r="N4" s="1642" t="str">
        <x:v>備考</x:v>
      </x:c>
    </x:row>
    <x:row r="5">
      <x:c r="A5" s="1659" t="str">
        <x:v>GT-01</x:v>
      </x:c>
      <x:c r="B5" s="1660" t="str">
        <x:v>Phase0終了</x:v>
      </x:c>
      <x:c r="C5" s="1660" t="str">
        <x:v>必須要件・責任境界</x:v>
      </x:c>
      <x:c r="D5" s="1660" t="str">
        <x:v>Fit&amp;Gap合意、未決事項に責任者・期限あり</x:v>
      </x:c>
      <x:c r="E5" s="1660" t="str"/>
      <x:c r="F5" s="1660" t="str"/>
      <x:c r="G5" s="1660" t="str">
        <x:v>S</x:v>
      </x:c>
      <x:c r="H5" s="1660" t="str">
        <x:v>要件確認書</x:v>
      </x:c>
      <x:c r="I5" s="1660" t="str">
        <x:v>ステアリング委員会</x:v>
      </x:c>
      <x:c r="J5" s="1660" t="str"/>
      <x:c r="K5" s="1660" t="str"/>
      <x:c r="L5" s="1660" t="str"/>
      <x:c r="M5" s="1660" t="str">
        <x:v>Phase1</x:v>
      </x:c>
      <x:c r="N5" s="1661" t="str"/>
    </x:row>
    <x:row r="6">
      <x:c r="A6" s="1662" t="str">
        <x:v>GT-02</x:v>
      </x:c>
      <x:c r="B6" s="1521" t="str">
        <x:v>Phase1終了</x:v>
      </x:c>
      <x:c r="C6" s="1521" t="str">
        <x:v>診断ロジックPoC</x:v>
      </x:c>
      <x:c r="D6" s="1521" t="str">
        <x:v>AT-002～010全て合格、再現一致率100%</x:v>
      </x:c>
      <x:c r="E6" s="1521" t="str"/>
      <x:c r="F6" s="1521" t="str"/>
      <x:c r="G6" s="1521" t="str">
        <x:v>S</x:v>
      </x:c>
      <x:c r="H6" s="1521" t="str">
        <x:v>PoC報告・ログ</x:v>
      </x:c>
      <x:c r="I6" s="1521" t="str">
        <x:v>診断責任者/QA</x:v>
      </x:c>
      <x:c r="J6" s="1521" t="str"/>
      <x:c r="K6" s="1521" t="str"/>
      <x:c r="L6" s="1521" t="str"/>
      <x:c r="M6" s="1521" t="str">
        <x:v>Phase2</x:v>
      </x:c>
      <x:c r="N6" s="1663" t="str"/>
    </x:row>
    <x:row r="7">
      <x:c r="A7" s="1662" t="str">
        <x:v>GT-03</x:v>
      </x:c>
      <x:c r="B7" s="1521" t="str">
        <x:v>Phase2終了</x:v>
      </x:c>
      <x:c r="C7" s="1521" t="str">
        <x:v>MVP機能・UI</x:v>
      </x:c>
      <x:c r="D7" s="1521" t="str">
        <x:v>主要画面、途中保存、Evidence、算定が合格</x:v>
      </x:c>
      <x:c r="E7" s="1521" t="str"/>
      <x:c r="F7" s="1521" t="str"/>
      <x:c r="G7" s="1521" t="str">
        <x:v>S</x:v>
      </x:c>
      <x:c r="H7" s="1521" t="str">
        <x:v>テスト報告</x:v>
      </x:c>
      <x:c r="I7" s="1521" t="str">
        <x:v>PM/QA</x:v>
      </x:c>
      <x:c r="J7" s="1521" t="str"/>
      <x:c r="K7" s="1521" t="str"/>
      <x:c r="L7" s="1521" t="str"/>
      <x:c r="M7" s="1521" t="str">
        <x:v>Phase3</x:v>
      </x:c>
      <x:c r="N7" s="1663" t="str"/>
    </x:row>
    <x:row r="8">
      <x:c r="A8" s="1662" t="str">
        <x:v>GT-04</x:v>
      </x:c>
      <x:c r="B8" s="1521" t="str">
        <x:v>Phase3終了</x:v>
      </x:c>
      <x:c r="C8" s="1521" t="str">
        <x:v>A3帳票・導線</x:v>
      </x:c>
      <x:c r="D8" s="1521" t="str">
        <x:v>AT-011～014合格、免責・文言承認</x:v>
      </x:c>
      <x:c r="E8" s="1521" t="str"/>
      <x:c r="F8" s="1521" t="str"/>
      <x:c r="G8" s="1521" t="str">
        <x:v>S</x:v>
      </x:c>
      <x:c r="H8" s="1521" t="str">
        <x:v>PDF・受入報告</x:v>
      </x:c>
      <x:c r="I8" s="1521" t="str">
        <x:v>事業責任者</x:v>
      </x:c>
      <x:c r="J8" s="1521" t="str"/>
      <x:c r="K8" s="1521" t="str"/>
      <x:c r="L8" s="1521" t="str"/>
      <x:c r="M8" s="1521" t="str">
        <x:v>Phase4</x:v>
      </x:c>
      <x:c r="N8" s="1663" t="str"/>
    </x:row>
    <x:row r="9">
      <x:c r="A9" s="1662" t="str">
        <x:v>GT-05</x:v>
      </x:c>
      <x:c r="B9" s="1521" t="str">
        <x:v>Phase4終了</x:v>
      </x:c>
      <x:c r="C9" s="1521" t="str">
        <x:v>セキュリティ・運用</x:v>
      </x:c>
      <x:c r="D9" s="1521" t="str">
        <x:v>脆弱性、権限、バックアップ、監視、手順書合格</x:v>
      </x:c>
      <x:c r="E9" s="1521" t="str"/>
      <x:c r="F9" s="1521" t="str"/>
      <x:c r="G9" s="1521" t="str">
        <x:v>S</x:v>
      </x:c>
      <x:c r="H9" s="1521" t="str">
        <x:v>運用・セキュリティ報告</x:v>
      </x:c>
      <x:c r="I9" s="1521" t="str">
        <x:v>情報システム</x:v>
      </x:c>
      <x:c r="J9" s="1521" t="str"/>
      <x:c r="K9" s="1521" t="str"/>
      <x:c r="L9" s="1521" t="str"/>
      <x:c r="M9" s="1521" t="str">
        <x:v>Phase5</x:v>
      </x:c>
      <x:c r="N9" s="1663" t="str"/>
    </x:row>
    <x:row r="10">
      <x:c r="A10" s="1662" t="str">
        <x:v>GT-06</x:v>
      </x:c>
      <x:c r="B10" s="1521" t="str">
        <x:v>本番公開</x:v>
      </x:c>
      <x:c r="C10" s="1521" t="str">
        <x:v>受入・契約・運用</x:v>
      </x:c>
      <x:c r="D10" s="1521" t="str">
        <x:v>S項目全合格、A項目未解決なし、契約完了</x:v>
      </x:c>
      <x:c r="E10" s="1521" t="str"/>
      <x:c r="F10" s="1521" t="str"/>
      <x:c r="G10" s="1521" t="str">
        <x:v>S</x:v>
      </x:c>
      <x:c r="H10" s="1521" t="str">
        <x:v>受入・契約・承認記録</x:v>
      </x:c>
      <x:c r="I10" s="1521" t="str">
        <x:v>経営/事業責任者</x:v>
      </x:c>
      <x:c r="J10" s="1521" t="str"/>
      <x:c r="K10" s="1521" t="str"/>
      <x:c r="L10" s="1521" t="str"/>
      <x:c r="M10" s="1521" t="str">
        <x:v>Phase6</x:v>
      </x:c>
      <x:c r="N10" s="1663" t="str"/>
    </x:row>
    <x:row r="11">
      <x:c r="A11" s="1664" t="str">
        <x:v>GT-07</x:v>
      </x:c>
      <x:c r="B11" s="1665" t="str">
        <x:v>パイロット終了</x:v>
      </x:c>
      <x:c r="C11" s="1665" t="str">
        <x:v>事業継続判断</x:v>
      </x:c>
      <x:c r="D11" s="1665" t="str">
        <x:v>31_KPIの継続条件を満たす、または改善計画承認</x:v>
      </x:c>
      <x:c r="E11" s="1665" t="str"/>
      <x:c r="F11" s="1665" t="str"/>
      <x:c r="G11" s="1665" t="str">
        <x:v>A</x:v>
      </x:c>
      <x:c r="H11" s="1665" t="str">
        <x:v>KPIレビュー</x:v>
      </x:c>
      <x:c r="I11" s="1665" t="str">
        <x:v>経営/事業責任者</x:v>
      </x:c>
      <x:c r="J11" s="1665" t="str"/>
      <x:c r="K11" s="1665" t="str"/>
      <x:c r="L11" s="1665" t="str"/>
      <x:c r="M11" s="1665" t="str">
        <x:v>正式運用/改善/中止</x:v>
      </x:c>
      <x:c r="N11" s="1666" t="str"/>
    </x:row>
  </x:sheetData>
  <x:mergeCells>
    <x:mergeCell ref="A1:N1"/>
    <x:mergeCell ref="A2:N2"/>
  </x:mergeCells>
  <x:dataValidations count="3">
    <x:dataValidation type="list" sqref="F5:F11">
      <x:formula1>"適合,条件付き,不適合,未確認"</x:formula1>
    </x:dataValidation>
    <x:dataValidation type="list" sqref="G5:G11">
      <x:formula1>"S,A,B,C"</x:formula1>
    </x:dataValidation>
    <x:dataValidation type="list" sqref="L5:L11">
      <x:formula1>"Go,Conditional Go,No-Go,保留"</x:formula1>
    </x:dataValidation>
  </x:dataValidations>
  <x:pageMargins left="0.7" right="0.7" top="0.75" bottom="0.75" header="0.3" footer="0.3"/>
</x:worksheet>
</file>

<file path=xl/worksheets/sheet38.xml><?xml version="1.0" encoding="utf-8"?>
<x:worksheet xmlns:x="http://schemas.openxmlformats.org/spreadsheetml/2006/main">
  <x:sheetFormatPr defaultRowHeight="15"/>
  <x:cols>
    <x:col min="1" max="1" width="8" hidden="0" customWidth="1"/>
    <x:col min="2" max="2" width="18" hidden="0" customWidth="1"/>
    <x:col min="3" max="3" width="34" hidden="0" customWidth="1"/>
    <x:col min="4" max="4" width="14" hidden="0" customWidth="1"/>
    <x:col min="5" max="5" width="36" hidden="0" customWidth="1"/>
    <x:col min="6" max="6" width="26" hidden="0" customWidth="1"/>
    <x:col min="7" max="7" width="24" hidden="0" customWidth="1"/>
    <x:col min="8" max="8" width="22" hidden="0" customWidth="1"/>
    <x:col min="9" max="9" width="22" hidden="0" customWidth="1"/>
    <x:col min="10" max="10" width="20" hidden="0" customWidth="1"/>
    <x:col min="11" max="11" width="14" hidden="0" customWidth="1"/>
    <x:col min="12" max="12" width="18" hidden="0" customWidth="1"/>
    <x:col min="13" max="13" width="18" hidden="0" customWidth="1"/>
    <x:col min="14" max="14" width="24" hidden="0" customWidth="1"/>
  </x:cols>
  <x:sheetData>
    <x:row r="1" ht="28" customHeight="1">
      <x:c r="A1" s="1684" t="str">
        <x:v>37_成果物マスター</x:v>
      </x:c>
      <x:c r="B1" s="1684"/>
      <x:c r="C1" s="1684"/>
      <x:c r="D1" s="1684"/>
      <x:c r="E1" s="1684"/>
      <x:c r="F1" s="1684"/>
      <x:c r="G1" s="1684"/>
      <x:c r="H1" s="1684"/>
      <x:c r="I1" s="1684"/>
      <x:c r="J1" s="1684"/>
      <x:c r="K1" s="1684"/>
      <x:c r="L1" s="1684"/>
      <x:c r="M1" s="1684"/>
      <x:c r="N1" s="1684"/>
    </x:row>
    <x:row r="2" ht="36" customHeight="1">
      <x:c r="A2" s="1687" t="str">
        <x:v>Version1.0で凍結する全成果物の正本、目的、利用場面、責任者、変更統制を一覧化。</x:v>
      </x:c>
      <x:c r="B2" s="1687"/>
      <x:c r="C2" s="1687"/>
      <x:c r="D2" s="1687"/>
      <x:c r="E2" s="1687"/>
      <x:c r="F2" s="1687"/>
      <x:c r="G2" s="1687"/>
      <x:c r="H2" s="1687"/>
      <x:c r="I2" s="1687"/>
      <x:c r="J2" s="1687"/>
      <x:c r="K2" s="1687"/>
      <x:c r="L2" s="1687"/>
      <x:c r="M2" s="1687"/>
      <x:c r="N2" s="1687"/>
    </x:row>
    <x:row r="4" ht="38" customHeight="1">
      <x:c r="A4" s="1699" t="str">
        <x:v>No.</x:v>
      </x:c>
      <x:c r="B4" s="1700" t="str">
        <x:v>成果物区分</x:v>
      </x:c>
      <x:c r="C4" s="1700" t="str">
        <x:v>シート・文書</x:v>
      </x:c>
      <x:c r="D4" s="1700" t="str">
        <x:v>正本Version</x:v>
      </x:c>
      <x:c r="E4" s="1700" t="str">
        <x:v>目的</x:v>
      </x:c>
      <x:c r="F4" s="1700" t="str">
        <x:v>主な利用者</x:v>
      </x:c>
      <x:c r="G4" s="1700" t="str">
        <x:v>利用場面</x:v>
      </x:c>
      <x:c r="H4" s="1700" t="str">
        <x:v>入力元</x:v>
      </x:c>
      <x:c r="I4" s="1700" t="str">
        <x:v>出力先</x:v>
      </x:c>
      <x:c r="J4" s="1700" t="str">
        <x:v>責任者</x:v>
      </x:c>
      <x:c r="K4" s="1700" t="str">
        <x:v>凍結状態</x:v>
      </x:c>
      <x:c r="L4" s="1700" t="str">
        <x:v>変更管理</x:v>
      </x:c>
      <x:c r="M4" s="1700" t="str">
        <x:v>保管期間候補</x:v>
      </x:c>
      <x:c r="N4" s="1701" t="str">
        <x:v>備考</x:v>
      </x:c>
    </x:row>
    <x:row r="5">
      <x:c r="A5" s="2949" t="n">
        <x:v>1</x:v>
      </x:c>
      <x:c r="B5" s="2950" t="str">
        <x:v>基本設計</x:v>
      </x:c>
      <x:c r="C5" s="2950" t="str">
        <x:v>00_設計方針</x:v>
      </x:c>
      <x:c r="D5" s="2950" t="str">
        <x:v>1.0</x:v>
      </x:c>
      <x:c r="E5" s="2950" t="str">
        <x:v>全体方針・責任境界の正本</x:v>
      </x:c>
      <x:c r="F5" s="2950" t="str">
        <x:v>経営、PM、開発会社</x:v>
      </x:c>
      <x:c r="G5" s="2950" t="str">
        <x:v>全工程</x:v>
      </x:c>
      <x:c r="H5" s="2950" t="str">
        <x:v>全設計</x:v>
      </x:c>
      <x:c r="I5" s="2950" t="str">
        <x:v>全成果物</x:v>
      </x:c>
      <x:c r="J5" s="2950" t="str">
        <x:v>事業責任者</x:v>
      </x:c>
      <x:c r="K5" s="2950" t="str">
        <x:v>凍結</x:v>
      </x:c>
      <x:c r="L5" s="2950" t="str">
        <x:v>33_変更管理</x:v>
      </x:c>
      <x:c r="M5" s="2950" t="str">
        <x:v>恒久</x:v>
      </x:c>
      <x:c r="N5" s="2951" t="str"/>
    </x:row>
    <x:row r="6">
      <x:c r="A6" s="2952" t="n">
        <x:v>2</x:v>
      </x:c>
      <x:c r="B6" s="1521" t="str">
        <x:v>質問・回答</x:v>
      </x:c>
      <x:c r="C6" s="1521" t="str">
        <x:v>01～03</x:v>
      </x:c>
      <x:c r="D6" s="1521" t="str">
        <x:v>1.0</x:v>
      </x:c>
      <x:c r="E6" s="1521" t="str">
        <x:v>質問、選択肢、採点の正本</x:v>
      </x:c>
      <x:c r="F6" s="1521" t="str">
        <x:v>診断責任者、開発会社</x:v>
      </x:c>
      <x:c r="G6" s="1521" t="str">
        <x:v>要件・実装・改訂</x:v>
      </x:c>
      <x:c r="H6" s="1521" t="str">
        <x:v>LP入力</x:v>
      </x:c>
      <x:c r="I6" s="1521" t="str">
        <x:v>KPI</x:v>
      </x:c>
      <x:c r="J6" s="1521" t="str">
        <x:v>診断ロジック責任者</x:v>
      </x:c>
      <x:c r="K6" s="1521" t="str">
        <x:v>凍結</x:v>
      </x:c>
      <x:c r="L6" s="1521" t="str">
        <x:v>33_変更管理</x:v>
      </x:c>
      <x:c r="M6" s="1521" t="str">
        <x:v>恒久</x:v>
      </x:c>
      <x:c r="N6" s="2953" t="str"/>
    </x:row>
    <x:row r="7">
      <x:c r="A7" s="2952" t="n">
        <x:v>3</x:v>
      </x:c>
      <x:c r="B7" s="1521" t="str">
        <x:v>Guardrail・Evidence</x:v>
      </x:c>
      <x:c r="C7" s="1521" t="str">
        <x:v>04～06</x:v>
      </x:c>
      <x:c r="D7" s="1521" t="str">
        <x:v>1.0</x:v>
      </x:c>
      <x:c r="E7" s="1521" t="str">
        <x:v>重大条件、根拠、矛盾判定</x:v>
      </x:c>
      <x:c r="F7" s="1521" t="str">
        <x:v>診断責任者、QA</x:v>
      </x:c>
      <x:c r="G7" s="1521" t="str">
        <x:v>診断・受入</x:v>
      </x:c>
      <x:c r="H7" s="1521" t="str">
        <x:v>回答・資料</x:v>
      </x:c>
      <x:c r="I7" s="1521" t="str">
        <x:v>警告・品質</x:v>
      </x:c>
      <x:c r="J7" s="1521" t="str">
        <x:v>診断ロジック責任者</x:v>
      </x:c>
      <x:c r="K7" s="1521" t="str">
        <x:v>凍結</x:v>
      </x:c>
      <x:c r="L7" s="1521" t="str">
        <x:v>33_変更管理</x:v>
      </x:c>
      <x:c r="M7" s="1521" t="str">
        <x:v>恒久</x:v>
      </x:c>
      <x:c r="N7" s="2953" t="str"/>
    </x:row>
    <x:row r="8">
      <x:c r="A8" s="2952" t="n">
        <x:v>4</x:v>
      </x:c>
      <x:c r="B8" s="1521" t="str">
        <x:v>文章・出力</x:v>
      </x:c>
      <x:c r="C8" s="1521" t="str">
        <x:v>07～10</x:v>
      </x:c>
      <x:c r="D8" s="1521" t="str">
        <x:v>1.0</x:v>
      </x:c>
      <x:c r="E8" s="1521" t="str">
        <x:v>コメント、出力項目、断定統制</x:v>
      </x:c>
      <x:c r="F8" s="1521" t="str">
        <x:v>診断責任者、法務、開発会社</x:v>
      </x:c>
      <x:c r="G8" s="1521" t="str">
        <x:v>文章生成・帳票</x:v>
      </x:c>
      <x:c r="H8" s="1521" t="str">
        <x:v>判定結果</x:v>
      </x:c>
      <x:c r="I8" s="1521" t="str">
        <x:v>A3レポート</x:v>
      </x:c>
      <x:c r="J8" s="1521" t="str">
        <x:v>診断ロジック責任者</x:v>
      </x:c>
      <x:c r="K8" s="1521" t="str">
        <x:v>凍結</x:v>
      </x:c>
      <x:c r="L8" s="1521" t="str">
        <x:v>33_変更管理</x:v>
      </x:c>
      <x:c r="M8" s="1521" t="str">
        <x:v>恒久</x:v>
      </x:c>
      <x:c r="N8" s="2953" t="str"/>
    </x:row>
    <x:row r="9">
      <x:c r="A9" s="2952" t="n">
        <x:v>5</x:v>
      </x:c>
      <x:c r="B9" s="1521" t="str">
        <x:v>試験・履歴</x:v>
      </x:c>
      <x:c r="C9" s="1521" t="str">
        <x:v>11～12</x:v>
      </x:c>
      <x:c r="D9" s="1521" t="str">
        <x:v>1.0</x:v>
      </x:c>
      <x:c r="E9" s="1521" t="str">
        <x:v>テストケースと改訂履歴</x:v>
      </x:c>
      <x:c r="F9" s="1521" t="str">
        <x:v>QA、PM</x:v>
      </x:c>
      <x:c r="G9" s="1521" t="str">
        <x:v>受入・監査</x:v>
      </x:c>
      <x:c r="H9" s="1521" t="str">
        <x:v>全仕様</x:v>
      </x:c>
      <x:c r="I9" s="1521" t="str">
        <x:v>試験証跡</x:v>
      </x:c>
      <x:c r="J9" s="1521" t="str">
        <x:v>QA責任者</x:v>
      </x:c>
      <x:c r="K9" s="1521" t="str">
        <x:v>凍結</x:v>
      </x:c>
      <x:c r="L9" s="1521" t="str">
        <x:v>33_変更管理</x:v>
      </x:c>
      <x:c r="M9" s="1521" t="str">
        <x:v>7年以上候補</x:v>
      </x:c>
      <x:c r="N9" s="2953" t="str"/>
    </x:row>
    <x:row r="10">
      <x:c r="A10" s="2952" t="n">
        <x:v>6</x:v>
      </x:c>
      <x:c r="B10" s="1521" t="str">
        <x:v>正式算定</x:v>
      </x:c>
      <x:c r="C10" s="1521" t="str">
        <x:v>13～14</x:v>
      </x:c>
      <x:c r="D10" s="1521" t="str">
        <x:v>1.0</x:v>
      </x:c>
      <x:c r="E10" s="1521" t="str">
        <x:v>KPI、品質、文章生成の正式ロジック</x:v>
      </x:c>
      <x:c r="F10" s="1521" t="str">
        <x:v>診断責任者、開発会社</x:v>
      </x:c>
      <x:c r="G10" s="1521" t="str">
        <x:v>PoC・本番</x:v>
      </x:c>
      <x:c r="H10" s="1521" t="str">
        <x:v>回答・Evidence</x:v>
      </x:c>
      <x:c r="I10" s="1521" t="str">
        <x:v>指標・文章</x:v>
      </x:c>
      <x:c r="J10" s="1521" t="str">
        <x:v>診断ロジック責任者</x:v>
      </x:c>
      <x:c r="K10" s="1521" t="str">
        <x:v>凍結</x:v>
      </x:c>
      <x:c r="L10" s="1521" t="str">
        <x:v>33_変更管理</x:v>
      </x:c>
      <x:c r="M10" s="1521" t="str">
        <x:v>恒久</x:v>
      </x:c>
      <x:c r="N10" s="2953" t="str"/>
    </x:row>
    <x:row r="11">
      <x:c r="A11" s="2952" t="n">
        <x:v>7</x:v>
      </x:c>
      <x:c r="B11" s="1521" t="str">
        <x:v>コメント網羅・テスト</x:v>
      </x:c>
      <x:c r="C11" s="1521" t="str">
        <x:v>15～17</x:v>
      </x:c>
      <x:c r="D11" s="1521" t="str">
        <x:v>1.0</x:v>
      </x:c>
      <x:c r="E11" s="1521" t="str">
        <x:v>コメント充足と出力サンプル</x:v>
      </x:c>
      <x:c r="F11" s="1521" t="str">
        <x:v>診断責任者、QA</x:v>
      </x:c>
      <x:c r="G11" s="1521" t="str">
        <x:v>PoC・回帰試験</x:v>
      </x:c>
      <x:c r="H11" s="1521" t="str">
        <x:v>コメント・TC-A</x:v>
      </x:c>
      <x:c r="I11" s="1521" t="str">
        <x:v>診断結果</x:v>
      </x:c>
      <x:c r="J11" s="1521" t="str">
        <x:v>QA責任者</x:v>
      </x:c>
      <x:c r="K11" s="1521" t="str">
        <x:v>凍結</x:v>
      </x:c>
      <x:c r="L11" s="1521" t="str">
        <x:v>33_変更管理</x:v>
      </x:c>
      <x:c r="M11" s="1521" t="str">
        <x:v>恒久</x:v>
      </x:c>
      <x:c r="N11" s="2953" t="str"/>
    </x:row>
    <x:row r="12">
      <x:c r="A12" s="2952" t="n">
        <x:v>8</x:v>
      </x:c>
      <x:c r="B12" s="1521" t="str">
        <x:v>A3帳票</x:v>
      </x:c>
      <x:c r="C12" s="1521" t="str">
        <x:v>18～19</x:v>
      </x:c>
      <x:c r="D12" s="1521" t="str">
        <x:v>A3-v1.0</x:v>
      </x:c>
      <x:c r="E12" s="1521" t="str">
        <x:v>正式2ページレイアウト</x:v>
      </x:c>
      <x:c r="F12" s="1521" t="str">
        <x:v>顧客、営業、開発会社</x:v>
      </x:c>
      <x:c r="G12" s="1521" t="str">
        <x:v>結果表示・PDF</x:v>
      </x:c>
      <x:c r="H12" s="1521" t="str">
        <x:v>診断結果</x:v>
      </x:c>
      <x:c r="I12" s="1521" t="str">
        <x:v>PDF・LP</x:v>
      </x:c>
      <x:c r="J12" s="1521" t="str">
        <x:v>事業責任者</x:v>
      </x:c>
      <x:c r="K12" s="1521" t="str">
        <x:v>凍結</x:v>
      </x:c>
      <x:c r="L12" s="1521" t="str">
        <x:v>33_変更管理</x:v>
      </x:c>
      <x:c r="M12" s="1521" t="str">
        <x:v>恒久</x:v>
      </x:c>
      <x:c r="N12" s="2953" t="str"/>
    </x:row>
    <x:row r="13">
      <x:c r="A13" s="2952" t="n">
        <x:v>9</x:v>
      </x:c>
      <x:c r="B13" s="1521" t="str">
        <x:v>LP・UI・システム</x:v>
      </x:c>
      <x:c r="C13" s="1521" t="str">
        <x:v>20～24</x:v>
      </x:c>
      <x:c r="D13" s="1521" t="str">
        <x:v>1.0</x:v>
      </x:c>
      <x:c r="E13" s="1521" t="str">
        <x:v>画面、UI、処理、データ、受入仕様</x:v>
      </x:c>
      <x:c r="F13" s="1521" t="str">
        <x:v>開発会社、PM、QA</x:v>
      </x:c>
      <x:c r="G13" s="1521" t="str">
        <x:v>見積・開発・受入</x:v>
      </x:c>
      <x:c r="H13" s="1521" t="str">
        <x:v>設計全体</x:v>
      </x:c>
      <x:c r="I13" s="1521" t="str">
        <x:v>システム</x:v>
      </x:c>
      <x:c r="J13" s="1521" t="str">
        <x:v>PM</x:v>
      </x:c>
      <x:c r="K13" s="1521" t="str">
        <x:v>凍結候補</x:v>
      </x:c>
      <x:c r="L13" s="1521" t="str">
        <x:v>33_変更管理</x:v>
      </x:c>
      <x:c r="M13" s="1521" t="str">
        <x:v>恒久</x:v>
      </x:c>
      <x:c r="N13" s="2953" t="str">
        <x:v>開発Fit&amp;Gapで更新可</x:v>
      </x:c>
    </x:row>
    <x:row r="14">
      <x:c r="A14" s="2952" t="n">
        <x:v>10</x:v>
      </x:c>
      <x:c r="B14" s="1521" t="str">
        <x:v>RFP・評価</x:v>
      </x:c>
      <x:c r="C14" s="1521" t="str">
        <x:v>25～29</x:v>
      </x:c>
      <x:c r="D14" s="1521" t="str">
        <x:v>1.0</x:v>
      </x:c>
      <x:c r="E14" s="1521" t="str">
        <x:v>提案依頼・見積・評価・リスク管理</x:v>
      </x:c>
      <x:c r="F14" s="1521" t="str">
        <x:v>経営、PM、調達</x:v>
      </x:c>
      <x:c r="G14" s="1521" t="str">
        <x:v>ベンダー選定</x:v>
      </x:c>
      <x:c r="H14" s="1521" t="str">
        <x:v>RFP回答</x:v>
      </x:c>
      <x:c r="I14" s="1521" t="str">
        <x:v>発注判断</x:v>
      </x:c>
      <x:c r="J14" s="1521" t="str">
        <x:v>PM/調達</x:v>
      </x:c>
      <x:c r="K14" s="1521" t="str">
        <x:v>運用中</x:v>
      </x:c>
      <x:c r="L14" s="1521" t="str">
        <x:v>33_変更管理</x:v>
      </x:c>
      <x:c r="M14" s="1521" t="str">
        <x:v>案件終了＋7年候補</x:v>
      </x:c>
      <x:c r="N14" s="2953" t="str"/>
    </x:row>
    <x:row r="15">
      <x:c r="A15" s="2952" t="n">
        <x:v>11</x:v>
      </x:c>
      <x:c r="B15" s="1521" t="str">
        <x:v>実行・運用</x:v>
      </x:c>
      <x:c r="C15" s="1521" t="str">
        <x:v>30～36</x:v>
      </x:c>
      <x:c r="D15" s="1521" t="str">
        <x:v>1.0</x:v>
      </x:c>
      <x:c r="E15" s="1521" t="str">
        <x:v>決裁、KPI、RACI、契約、リリース</x:v>
      </x:c>
      <x:c r="F15" s="1521" t="str">
        <x:v>経営、PM、運用</x:v>
      </x:c>
      <x:c r="G15" s="1521" t="str">
        <x:v>発注～正式運用</x:v>
      </x:c>
      <x:c r="H15" s="1521" t="str">
        <x:v>提案・実績</x:v>
      </x:c>
      <x:c r="I15" s="1521" t="str">
        <x:v>Go/No-Go</x:v>
      </x:c>
      <x:c r="J15" s="1521" t="str">
        <x:v>事業責任者</x:v>
      </x:c>
      <x:c r="K15" s="1521" t="str">
        <x:v>運用中</x:v>
      </x:c>
      <x:c r="L15" s="1521" t="str">
        <x:v>33_変更管理</x:v>
      </x:c>
      <x:c r="M15" s="1521" t="str">
        <x:v>運用期間＋7年候補</x:v>
      </x:c>
      <x:c r="N15" s="2953" t="str"/>
    </x:row>
    <x:row r="16">
      <x:c r="A16" s="2952" t="n">
        <x:v>12</x:v>
      </x:c>
      <x:c r="B16" s="1521" t="str">
        <x:v>要件定義書兼RFP</x:v>
      </x:c>
      <x:c r="C16" s="1521" t="str">
        <x:v>Energy_Doctor_LP_SelfDiagnosis_System_RFP_Rev0.1.docx</x:v>
      </x:c>
      <x:c r="D16" s="1521" t="str">
        <x:v>Rev.0.1</x:v>
      </x:c>
      <x:c r="E16" s="1521" t="str">
        <x:v>開発会社への正式説明・見積依頼</x:v>
      </x:c>
      <x:c r="F16" s="1521" t="str">
        <x:v>開発会社、経営、PM</x:v>
      </x:c>
      <x:c r="G16" s="1521" t="str">
        <x:v>RFP発行</x:v>
      </x:c>
      <x:c r="H16" s="1521" t="str">
        <x:v>Version0.7</x:v>
      </x:c>
      <x:c r="I16" s="1521" t="str">
        <x:v>提案書・見積</x:v>
      </x:c>
      <x:c r="J16" s="1521" t="str">
        <x:v>PM</x:v>
      </x:c>
      <x:c r="K16" s="1521" t="str">
        <x:v>発行候補</x:v>
      </x:c>
      <x:c r="L16" s="1521" t="str">
        <x:v>文書改訂履歴</x:v>
      </x:c>
      <x:c r="M16" s="1521" t="str">
        <x:v>案件終了＋7年候補</x:v>
      </x:c>
      <x:c r="N16" s="2953" t="str"/>
    </x:row>
    <x:row r="17">
      <x:c r="A17" s="2952" t="n">
        <x:v>13</x:v>
      </x:c>
      <x:c r="B17" s="1521" t="str">
        <x:v>内製MVP</x:v>
      </x:c>
      <x:c r="C17" s="1521" t="str">
        <x:v>42_内製MVP方針</x:v>
      </x:c>
      <x:c r="D17" s="1521" t="str">
        <x:v>1.1</x:v>
      </x:c>
      <x:c r="E17" s="1521" t="str">
        <x:v>内製・スモールスタートの正式方針</x:v>
      </x:c>
      <x:c r="F17" s="1521" t="str">
        <x:v>経営、営業、情シス</x:v>
      </x:c>
      <x:c r="G17" s="1521" t="str">
        <x:v>Stage0～4</x:v>
      </x:c>
      <x:c r="H17" s="1521" t="str">
        <x:v>Version1.0</x:v>
      </x:c>
      <x:c r="I17" s="1521" t="str">
        <x:v>内製実装</x:v>
      </x:c>
      <x:c r="J17" s="1521" t="str">
        <x:v>事業責任者</x:v>
      </x:c>
      <x:c r="K17" s="1521" t="str">
        <x:v>凍結</x:v>
      </x:c>
      <x:c r="L17" s="1521" t="str">
        <x:v>33_変更管理</x:v>
      </x:c>
      <x:c r="M17" s="1521" t="str">
        <x:v>恒久</x:v>
      </x:c>
      <x:c r="N17" s="2953" t="str"/>
    </x:row>
    <x:row r="18">
      <x:c r="A18" s="2952" t="n">
        <x:v>14</x:v>
      </x:c>
      <x:c r="B18" s="1521" t="str">
        <x:v>顧客対応</x:v>
      </x:c>
      <x:c r="C18" s="1521" t="str">
        <x:v>43_顧客対応フロー</x:v>
      </x:c>
      <x:c r="D18" s="1521" t="str">
        <x:v>1.1</x:v>
      </x:c>
      <x:c r="E18" s="1521" t="str">
        <x:v>受付～A3～個別フォローの標準</x:v>
      </x:c>
      <x:c r="F18" s="1521" t="str">
        <x:v>営業、診断担当</x:v>
      </x:c>
      <x:c r="G18" s="1521" t="str">
        <x:v>日常運用</x:v>
      </x:c>
      <x:c r="H18" s="1521" t="str">
        <x:v>LP・メール</x:v>
      </x:c>
      <x:c r="I18" s="1521" t="str">
        <x:v>営業活動</x:v>
      </x:c>
      <x:c r="J18" s="1521" t="str">
        <x:v>営業責任者</x:v>
      </x:c>
      <x:c r="K18" s="1521" t="str">
        <x:v>凍結</x:v>
      </x:c>
      <x:c r="L18" s="1521" t="str">
        <x:v>33_変更管理</x:v>
      </x:c>
      <x:c r="M18" s="1521" t="str">
        <x:v>運用期間＋7年候補</x:v>
      </x:c>
      <x:c r="N18" s="2953" t="str"/>
    </x:row>
    <x:row r="19">
      <x:c r="A19" s="2952" t="n">
        <x:v>15</x:v>
      </x:c>
      <x:c r="B19" s="1521" t="str">
        <x:v>内製構成</x:v>
      </x:c>
      <x:c r="C19" s="1521" t="str">
        <x:v>44_ノーコード構成</x:v>
      </x:c>
      <x:c r="D19" s="1521" t="str">
        <x:v>1.1</x:v>
      </x:c>
      <x:c r="E19" s="1521" t="str">
        <x:v>追加費用なしの論理構成</x:v>
      </x:c>
      <x:c r="F19" s="1521" t="str">
        <x:v>情シス、実装担当</x:v>
      </x:c>
      <x:c r="G19" s="1521" t="str">
        <x:v>Stage0～2</x:v>
      </x:c>
      <x:c r="H19" s="1521" t="str">
        <x:v>社内環境</x:v>
      </x:c>
      <x:c r="I19" s="1521" t="str">
        <x:v>構成決定</x:v>
      </x:c>
      <x:c r="J19" s="1521" t="str">
        <x:v>情報システム</x:v>
      </x:c>
      <x:c r="K19" s="1521" t="str">
        <x:v>凍結候補</x:v>
      </x:c>
      <x:c r="L19" s="1521" t="str">
        <x:v>33_変更管理</x:v>
      </x:c>
      <x:c r="M19" s="1521" t="str">
        <x:v>恒久</x:v>
      </x:c>
      <x:c r="N19" s="2953" t="str">
        <x:v>製品確定後更新</x:v>
      </x:c>
    </x:row>
    <x:row r="20">
      <x:c r="A20" s="2952" t="n">
        <x:v>16</x:v>
      </x:c>
      <x:c r="B20" s="1521" t="str">
        <x:v>情報管理</x:v>
      </x:c>
      <x:c r="C20" s="1521" t="str">
        <x:v>45_秘密情報取扱</x:v>
      </x:c>
      <x:c r="D20" s="1521" t="str">
        <x:v>1.1</x:v>
      </x:c>
      <x:c r="E20" s="1521" t="str">
        <x:v>通常営業秘密としての取扱基準</x:v>
      </x:c>
      <x:c r="F20" s="1521" t="str">
        <x:v>営業、情シス</x:v>
      </x:c>
      <x:c r="G20" s="1521" t="str">
        <x:v>全運用</x:v>
      </x:c>
      <x:c r="H20" s="1521" t="str">
        <x:v>顧客情報</x:v>
      </x:c>
      <x:c r="I20" s="1521" t="str">
        <x:v>保管・送付</x:v>
      </x:c>
      <x:c r="J20" s="1521" t="str">
        <x:v>情報システム</x:v>
      </x:c>
      <x:c r="K20" s="1521" t="str">
        <x:v>凍結</x:v>
      </x:c>
      <x:c r="L20" s="1521" t="str">
        <x:v>33_変更管理</x:v>
      </x:c>
      <x:c r="M20" s="1521" t="str">
        <x:v>規程準拠</x:v>
      </x:c>
      <x:c r="N20" s="2953" t="str"/>
    </x:row>
    <x:row r="21">
      <x:c r="A21" s="2952" t="n">
        <x:v>17</x:v>
      </x:c>
      <x:c r="B21" s="1521" t="str">
        <x:v>AI運用</x:v>
      </x:c>
      <x:c r="C21" s="1521" t="str">
        <x:v>46_AIエージェント運用</x:v>
      </x:c>
      <x:c r="D21" s="1521" t="str">
        <x:v>1.1</x:v>
      </x:c>
      <x:c r="E21" s="1521" t="str">
        <x:v>AI協業の役割・禁止・承認</x:v>
      </x:c>
      <x:c r="F21" s="1521" t="str">
        <x:v>営業、診断、情シス</x:v>
      </x:c>
      <x:c r="G21" s="1521" t="str">
        <x:v>Stage1～4</x:v>
      </x:c>
      <x:c r="H21" s="1521" t="str">
        <x:v>診断・営業情報</x:v>
      </x:c>
      <x:c r="I21" s="1521" t="str">
        <x:v>下書き・ToDo</x:v>
      </x:c>
      <x:c r="J21" s="1521" t="str">
        <x:v>診断責任者</x:v>
      </x:c>
      <x:c r="K21" s="1521" t="str">
        <x:v>凍結候補</x:v>
      </x:c>
      <x:c r="L21" s="1521" t="str">
        <x:v>33_変更管理</x:v>
      </x:c>
      <x:c r="M21" s="1521" t="str">
        <x:v>監査方針準拠</x:v>
      </x:c>
      <x:c r="N21" s="2953" t="str"/>
    </x:row>
    <x:row r="22">
      <x:c r="A22" s="2952" t="n">
        <x:v>18</x:v>
      </x:c>
      <x:c r="B22" s="1521" t="str">
        <x:v>内製工程</x:v>
      </x:c>
      <x:c r="C22" s="1521" t="str">
        <x:v>47_内製実装ロードマップ</x:v>
      </x:c>
      <x:c r="D22" s="1521" t="str">
        <x:v>1.1</x:v>
      </x:c>
      <x:c r="E22" s="1521" t="str">
        <x:v>Stage0～4の実装・Gate</x:v>
      </x:c>
      <x:c r="F22" s="1521" t="str">
        <x:v>経営、PM、情シス</x:v>
      </x:c>
      <x:c r="G22" s="1521" t="str">
        <x:v>実装・運用</x:v>
      </x:c>
      <x:c r="H22" s="1521" t="str">
        <x:v>42～46</x:v>
      </x:c>
      <x:c r="I22" s="1521" t="str">
        <x:v>内製MVP</x:v>
      </x:c>
      <x:c r="J22" s="1521" t="str">
        <x:v>事業責任者</x:v>
      </x:c>
      <x:c r="K22" s="1521" t="str">
        <x:v>運用中</x:v>
      </x:c>
      <x:c r="L22" s="1521" t="str">
        <x:v>33_変更管理</x:v>
      </x:c>
      <x:c r="M22" s="1521" t="str">
        <x:v>プロジェクト期間</x:v>
      </x:c>
      <x:c r="N22" s="2953" t="str"/>
    </x:row>
    <x:row r="23">
      <x:c r="A23" s="2952" t="n">
        <x:v>19</x:v>
      </x:c>
      <x:c r="B23" s="1521" t="str">
        <x:v>受付分離</x:v>
      </x:c>
      <x:c r="C23" s="1521" t="str">
        <x:v>48_フォーム・資料分離設計</x:v>
      </x:c>
      <x:c r="D23" s="1521" t="str">
        <x:v>1.2</x:v>
      </x:c>
      <x:c r="E23" s="1521" t="str">
        <x:v>公開フォームと顧客資料受領を分離</x:v>
      </x:c>
      <x:c r="F23" s="1521" t="str">
        <x:v>営業、Web、情シス</x:v>
      </x:c>
      <x:c r="G23" s="1521" t="str">
        <x:v>Stage1～2</x:v>
      </x:c>
      <x:c r="H23" s="1521" t="str">
        <x:v>42～47</x:v>
      </x:c>
      <x:c r="I23" s="1521" t="str">
        <x:v>受付運用</x:v>
      </x:c>
      <x:c r="J23" s="1521" t="str">
        <x:v>営業責任者</x:v>
      </x:c>
      <x:c r="K23" s="1521" t="str">
        <x:v>凍結</x:v>
      </x:c>
      <x:c r="L23" s="1521" t="str">
        <x:v>33_変更管理</x:v>
      </x:c>
      <x:c r="M23" s="1521" t="str">
        <x:v>恒久</x:v>
      </x:c>
      <x:c r="N23" s="2953" t="str"/>
    </x:row>
    <x:row r="24">
      <x:c r="A24" s="2952" t="n">
        <x:v>20</x:v>
      </x:c>
      <x:c r="B24" s="1521" t="str">
        <x:v>AI条件</x:v>
      </x:c>
      <x:c r="C24" s="1521" t="str">
        <x:v>49_AI利用条件確認</x:v>
      </x:c>
      <x:c r="D24" s="1521" t="str">
        <x:v>1.2</x:v>
      </x:c>
      <x:c r="E24" s="1521" t="str">
        <x:v>AIサービスの確認済み条件を管理</x:v>
      </x:c>
      <x:c r="F24" s="1521" t="str">
        <x:v>情シス、管理、診断</x:v>
      </x:c>
      <x:c r="G24" s="1521" t="str">
        <x:v>AI利用前・更新時</x:v>
      </x:c>
      <x:c r="H24" s="1521" t="str">
        <x:v>契約・設定</x:v>
      </x:c>
      <x:c r="I24" s="1521" t="str">
        <x:v>利用判断</x:v>
      </x:c>
      <x:c r="J24" s="1521" t="str">
        <x:v>情報システム</x:v>
      </x:c>
      <x:c r="K24" s="1521" t="str">
        <x:v>運用中</x:v>
      </x:c>
      <x:c r="L24" s="1521" t="str">
        <x:v>33_変更管理</x:v>
      </x:c>
      <x:c r="M24" s="1521" t="str">
        <x:v>契約期間＋規程</x:v>
      </x:c>
      <x:c r="N24" s="2953" t="str"/>
    </x:row>
    <x:row r="25">
      <x:c r="A25" s="2952" t="n">
        <x:v>21</x:v>
      </x:c>
      <x:c r="B25" s="1521" t="str">
        <x:v>AI投入統制</x:v>
      </x:c>
      <x:c r="C25" s="1521" t="str">
        <x:v>50_AI資料投入ルール</x:v>
      </x:c>
      <x:c r="D25" s="1521" t="str">
        <x:v>1.2</x:v>
      </x:c>
      <x:c r="E25" s="1521" t="str">
        <x:v>資料区分別のAI投入・承認・削除ルール</x:v>
      </x:c>
      <x:c r="F25" s="1521" t="str">
        <x:v>診断、営業、情シス</x:v>
      </x:c>
      <x:c r="G25" s="1521" t="str">
        <x:v>日常運用</x:v>
      </x:c>
      <x:c r="H25" s="1521" t="str">
        <x:v>顧客資料</x:v>
      </x:c>
      <x:c r="I25" s="1521" t="str">
        <x:v>AI処理</x:v>
      </x:c>
      <x:c r="J25" s="1521" t="str">
        <x:v>診断責任者</x:v>
      </x:c>
      <x:c r="K25" s="1521" t="str">
        <x:v>凍結</x:v>
      </x:c>
      <x:c r="L25" s="1521" t="str">
        <x:v>33_変更管理</x:v>
      </x:c>
      <x:c r="M25" s="1521" t="str">
        <x:v>監査方針準拠</x:v>
      </x:c>
      <x:c r="N25" s="2953" t="str"/>
    </x:row>
    <x:row r="26">
      <x:c r="A26" s="2952" t="n">
        <x:v>22</x:v>
      </x:c>
      <x:c r="B26" s="1521" t="str">
        <x:v>Stage0</x:v>
      </x:c>
      <x:c r="C26" s="1521" t="str">
        <x:v>51_Stage0情シス確認票</x:v>
      </x:c>
      <x:c r="D26" s="1521" t="str">
        <x:v>1.3</x:v>
      </x:c>
      <x:c r="E26" s="1521" t="str">
        <x:v>既存環境・追加費用・制約の確認</x:v>
      </x:c>
      <x:c r="F26" s="1521" t="str">
        <x:v>情シス、事業責任者</x:v>
      </x:c>
      <x:c r="G26" s="1521" t="str">
        <x:v>Stage0</x:v>
      </x:c>
      <x:c r="H26" s="1521" t="str">
        <x:v>42～50</x:v>
      </x:c>
      <x:c r="I26" s="1521" t="str">
        <x:v>構成確定</x:v>
      </x:c>
      <x:c r="J26" s="1521" t="str">
        <x:v>情報システム</x:v>
      </x:c>
      <x:c r="K26" s="1521" t="str">
        <x:v>運用中</x:v>
      </x:c>
      <x:c r="L26" s="1521" t="str">
        <x:v>33_変更管理</x:v>
      </x:c>
      <x:c r="M26" s="1521" t="str">
        <x:v>プロジェクト期間</x:v>
      </x:c>
      <x:c r="N26" s="2953" t="str"/>
    </x:row>
    <x:row r="27">
      <x:c r="A27" s="2952" t="n">
        <x:v>23</x:v>
      </x:c>
      <x:c r="B27" s="1521" t="str">
        <x:v>Stage1仕様</x:v>
      </x:c>
      <x:c r="C27" s="1521" t="str">
        <x:v>52_Stage1実装仕様</x:v>
      </x:c>
      <x:c r="D27" s="1521" t="str">
        <x:v>1.3</x:v>
      </x:c>
      <x:c r="E27" s="1521" t="str">
        <x:v>社内入力版の実装基準</x:v>
      </x:c>
      <x:c r="F27" s="1521" t="str">
        <x:v>診断、情シス、AI</x:v>
      </x:c>
      <x:c r="G27" s="1521" t="str">
        <x:v>Stage1</x:v>
      </x:c>
      <x:c r="H27" s="1521" t="str">
        <x:v>01～50</x:v>
      </x:c>
      <x:c r="I27" s="1521" t="str">
        <x:v>内製MVP</x:v>
      </x:c>
      <x:c r="J27" s="1521" t="str">
        <x:v>診断責任者</x:v>
      </x:c>
      <x:c r="K27" s="1521" t="str">
        <x:v>凍結候補</x:v>
      </x:c>
      <x:c r="L27" s="1521" t="str">
        <x:v>33_変更管理</x:v>
      </x:c>
      <x:c r="M27" s="1521" t="str">
        <x:v>恒久</x:v>
      </x:c>
      <x:c r="N27" s="2953" t="str"/>
    </x:row>
    <x:row r="28">
      <x:c r="A28" s="2952" t="n">
        <x:v>24</x:v>
      </x:c>
      <x:c r="B28" s="1521" t="str">
        <x:v>Stage1データ</x:v>
      </x:c>
      <x:c r="C28" s="1521" t="str">
        <x:v>53_Stage1データ項目</x:v>
      </x:c>
      <x:c r="D28" s="1521" t="str">
        <x:v>1.3</x:v>
      </x:c>
      <x:c r="E28" s="1521" t="str">
        <x:v>最小データモデル</x:v>
      </x:c>
      <x:c r="F28" s="1521" t="str">
        <x:v>実装・運用担当</x:v>
      </x:c>
      <x:c r="G28" s="1521" t="str">
        <x:v>Stage1</x:v>
      </x:c>
      <x:c r="H28" s="1521" t="str">
        <x:v>全入力・結果</x:v>
      </x:c>
      <x:c r="I28" s="1521" t="str">
        <x:v>台帳・A3</x:v>
      </x:c>
      <x:c r="J28" s="1521" t="str">
        <x:v>運用担当</x:v>
      </x:c>
      <x:c r="K28" s="1521" t="str">
        <x:v>凍結候補</x:v>
      </x:c>
      <x:c r="L28" s="1521" t="str">
        <x:v>33_変更管理</x:v>
      </x:c>
      <x:c r="M28" s="1521" t="str">
        <x:v>規程準拠</x:v>
      </x:c>
      <x:c r="N28" s="2953" t="str"/>
    </x:row>
    <x:row r="29">
      <x:c r="A29" s="2952" t="n">
        <x:v>25</x:v>
      </x:c>
      <x:c r="B29" s="1521" t="str">
        <x:v>Stage1運用</x:v>
      </x:c>
      <x:c r="C29" s="1521" t="str">
        <x:v>54_Stage1運用台帳</x:v>
      </x:c>
      <x:c r="D29" s="1521" t="str">
        <x:v>1.3</x:v>
      </x:c>
      <x:c r="E29" s="1521" t="str">
        <x:v>月数件の案件管理</x:v>
      </x:c>
      <x:c r="F29" s="1521" t="str">
        <x:v>営業、診断担当</x:v>
      </x:c>
      <x:c r="G29" s="1521" t="str">
        <x:v>Stage1～3</x:v>
      </x:c>
      <x:c r="H29" s="1521" t="str">
        <x:v>受付・診断・送付</x:v>
      </x:c>
      <x:c r="I29" s="1521" t="str">
        <x:v>営業フォロー</x:v>
      </x:c>
      <x:c r="J29" s="1521" t="str">
        <x:v>営業責任者</x:v>
      </x:c>
      <x:c r="K29" s="1521" t="str">
        <x:v>運用中</x:v>
      </x:c>
      <x:c r="L29" s="1521" t="str">
        <x:v>33_変更管理</x:v>
      </x:c>
      <x:c r="M29" s="1521" t="str">
        <x:v>規程準拠</x:v>
      </x:c>
      <x:c r="N29" s="2953" t="str"/>
    </x:row>
    <x:row r="30">
      <x:c r="A30" s="2952" t="n">
        <x:v>26</x:v>
      </x:c>
      <x:c r="B30" s="1521" t="str">
        <x:v>Stage1試験</x:v>
      </x:c>
      <x:c r="C30" s="1521" t="str">
        <x:v>55_Stage1受入テスト</x:v>
      </x:c>
      <x:c r="D30" s="1521" t="str">
        <x:v>1.3</x:v>
      </x:c>
      <x:c r="E30" s="1521" t="str">
        <x:v>社内MVPのGo/No-Go</x:v>
      </x:c>
      <x:c r="F30" s="1521" t="str">
        <x:v>QA、診断、情シス</x:v>
      </x:c>
      <x:c r="G30" s="1521" t="str">
        <x:v>Stage1終了</x:v>
      </x:c>
      <x:c r="H30" s="1521" t="str">
        <x:v>52～54</x:v>
      </x:c>
      <x:c r="I30" s="1521" t="str">
        <x:v>GT-I1</x:v>
      </x:c>
      <x:c r="J30" s="1521" t="str">
        <x:v>QA責任者</x:v>
      </x:c>
      <x:c r="K30" s="1521" t="str">
        <x:v>凍結候補</x:v>
      </x:c>
      <x:c r="L30" s="1521" t="str">
        <x:v>33_変更管理</x:v>
      </x:c>
      <x:c r="M30" s="1521" t="str">
        <x:v>恒久</x:v>
      </x:c>
      <x:c r="N30" s="2953" t="str"/>
    </x:row>
    <x:row r="31">
      <x:c r="A31" s="2952" t="n">
        <x:v>27</x:v>
      </x:c>
      <x:c r="B31" s="1521" t="str">
        <x:v>公開開始判定</x:v>
      </x:c>
      <x:c r="C31" s="1521" t="str">
        <x:v>56_公開Web受付開始判定</x:v>
      </x:c>
      <x:c r="D31" s="1521" t="str">
        <x:v>1.4</x:v>
      </x:c>
      <x:c r="E31" s="1521" t="str">
        <x:v>公開Web完成後、一般受付開始のGo/No-Goを判定</x:v>
      </x:c>
      <x:c r="F31" s="1521" t="str">
        <x:v>事業責任者、情シス、Web、QA</x:v>
      </x:c>
      <x:c r="G31" s="1521" t="str">
        <x:v>Stage1C</x:v>
      </x:c>
      <x:c r="H31" s="1521" t="str">
        <x:v>47/51～55</x:v>
      </x:c>
      <x:c r="I31" s="1521" t="str">
        <x:v>受付開始</x:v>
      </x:c>
      <x:c r="J31" s="1521" t="str">
        <x:v>事業責任者</x:v>
      </x:c>
      <x:c r="K31" s="1521" t="str">
        <x:v>凍結候補</x:v>
      </x:c>
      <x:c r="L31" s="1521" t="str">
        <x:v>33_変更管理</x:v>
      </x:c>
      <x:c r="M31" s="1521" t="str">
        <x:v>プロジェクト期間＋運用記録</x:v>
      </x:c>
      <x:c r="N31" s="2953" t="str">
        <x:v>公開は先行、受付は期間外</x:v>
      </x:c>
    </x:row>
    <x:row r="32">
      <x:c r="A32" s="2952" t="n">
        <x:v>28</x:v>
      </x:c>
      <x:c r="B32" s="1521" t="str">
        <x:v>LP仕様</x:v>
      </x:c>
      <x:c r="C32" s="1521" t="str">
        <x:v>57_LPページ仕様</x:v>
      </x:c>
      <x:c r="D32" s="1521" t="str">
        <x:v>1.5</x:v>
      </x:c>
      <x:c r="E32" s="1521" t="str">
        <x:v>公開LPの構成・文面・CTA・期間外表示</x:v>
      </x:c>
      <x:c r="F32" s="1521" t="str">
        <x:v>事業、営業、Web</x:v>
      </x:c>
      <x:c r="G32" s="1521" t="str">
        <x:v>Stage1A</x:v>
      </x:c>
      <x:c r="H32" s="1521" t="str">
        <x:v>42～56</x:v>
      </x:c>
      <x:c r="I32" s="1521" t="str">
        <x:v>公開Web</x:v>
      </x:c>
      <x:c r="J32" s="1521" t="str">
        <x:v>事業責任者</x:v>
      </x:c>
      <x:c r="K32" s="1521" t="str">
        <x:v>凍結候補</x:v>
      </x:c>
      <x:c r="L32" s="1521" t="str">
        <x:v>33_変更管理</x:v>
      </x:c>
      <x:c r="M32" s="1521" t="str">
        <x:v>恒久</x:v>
      </x:c>
      <x:c r="N32" s="2953" t="str"/>
    </x:row>
    <x:row r="33">
      <x:c r="A33" s="2952" t="n">
        <x:v>29</x:v>
      </x:c>
      <x:c r="B33" s="1521" t="str">
        <x:v>フォーム仕様</x:v>
      </x:c>
      <x:c r="C33" s="1521" t="str">
        <x:v>58_公開フォーム項目</x:v>
      </x:c>
      <x:c r="D33" s="1521" t="str">
        <x:v>1.5</x:v>
      </x:c>
      <x:c r="E33" s="1521" t="str">
        <x:v>公開フォームの入力・検証・保存</x:v>
      </x:c>
      <x:c r="F33" s="1521" t="str">
        <x:v>Web、情シス、診断</x:v>
      </x:c>
      <x:c r="G33" s="1521" t="str">
        <x:v>Stage1A</x:v>
      </x:c>
      <x:c r="H33" s="1521" t="str">
        <x:v>01/02/48/53</x:v>
      </x:c>
      <x:c r="I33" s="1521" t="str">
        <x:v>回答受付</x:v>
      </x:c>
      <x:c r="J33" s="1521" t="str">
        <x:v>診断責任者</x:v>
      </x:c>
      <x:c r="K33" s="1521" t="str">
        <x:v>凍結候補</x:v>
      </x:c>
      <x:c r="L33" s="1521" t="str">
        <x:v>33_変更管理</x:v>
      </x:c>
      <x:c r="M33" s="1521" t="str">
        <x:v>恒久</x:v>
      </x:c>
      <x:c r="N33" s="2953" t="str"/>
    </x:row>
    <x:row r="34">
      <x:c r="A34" s="2952" t="n">
        <x:v>30</x:v>
      </x:c>
      <x:c r="B34" s="1521" t="str">
        <x:v>文面</x:v>
      </x:c>
      <x:c r="C34" s="1521" t="str">
        <x:v>59_Web・メール文面</x:v>
      </x:c>
      <x:c r="D34" s="1521" t="str">
        <x:v>1.5</x:v>
      </x:c>
      <x:c r="E34" s="1521" t="str">
        <x:v>期間外・受付・依頼・送付文面</x:v>
      </x:c>
      <x:c r="F34" s="1521" t="str">
        <x:v>営業、Web、診断</x:v>
      </x:c>
      <x:c r="G34" s="1521" t="str">
        <x:v>Stage1A～2</x:v>
      </x:c>
      <x:c r="H34" s="1521" t="str">
        <x:v>43/48/57</x:v>
      </x:c>
      <x:c r="I34" s="1521" t="str">
        <x:v>顧客連絡</x:v>
      </x:c>
      <x:c r="J34" s="1521" t="str">
        <x:v>営業責任者</x:v>
      </x:c>
      <x:c r="K34" s="1521" t="str">
        <x:v>凍結候補</x:v>
      </x:c>
      <x:c r="L34" s="1521" t="str">
        <x:v>33_変更管理</x:v>
      </x:c>
      <x:c r="M34" s="1521" t="str">
        <x:v>恒久</x:v>
      </x:c>
      <x:c r="N34" s="2953" t="str"/>
    </x:row>
    <x:row r="35">
      <x:c r="A35" s="2952" t="n">
        <x:v>31</x:v>
      </x:c>
      <x:c r="B35" s="1521" t="str">
        <x:v>Web作業</x:v>
      </x:c>
      <x:c r="C35" s="1521" t="str">
        <x:v>60_Web変更作業指示</x:v>
      </x:c>
      <x:c r="D35" s="1521" t="str">
        <x:v>1.5</x:v>
      </x:c>
      <x:c r="E35" s="1521" t="str">
        <x:v>既存サイトの実装・切替・ロールバック</x:v>
      </x:c>
      <x:c r="F35" s="1521" t="str">
        <x:v>Web、情シス</x:v>
      </x:c>
      <x:c r="G35" s="1521" t="str">
        <x:v>Stage1A</x:v>
      </x:c>
      <x:c r="H35" s="1521" t="str">
        <x:v>51/56～59</x:v>
      </x:c>
      <x:c r="I35" s="1521" t="str">
        <x:v>公開Web</x:v>
      </x:c>
      <x:c r="J35" s="1521" t="str">
        <x:v>Web担当</x:v>
      </x:c>
      <x:c r="K35" s="1521" t="str">
        <x:v>運用中</x:v>
      </x:c>
      <x:c r="L35" s="1521" t="str">
        <x:v>33_変更管理</x:v>
      </x:c>
      <x:c r="M35" s="1521" t="str">
        <x:v>プロジェクト期間</x:v>
      </x:c>
      <x:c r="N35" s="2953" t="str"/>
    </x:row>
    <x:row r="36">
      <x:c r="A36" s="2952" t="n">
        <x:v>32</x:v>
      </x:c>
      <x:c r="B36" s="1521" t="str">
        <x:v>Web試験</x:v>
      </x:c>
      <x:c r="C36" s="1521" t="str">
        <x:v>61_Stage1A_Web受入テスト</x:v>
      </x:c>
      <x:c r="D36" s="1521" t="str">
        <x:v>1.5</x:v>
      </x:c>
      <x:c r="E36" s="1521" t="str">
        <x:v>LP・フォーム・停止制御の受入</x:v>
      </x:c>
      <x:c r="F36" s="1521" t="str">
        <x:v>QA、Web、情シス</x:v>
      </x:c>
      <x:c r="G36" s="1521" t="str">
        <x:v>Stage1A/1C</x:v>
      </x:c>
      <x:c r="H36" s="1521" t="str">
        <x:v>57～60</x:v>
      </x:c>
      <x:c r="I36" s="1521" t="str">
        <x:v>GT-I1A/1C</x:v>
      </x:c>
      <x:c r="J36" s="1521" t="str">
        <x:v>QA責任者</x:v>
      </x:c>
      <x:c r="K36" s="1521" t="str">
        <x:v>凍結候補</x:v>
      </x:c>
      <x:c r="L36" s="1521" t="str">
        <x:v>33_変更管理</x:v>
      </x:c>
      <x:c r="M36" s="1521" t="str">
        <x:v>恒久</x:v>
      </x:c>
      <x:c r="N36" s="2953" t="str"/>
    </x:row>
    <x:row r="37">
      <x:c r="A37" s="2952" t="n">
        <x:v>33</x:v>
      </x:c>
      <x:c r="B37" s="1521" t="str">
        <x:v>独立LP構成</x:v>
      </x:c>
      <x:c r="C37" s="1521" t="str">
        <x:v>62_独立LP構成</x:v>
      </x:c>
      <x:c r="D37" s="1521" t="str">
        <x:v>1.6</x:v>
      </x:c>
      <x:c r="E37" s="1521" t="str">
        <x:v>サブドメインLPと公式サイトの役割・リンク</x:v>
      </x:c>
      <x:c r="F37" s="1521" t="str">
        <x:v>事業、情シス、Web</x:v>
      </x:c>
      <x:c r="G37" s="1521" t="str">
        <x:v>Stage1A</x:v>
      </x:c>
      <x:c r="H37" s="1521" t="str">
        <x:v>57～61</x:v>
      </x:c>
      <x:c r="I37" s="1521" t="str">
        <x:v>公開構成</x:v>
      </x:c>
      <x:c r="J37" s="1521" t="str">
        <x:v>事業責任者</x:v>
      </x:c>
      <x:c r="K37" s="1521" t="str">
        <x:v>凍結</x:v>
      </x:c>
      <x:c r="L37" s="1521" t="str">
        <x:v>33_変更管理</x:v>
      </x:c>
      <x:c r="M37" s="1521" t="str">
        <x:v>恒久</x:v>
      </x:c>
      <x:c r="N37" s="2953" t="str"/>
    </x:row>
    <x:row r="38">
      <x:c r="A38" s="2952" t="n">
        <x:v>34</x:v>
      </x:c>
      <x:c r="B38" s="1521" t="str">
        <x:v>仮決定・情シス確認</x:v>
      </x:c>
      <x:c r="C38" s="1521" t="str">
        <x:v>63_サブドメイン仮決定・情シス確認票</x:v>
      </x:c>
      <x:c r="D38" s="1521" t="str">
        <x:v>1.7</x:v>
      </x:c>
      <x:c r="E38" s="1521" t="str">
        <x:v>事業側仮決定に対する技術確認・承認</x:v>
      </x:c>
      <x:c r="F38" s="1521" t="str">
        <x:v>情シス、事業、Web</x:v>
      </x:c>
      <x:c r="G38" s="1521" t="str">
        <x:v>Stage0/1A</x:v>
      </x:c>
      <x:c r="H38" s="1521" t="str">
        <x:v>62</x:v>
      </x:c>
      <x:c r="I38" s="1521" t="str">
        <x:v>基盤確定</x:v>
      </x:c>
      <x:c r="J38" s="1521" t="str">
        <x:v>情報システム</x:v>
      </x:c>
      <x:c r="K38" s="1521" t="str">
        <x:v>運用中</x:v>
      </x:c>
      <x:c r="L38" s="1521" t="str">
        <x:v>33_変更管理</x:v>
      </x:c>
      <x:c r="M38" s="1521" t="str">
        <x:v>プロジェクト期間</x:v>
      </x:c>
      <x:c r="N38" s="2953" t="str"/>
    </x:row>
    <x:row r="39">
      <x:c r="A39" s="2952" t="n">
        <x:v>35</x:v>
      </x:c>
      <x:c r="B39" s="1521" t="str">
        <x:v>情シス提示</x:v>
      </x:c>
      <x:c r="C39" s="1521" t="str">
        <x:v>64_情シス提示書</x:v>
      </x:c>
      <x:c r="D39" s="1521" t="str">
        <x:v>1.7</x:v>
      </x:c>
      <x:c r="E39" s="1521" t="str">
        <x:v>独立LP仮構成の説明・回答記録</x:v>
      </x:c>
      <x:c r="F39" s="1521" t="str">
        <x:v>情シス、事業責任者</x:v>
      </x:c>
      <x:c r="G39" s="1521" t="str">
        <x:v>Stage0</x:v>
      </x:c>
      <x:c r="H39" s="1521" t="str">
        <x:v>63</x:v>
      </x:c>
      <x:c r="I39" s="1521" t="str">
        <x:v>技術確認</x:v>
      </x:c>
      <x:c r="J39" s="1521" t="str">
        <x:v>事業責任者</x:v>
      </x:c>
      <x:c r="K39" s="1521" t="str">
        <x:v>凍結候補</x:v>
      </x:c>
      <x:c r="L39" s="1521" t="str">
        <x:v>33_変更管理</x:v>
      </x:c>
      <x:c r="M39" s="1521" t="str">
        <x:v>プロジェクト期間</x:v>
      </x:c>
      <x:c r="N39" s="2953" t="str"/>
    </x:row>
    <x:row r="40">
      <x:c r="A40" s="2952" t="n">
        <x:v>36</x:v>
      </x:c>
      <x:c r="B40" s="1521" t="str">
        <x:v>LPワイヤー</x:v>
      </x:c>
      <x:c r="C40" s="1521" t="str">
        <x:v>65_LPワイヤーフレーム</x:v>
      </x:c>
      <x:c r="D40" s="1521" t="str">
        <x:v>1.8</x:v>
      </x:c>
      <x:c r="E40" s="1521" t="str">
        <x:v>PC/スマホの画面構成・導線・状態表示</x:v>
      </x:c>
      <x:c r="F40" s="1521" t="str">
        <x:v>事業、営業、Web、情シス</x:v>
      </x:c>
      <x:c r="G40" s="1521" t="str">
        <x:v>Stage1A</x:v>
      </x:c>
      <x:c r="H40" s="1521" t="str">
        <x:v>57～64</x:v>
      </x:c>
      <x:c r="I40" s="1521" t="str">
        <x:v>LP実装</x:v>
      </x:c>
      <x:c r="J40" s="1521" t="str">
        <x:v>事業責任者</x:v>
      </x:c>
      <x:c r="K40" s="1521" t="str">
        <x:v>凍結候補</x:v>
      </x:c>
      <x:c r="L40" s="1521" t="str">
        <x:v>33_変更管理</x:v>
      </x:c>
      <x:c r="M40" s="1521" t="str">
        <x:v>恒久</x:v>
      </x:c>
      <x:c r="N40" s="2953" t="str"/>
    </x:row>
    <x:row r="41">
      <x:c r="A41" s="2952" t="n">
        <x:v>37</x:v>
      </x:c>
      <x:c r="B41" s="1521" t="str">
        <x:v>LP文章</x:v>
      </x:c>
      <x:c r="C41" s="1521" t="str">
        <x:v>66_LP掲載文章完成稿</x:v>
      </x:c>
      <x:c r="D41" s="1521" t="str">
        <x:v>1.8</x:v>
      </x:c>
      <x:c r="E41" s="1521" t="str">
        <x:v>Web掲載用の見出し・本文・CTA・FAQ完成稿</x:v>
      </x:c>
      <x:c r="F41" s="1521" t="str">
        <x:v>営業、診断、管理、Web</x:v>
      </x:c>
      <x:c r="G41" s="1521" t="str">
        <x:v>Stage1A</x:v>
      </x:c>
      <x:c r="H41" s="1521" t="str">
        <x:v>57/59/65</x:v>
      </x:c>
      <x:c r="I41" s="1521" t="str">
        <x:v>LP実装</x:v>
      </x:c>
      <x:c r="J41" s="1521" t="str">
        <x:v>事業責任者</x:v>
      </x:c>
      <x:c r="K41" s="1521" t="str">
        <x:v>凍結候補</x:v>
      </x:c>
      <x:c r="L41" s="1521" t="str">
        <x:v>33_変更管理</x:v>
      </x:c>
      <x:c r="M41" s="1521" t="str">
        <x:v>恒久</x:v>
      </x:c>
      <x:c r="N41" s="2953" t="str"/>
    </x:row>
    <x:row r="42">
      <x:c r="A42" s="2952" t="n">
        <x:v>38</x:v>
      </x:c>
      <x:c r="B42" s="1521" t="str">
        <x:v>LP実装注記</x:v>
      </x:c>
      <x:c r="C42" s="1521" t="str">
        <x:v>67_LP実装注記</x:v>
      </x:c>
      <x:c r="D42" s="1521" t="str">
        <x:v>1.8</x:v>
      </x:c>
      <x:c r="E42" s="1521" t="str">
        <x:v>レスポンシブ・状態切替・計測・受入要件</x:v>
      </x:c>
      <x:c r="F42" s="1521" t="str">
        <x:v>Web、情シス、QA</x:v>
      </x:c>
      <x:c r="G42" s="1521" t="str">
        <x:v>Stage1A/1C</x:v>
      </x:c>
      <x:c r="H42" s="1521" t="str">
        <x:v>56～66</x:v>
      </x:c>
      <x:c r="I42" s="1521" t="str">
        <x:v>Web受入</x:v>
      </x:c>
      <x:c r="J42" s="1521" t="str">
        <x:v>情報システム</x:v>
      </x:c>
      <x:c r="K42" s="1521" t="str">
        <x:v>運用中</x:v>
      </x:c>
      <x:c r="L42" s="1521" t="str">
        <x:v>33_変更管理</x:v>
      </x:c>
      <x:c r="M42" s="1521" t="str">
        <x:v>プロジェクト期間</x:v>
      </x:c>
      <x:c r="N42" s="2953" t="str"/>
    </x:row>
    <x:row r="43">
      <x:c r="A43" s="2952" t="n">
        <x:v>39</x:v>
      </x:c>
      <x:c r="B43" s="1521" t="str">
        <x:v>公開質問</x:v>
      </x:c>
      <x:c r="C43" s="1521" t="str">
        <x:v>68_公開フォーム最小質問セット</x:v>
      </x:c>
      <x:c r="D43" s="1521" t="str">
        <x:v>1.9</x:v>
      </x:c>
      <x:c r="E43" s="1521" t="str">
        <x:v>10～15分を目標とする初期公開質問</x:v>
      </x:c>
      <x:c r="F43" s="1521" t="str">
        <x:v>診断、営業、Web</x:v>
      </x:c>
      <x:c r="G43" s="1521" t="str">
        <x:v>Stage1A</x:v>
      </x:c>
      <x:c r="H43" s="1521" t="str">
        <x:v>01/02/58/66</x:v>
      </x:c>
      <x:c r="I43" s="1521" t="str">
        <x:v>公開フォーム</x:v>
      </x:c>
      <x:c r="J43" s="1521" t="str">
        <x:v>診断責任者</x:v>
      </x:c>
      <x:c r="K43" s="1521" t="str">
        <x:v>凍結候補</x:v>
      </x:c>
      <x:c r="L43" s="1521" t="str">
        <x:v>33_変更管理</x:v>
      </x:c>
      <x:c r="M43" s="1521" t="str">
        <x:v>恒久</x:v>
      </x:c>
      <x:c r="N43" s="2953" t="str"/>
    </x:row>
    <x:row r="44">
      <x:c r="A44" s="2952" t="n">
        <x:v>40</x:v>
      </x:c>
      <x:c r="B44" s="1521" t="str">
        <x:v>A3サンプル</x:v>
      </x:c>
      <x:c r="C44" s="1521" t="str">
        <x:v>69_LP掲載A3サンプル仕様</x:v>
      </x:c>
      <x:c r="D44" s="1521" t="str">
        <x:v>1.9</x:v>
      </x:c>
      <x:c r="E44" s="1521" t="str">
        <x:v>架空工場のLP掲載サンプル設計</x:v>
      </x:c>
      <x:c r="F44" s="1521" t="str">
        <x:v>診断、事業、Web</x:v>
      </x:c>
      <x:c r="G44" s="1521" t="str">
        <x:v>Stage1A</x:v>
      </x:c>
      <x:c r="H44" s="1521" t="str">
        <x:v>18/19/66</x:v>
      </x:c>
      <x:c r="I44" s="1521" t="str">
        <x:v>LP表示</x:v>
      </x:c>
      <x:c r="J44" s="1521" t="str">
        <x:v>診断責任者</x:v>
      </x:c>
      <x:c r="K44" s="1521" t="str">
        <x:v>凍結候補</x:v>
      </x:c>
      <x:c r="L44" s="1521" t="str">
        <x:v>33_変更管理</x:v>
      </x:c>
      <x:c r="M44" s="1521" t="str">
        <x:v>恒久</x:v>
      </x:c>
      <x:c r="N44" s="2953" t="str"/>
    </x:row>
    <x:row r="45">
      <x:c r="A45" s="2952" t="n">
        <x:v>41</x:v>
      </x:c>
      <x:c r="B45" s="1521" t="str">
        <x:v>LPレビュー</x:v>
      </x:c>
      <x:c r="C45" s="1521" t="str">
        <x:v>70_LP文章・画面レビュー</x:v>
      </x:c>
      <x:c r="D45" s="1521" t="str">
        <x:v>1.9</x:v>
      </x:c>
      <x:c r="E45" s="1521" t="str">
        <x:v>情シス提示前の社内確認</x:v>
      </x:c>
      <x:c r="F45" s="1521" t="str">
        <x:v>事業、営業、診断、管理、情シス</x:v>
      </x:c>
      <x:c r="G45" s="1521" t="str">
        <x:v>Stage1A</x:v>
      </x:c>
      <x:c r="H45" s="1521" t="str">
        <x:v>65～69</x:v>
      </x:c>
      <x:c r="I45" s="1521" t="str">
        <x:v>GT-LP1</x:v>
      </x:c>
      <x:c r="J45" s="1521" t="str">
        <x:v>事業責任者</x:v>
      </x:c>
      <x:c r="K45" s="1521" t="str">
        <x:v>運用中</x:v>
      </x:c>
      <x:c r="L45" s="1521" t="str">
        <x:v>33_変更管理</x:v>
      </x:c>
      <x:c r="M45" s="1521" t="str">
        <x:v>プロジェクト期間</x:v>
      </x:c>
      <x:c r="N45" s="2953" t="str"/>
    </x:row>
    <x:row r="46">
      <x:c r="A46" s="2952" t="n">
        <x:v>42</x:v>
      </x:c>
      <x:c r="B46" s="1521" t="str">
        <x:v>LP引渡し</x:v>
      </x:c>
      <x:c r="C46" s="1521" t="str">
        <x:v>71_LP制作引渡しパッケージ</x:v>
      </x:c>
      <x:c r="D46" s="1521" t="str">
        <x:v>1.9</x:v>
      </x:c>
      <x:c r="E46" s="1521" t="str">
        <x:v>情シス・LP担当への制作資料一覧</x:v>
      </x:c>
      <x:c r="F46" s="1521" t="str">
        <x:v>情シス、LP担当</x:v>
      </x:c>
      <x:c r="G46" s="1521" t="str">
        <x:v>Stage1A</x:v>
      </x:c>
      <x:c r="H46" s="1521" t="str">
        <x:v>00～70</x:v>
      </x:c>
      <x:c r="I46" s="1521" t="str">
        <x:v>制作着手</x:v>
      </x:c>
      <x:c r="J46" s="1521" t="str">
        <x:v>事業責任者</x:v>
      </x:c>
      <x:c r="K46" s="1521" t="str">
        <x:v>運用中</x:v>
      </x:c>
      <x:c r="L46" s="1521" t="str">
        <x:v>33_変更管理</x:v>
      </x:c>
      <x:c r="M46" s="1521" t="str">
        <x:v>プロジェクト期間</x:v>
      </x:c>
      <x:c r="N46" s="2953" t="str"/>
    </x:row>
    <x:row r="47">
      <x:c r="A47" s="2952" t="n">
        <x:v>43</x:v>
      </x:c>
      <x:c r="B47" s="1521" t="str">
        <x:v>基盤比較</x:v>
      </x:c>
      <x:c r="C47" s="1521" t="str">
        <x:v>72_LP公開基盤比較</x:v>
      </x:c>
      <x:c r="D47" s="1521" t="str">
        <x:v>2.1</x:v>
      </x:c>
      <x:c r="E47" s="1521" t="str">
        <x:v>独立LP基盤の比較・加重評価</x:v>
      </x:c>
      <x:c r="F47" s="1521" t="str">
        <x:v>事業責任者、情シス</x:v>
      </x:c>
      <x:c r="G47" s="1521" t="str">
        <x:v>Stage1A</x:v>
      </x:c>
      <x:c r="H47" s="1521" t="str">
        <x:v>63～71</x:v>
      </x:c>
      <x:c r="I47" s="1521" t="str">
        <x:v>基盤仮決定</x:v>
      </x:c>
      <x:c r="J47" s="1521" t="str">
        <x:v>事業責任者</x:v>
      </x:c>
      <x:c r="K47" s="1521" t="str">
        <x:v>凍結候補</x:v>
      </x:c>
      <x:c r="L47" s="1521" t="str">
        <x:v>33_変更管理</x:v>
      </x:c>
      <x:c r="M47" s="1521" t="str">
        <x:v>プロジェクト期間</x:v>
      </x:c>
      <x:c r="N47" s="2953" t="str">
        <x:v>公式情報URL記載</x:v>
      </x:c>
    </x:row>
    <x:row r="48">
      <x:c r="A48" s="2952" t="n">
        <x:v>44</x:v>
      </x:c>
      <x:c r="B48" s="1521" t="str">
        <x:v>基盤仮決定</x:v>
      </x:c>
      <x:c r="C48" s="1521" t="str">
        <x:v>73_LP公開基盤仮決定</x:v>
      </x:c>
      <x:c r="D48" s="1521" t="str">
        <x:v>2.1</x:v>
      </x:c>
      <x:c r="E48" s="1521" t="str">
        <x:v>Cloudflare Pages＋Microsoft Formsの仮構成</x:v>
      </x:c>
      <x:c r="F48" s="1521" t="str">
        <x:v>事業責任者、情シス</x:v>
      </x:c>
      <x:c r="G48" s="1521" t="str">
        <x:v>Stage1A</x:v>
      </x:c>
      <x:c r="H48" s="1521" t="str">
        <x:v>72</x:v>
      </x:c>
      <x:c r="I48" s="1521" t="str">
        <x:v>仮環境構築</x:v>
      </x:c>
      <x:c r="J48" s="1521" t="str">
        <x:v>事業責任者</x:v>
      </x:c>
      <x:c r="K48" s="1521" t="str">
        <x:v>凍結候補</x:v>
      </x:c>
      <x:c r="L48" s="1521" t="str">
        <x:v>33_変更管理</x:v>
      </x:c>
      <x:c r="M48" s="1521" t="str">
        <x:v>恒久</x:v>
      </x:c>
      <x:c r="N48" s="2953" t="str"/>
    </x:row>
    <x:row r="49">
      <x:c r="A49" s="2957" t="n">
        <x:v>45</x:v>
      </x:c>
      <x:c r="B49" s="2902" t="str">
        <x:v>仮構築手順</x:v>
      </x:c>
      <x:c r="C49" s="2902" t="str">
        <x:v>74_LP仮構築手順</x:v>
      </x:c>
      <x:c r="D49" s="2902" t="str">
        <x:v>2.1</x:v>
      </x:c>
      <x:c r="E49" s="2902" t="str">
        <x:v>仮URLから本番受付までの直接実行手順</x:v>
      </x:c>
      <x:c r="F49" s="2902" t="str">
        <x:v>事業責任者、情シス</x:v>
      </x:c>
      <x:c r="G49" s="2902" t="str">
        <x:v>Stage1A/1C</x:v>
      </x:c>
      <x:c r="H49" s="2902" t="str">
        <x:v>65～73</x:v>
      </x:c>
      <x:c r="I49" s="2902" t="str">
        <x:v>LP構築</x:v>
      </x:c>
      <x:c r="J49" s="2902" t="str">
        <x:v>事業責任者</x:v>
      </x:c>
      <x:c r="K49" s="2902" t="str">
        <x:v>運用中</x:v>
      </x:c>
      <x:c r="L49" s="2902" t="str">
        <x:v>33_変更管理</x:v>
      </x:c>
      <x:c r="M49" s="2902" t="str">
        <x:v>プロジェクト期間</x:v>
      </x:c>
      <x:c r="N49" s="2958" t="str"/>
    </x:row>
    <x:row r="50">
      <x:c r="A50" s="2952" t="n">
        <x:v>46</x:v>
      </x:c>
      <x:c r="B50" s="1521" t="str">
        <x:v>LP HTML</x:v>
      </x:c>
      <x:c r="C50" s="1521" t="str">
        <x:v>75_LP_HTML初版仕様</x:v>
      </x:c>
      <x:c r="D50" s="1521" t="str">
        <x:v>2.2</x:v>
      </x:c>
      <x:c r="E50" s="1521" t="str">
        <x:v>実際のLPプロトタイプv0.1と設定管理</x:v>
      </x:c>
      <x:c r="F50" s="1521" t="str">
        <x:v>事業責任者、情シス</x:v>
      </x:c>
      <x:c r="G50" s="1521" t="str">
        <x:v>Stage1A</x:v>
      </x:c>
      <x:c r="H50" s="1521" t="str">
        <x:v>65～74</x:v>
      </x:c>
      <x:c r="I50" s="1521" t="str">
        <x:v>仮URL公開</x:v>
      </x:c>
      <x:c r="J50" s="1521" t="str">
        <x:v>事業責任者</x:v>
      </x:c>
      <x:c r="K50" s="1521" t="str">
        <x:v>運用中</x:v>
      </x:c>
      <x:c r="L50" s="1521" t="str">
        <x:v>33_変更管理</x:v>
      </x:c>
      <x:c r="M50" s="1521" t="str">
        <x:v>プロジェクト期間</x:v>
      </x:c>
      <x:c r="N50" s="2953" t="str">
        <x:v>/mnt/data/Energy_Doctor_LP_Prototype_v0.1.zip</x:v>
      </x:c>
    </x:row>
    <x:row r="51">
      <x:c r="A51" s="2954" t="n">
        <x:v>47</x:v>
      </x:c>
      <x:c r="B51" s="2955" t="str">
        <x:v>Forms仕様</x:v>
      </x:c>
      <x:c r="C51" s="2955" t="str">
        <x:v>76_MicrosoftForms実装仕様</x:v>
      </x:c>
      <x:c r="D51" s="2955" t="str">
        <x:v>2.2</x:v>
      </x:c>
      <x:c r="E51" s="2955" t="str">
        <x:v>Microsoft Formsの手入力実装・保存・公開設定</x:v>
      </x:c>
      <x:c r="F51" s="2955" t="str">
        <x:v>事業責任者、情シス</x:v>
      </x:c>
      <x:c r="G51" s="2955" t="str">
        <x:v>Stage1A</x:v>
      </x:c>
      <x:c r="H51" s="2955" t="str">
        <x:v>58/68/73/74</x:v>
      </x:c>
      <x:c r="I51" s="2955" t="str">
        <x:v>Forms初版</x:v>
      </x:c>
      <x:c r="J51" s="2955" t="str">
        <x:v>事業責任者</x:v>
      </x:c>
      <x:c r="K51" s="2955" t="str">
        <x:v>凍結候補</x:v>
      </x:c>
      <x:c r="L51" s="2955" t="str">
        <x:v>33_変更管理</x:v>
      </x:c>
      <x:c r="M51" s="2955" t="str">
        <x:v>恒久</x:v>
      </x:c>
      <x:c r="N51" s="2956" t="str"/>
    </x:row>
    <x:row r="52" ht="72" customHeight="1">
      <x:c r="A52" s="2364" t="n">
        <x:v>48</x:v>
      </x:c>
      <x:c r="B52" s="2364" t="str">
        <x:v>WQ-Q Traceability</x:v>
      </x:c>
      <x:c r="C52" s="2364" t="str">
        <x:v>77_WQ-Q_Traceability</x:v>
      </x:c>
      <x:c r="D52" s="2364" t="str">
        <x:v>2.3</x:v>
      </x:c>
      <x:c r="E52" s="2364" t="str">
        <x:v>公開18問と正式Q-IDの対応関係をDirect/Aggregated/Partial/N/Aで管理。根拠未確認はUNRESOLVED保持</x:v>
      </x:c>
      <x:c r="F52" s="2364" t="str">
        <x:v>診断、QA、実装</x:v>
      </x:c>
      <x:c r="G52" s="2364" t="str">
        <x:v>Stage1B</x:v>
      </x:c>
      <x:c r="H52" s="2364" t="str">
        <x:v>03/68</x:v>
      </x:c>
      <x:c r="I52" s="2364" t="str">
        <x:v>正式対応表確定</x:v>
      </x:c>
      <x:c r="J52" s="2364" t="str">
        <x:v>診断責任者</x:v>
      </x:c>
      <x:c r="K52" s="2364" t="str">
        <x:v>Approved / Implementation Pending</x:v>
      </x:c>
      <x:c r="L52" s="2364" t="str">
        <x:v>33_変更管理</x:v>
      </x:c>
      <x:c r="M52" s="2364" t="str">
        <x:v>恒久</x:v>
      </x:c>
      <x:c r="N52" s="2364" t="str">
        <x:v>ED-DI-002｜18問Traceability確定済み</x:v>
      </x:c>
    </x:row>
    <x:row r="53" ht="72" customHeight="1">
      <x:c r="A53" s="2364" t="n">
        <x:v>49</x:v>
      </x:c>
      <x:c r="B53" s="2364" t="str">
        <x:v>公開Web診断Disposition</x:v>
      </x:c>
      <x:c r="C53" s="2364" t="str">
        <x:v>78_Web診断Disposition</x:v>
      </x:c>
      <x:c r="D53" s="2364" t="str">
        <x:v>2.3</x:v>
      </x:c>
      <x:c r="E53" s="2364" t="str">
        <x:v>Unknown集約・情報充足率・Web_EDI位置付け・要確認事項/Guardrail保留の承認仕様</x:v>
      </x:c>
      <x:c r="F53" s="2364" t="str">
        <x:v>診断、QA、Web、実装</x:v>
      </x:c>
      <x:c r="G53" s="2364" t="str">
        <x:v>Stage1B/1C</x:v>
      </x:c>
      <x:c r="H53" s="2364" t="str">
        <x:v>13/53/68/77</x:v>
      </x:c>
      <x:c r="I53" s="2364" t="str">
        <x:v>Engine Patch</x:v>
      </x:c>
      <x:c r="J53" s="2364" t="str">
        <x:v>診断責任者</x:v>
      </x:c>
      <x:c r="K53" s="2364" t="str">
        <x:v>Approved</x:v>
      </x:c>
      <x:c r="L53" s="2364" t="str">
        <x:v>33_変更管理</x:v>
      </x:c>
      <x:c r="M53" s="2364" t="str">
        <x:v>恒久</x:v>
      </x:c>
      <x:c r="N53" s="2364" t="str">
        <x:v>ED-DI-003〜005</x:v>
      </x:c>
    </x:row>
    <x:row r="54" ht="72" customHeight="1">
      <x:c r="A54" s="2364" t="n">
        <x:v>50</x:v>
      </x:c>
      <x:c r="B54" s="2364" t="str">
        <x:v>WQ-Q S社レビュー</x:v>
      </x:c>
      <x:c r="C54" s="2364" t="str">
        <x:v>79_WQ-Q_Review</x:v>
      </x:c>
      <x:c r="D54" s="2364" t="str">
        <x:v>2.3</x:v>
      </x:c>
      <x:c r="E54" s="2364" t="str">
        <x:v>ED-DI-002の18問CandidateをS社が○/修正/×で承認するレビュー表</x:v>
      </x:c>
      <x:c r="F54" s="2364" t="str">
        <x:v>診断責任者、QA</x:v>
      </x:c>
      <x:c r="G54" s="2364" t="str">
        <x:v>Stage1B</x:v>
      </x:c>
      <x:c r="H54" s="2364" t="str">
        <x:v>03/68/77</x:v>
      </x:c>
      <x:c r="I54" s="2364" t="str">
        <x:v>77正式Traceability確定</x:v>
      </x:c>
      <x:c r="J54" s="2364" t="str">
        <x:v>診断責任者</x:v>
      </x:c>
      <x:c r="K54" s="2364" t="str">
        <x:v>Approved</x:v>
      </x:c>
      <x:c r="L54" s="2364" t="str">
        <x:v>33_変更管理</x:v>
      </x:c>
      <x:c r="M54" s="2364" t="str">
        <x:v>承認記録</x:v>
      </x:c>
      <x:c r="N54" s="2364" t="str">
        <x:v>17件○、WQ-404修正承認。77へ転記完了</x:v>
      </x:c>
    </x:row>
  </x:sheetData>
  <x:mergeCells>
    <x:mergeCell ref="A1:N1"/>
    <x:mergeCell ref="A2:N2"/>
  </x:mergeCells>
  <x:dataValidations count="1">
    <x:dataValidation type="list" sqref="K5:K16">
      <x:formula1>"凍結,凍結候補,運用中,改訂中,廃止"</x:formula1>
    </x:dataValidation>
  </x:dataValidations>
  <x:pageMargins left="0.7" right="0.7" top="0.75" bottom="0.75" header="0.3" footer="0.3"/>
</x:worksheet>
</file>

<file path=xl/worksheets/sheet39.xml><?xml version="1.0" encoding="utf-8"?>
<x:worksheet xmlns:x="http://schemas.openxmlformats.org/spreadsheetml/2006/main">
  <x:sheetFormatPr defaultRowHeight="15"/>
  <x:cols>
    <x:col min="1" max="1" width="14" hidden="0" customWidth="1"/>
    <x:col min="2" max="2" width="20" hidden="0" customWidth="1"/>
    <x:col min="3" max="3" width="40" hidden="0" customWidth="1"/>
    <x:col min="4" max="4" width="14" hidden="0" customWidth="1"/>
    <x:col min="5" max="5" width="16" hidden="0" customWidth="1"/>
    <x:col min="6" max="6" width="34" hidden="0" customWidth="1"/>
    <x:col min="7" max="7" width="28" hidden="0" customWidth="1"/>
    <x:col min="8" max="8" width="24" hidden="0" customWidth="1"/>
    <x:col min="9" max="9" width="24" hidden="0" customWidth="1"/>
    <x:col min="10" max="10" width="24" hidden="0" customWidth="1"/>
    <x:col min="11" max="11" width="24" hidden="0" customWidth="1"/>
    <x:col min="12" max="12" width="24" hidden="0" customWidth="1"/>
    <x:col min="13" max="13" width="14" hidden="0" customWidth="1"/>
    <x:col min="14" max="14" width="22" hidden="0" customWidth="1"/>
  </x:cols>
  <x:sheetData>
    <x:row r="1" ht="28" customHeight="1">
      <x:c r="A1" s="1684" t="str">
        <x:v>38_Baseline_Freeze</x:v>
      </x:c>
      <x:c r="B1" s="1684"/>
      <x:c r="C1" s="1684"/>
      <x:c r="D1" s="1684"/>
      <x:c r="E1" s="1684"/>
      <x:c r="F1" s="1684"/>
      <x:c r="G1" s="1684"/>
      <x:c r="H1" s="1684"/>
      <x:c r="I1" s="1684"/>
      <x:c r="J1" s="1684"/>
      <x:c r="K1" s="1684"/>
      <x:c r="L1" s="1684"/>
      <x:c r="M1" s="1684"/>
      <x:c r="N1" s="1684"/>
    </x:row>
    <x:row r="2" ht="36" customHeight="1">
      <x:c r="A2" s="1687" t="str">
        <x:v>Energy Doctor Version1.0のBaseline、Freeze範囲、例外、解除条件を正式化。</x:v>
      </x:c>
      <x:c r="B2" s="1687"/>
      <x:c r="C2" s="1687"/>
      <x:c r="D2" s="1687"/>
      <x:c r="E2" s="1687"/>
      <x:c r="F2" s="1687"/>
      <x:c r="G2" s="1687"/>
      <x:c r="H2" s="1687"/>
      <x:c r="I2" s="1687"/>
      <x:c r="J2" s="1687"/>
      <x:c r="K2" s="1687"/>
      <x:c r="L2" s="1687"/>
      <x:c r="M2" s="1687"/>
      <x:c r="N2" s="1687"/>
    </x:row>
    <x:row r="4" ht="38" customHeight="1">
      <x:c r="A4" s="1699" t="str">
        <x:v>Baseline ID</x:v>
      </x:c>
      <x:c r="B4" s="1700" t="str">
        <x:v>対象</x:v>
      </x:c>
      <x:c r="C4" s="1700" t="str">
        <x:v>凍結内容</x:v>
      </x:c>
      <x:c r="D4" s="1700" t="str">
        <x:v>凍結Version</x:v>
      </x:c>
      <x:c r="E4" s="1700" t="str">
        <x:v>Freeze種別</x:v>
      </x:c>
      <x:c r="F4" s="1700" t="str">
        <x:v>変更禁止事項</x:v>
      </x:c>
      <x:c r="G4" s="1700" t="str">
        <x:v>変更可能事項</x:v>
      </x:c>
      <x:c r="H4" s="1700" t="str">
        <x:v>変更トリガー</x:v>
      </x:c>
      <x:c r="I4" s="1700" t="str">
        <x:v>必要承認</x:v>
      </x:c>
      <x:c r="J4" s="1700" t="str">
        <x:v>必要テスト</x:v>
      </x:c>
      <x:c r="K4" s="1700" t="str">
        <x:v>影響評価</x:v>
      </x:c>
      <x:c r="L4" s="1700" t="str">
        <x:v>解除条件</x:v>
      </x:c>
      <x:c r="M4" s="1700" t="str">
        <x:v>状態</x:v>
      </x:c>
      <x:c r="N4" s="1701" t="str">
        <x:v>備考</x:v>
      </x:c>
    </x:row>
    <x:row r="5">
      <x:c r="A5" s="2896" t="str">
        <x:v>BL-001</x:v>
      </x:c>
      <x:c r="B5" s="2897" t="str">
        <x:v>ブランド・価値訴求</x:v>
      </x:c>
      <x:c r="C5" s="2897" t="str">
        <x:v>30秒で把握、3分で理解、30分で意思決定</x:v>
      </x:c>
      <x:c r="D5" s="2897" t="str">
        <x:v>1.0</x:v>
      </x:c>
      <x:c r="E5" s="2897" t="str">
        <x:v>Hard Freeze</x:v>
      </x:c>
      <x:c r="F5" s="2897" t="str">
        <x:v>基本価値とA3・2ページの位置付け</x:v>
      </x:c>
      <x:c r="G5" s="2897" t="str">
        <x:v>表現の軽微修正</x:v>
      </x:c>
      <x:c r="H5" s="2897" t="str">
        <x:v>経営方針変更</x:v>
      </x:c>
      <x:c r="I5" s="2897" t="str">
        <x:v>経営承認</x:v>
      </x:c>
      <x:c r="J5" s="2897" t="str">
        <x:v>LP回帰</x:v>
      </x:c>
      <x:c r="K5" s="2897" t="str">
        <x:v>営業・UI</x:v>
      </x:c>
      <x:c r="L5" s="2897" t="str">
        <x:v>経営承認</x:v>
      </x:c>
      <x:c r="M5" s="2897" t="str">
        <x:v>凍結</x:v>
      </x:c>
      <x:c r="N5" s="2898" t="str"/>
    </x:row>
    <x:row r="6">
      <x:c r="A6" s="2899" t="str">
        <x:v>BL-002</x:v>
      </x:c>
      <x:c r="B6" s="1521" t="str">
        <x:v>5指標</x:v>
      </x:c>
      <x:c r="C6" s="1521" t="str">
        <x:v>EDI、DRI、EPI、診断信頼度、情報充足率</x:v>
      </x:c>
      <x:c r="D6" s="1521" t="str">
        <x:v>1.0</x:v>
      </x:c>
      <x:c r="E6" s="1521" t="str">
        <x:v>Hard Freeze</x:v>
      </x:c>
      <x:c r="F6" s="1521" t="str">
        <x:v>指標名称・方向・意味</x:v>
      </x:c>
      <x:c r="G6" s="1521" t="str">
        <x:v>表示デザイン</x:v>
      </x:c>
      <x:c r="H6" s="1521" t="str">
        <x:v>診断思想変更</x:v>
      </x:c>
      <x:c r="I6" s="1521" t="str">
        <x:v>経営＋診断責任者</x:v>
      </x:c>
      <x:c r="J6" s="1521" t="str">
        <x:v>全算定回帰</x:v>
      </x:c>
      <x:c r="K6" s="1521" t="str">
        <x:v>全レポート</x:v>
      </x:c>
      <x:c r="L6" s="1521" t="str">
        <x:v>正式改訂承認</x:v>
      </x:c>
      <x:c r="M6" s="1521" t="str">
        <x:v>凍結</x:v>
      </x:c>
      <x:c r="N6" s="2900" t="str"/>
    </x:row>
    <x:row r="7">
      <x:c r="A7" s="2899" t="str">
        <x:v>BL-003</x:v>
      </x:c>
      <x:c r="B7" s="1521" t="str">
        <x:v>算定式</x:v>
      </x:c>
      <x:c r="C7" s="1521" t="str">
        <x:v>13・14シートの正式算定式と評価帯</x:v>
      </x:c>
      <x:c r="D7" s="1521" t="str">
        <x:v>1.0</x:v>
      </x:c>
      <x:c r="E7" s="1521" t="str">
        <x:v>Hard Freeze</x:v>
      </x:c>
      <x:c r="F7" s="1521" t="str">
        <x:v>ウェイト、帯、期限補正、品質式</x:v>
      </x:c>
      <x:c r="G7" s="1521" t="str">
        <x:v>誤記訂正</x:v>
      </x:c>
      <x:c r="H7" s="1521" t="str">
        <x:v>実データで重大偏り</x:v>
      </x:c>
      <x:c r="I7" s="1521" t="str">
        <x:v>診断責任者＋QA</x:v>
      </x:c>
      <x:c r="J7" s="1521" t="str">
        <x:v>11・24全関連</x:v>
      </x:c>
      <x:c r="K7" s="1521" t="str">
        <x:v>KPI・順位・文章</x:v>
      </x:c>
      <x:c r="L7" s="1521" t="str">
        <x:v>再Baseline発行</x:v>
      </x:c>
      <x:c r="M7" s="1521" t="str">
        <x:v>凍結</x:v>
      </x:c>
      <x:c r="N7" s="2900" t="str"/>
    </x:row>
    <x:row r="8">
      <x:c r="A8" s="2899" t="str">
        <x:v>BL-004</x:v>
      </x:c>
      <x:c r="B8" s="1521" t="str">
        <x:v>Guardrail</x:v>
      </x:c>
      <x:c r="C8" s="1521" t="str">
        <x:v>独立表示、順位式、上位3件</x:v>
      </x:c>
      <x:c r="D8" s="1521" t="str">
        <x:v>1.0</x:v>
      </x:c>
      <x:c r="E8" s="1521" t="str">
        <x:v>Hard Freeze</x:v>
      </x:c>
      <x:c r="F8" s="1521" t="str">
        <x:v>点数への埋没、重大項目非表示</x:v>
      </x:c>
      <x:c r="G8" s="1521" t="str">
        <x:v>文言調整</x:v>
      </x:c>
      <x:c r="H8" s="1521" t="str">
        <x:v>法令・安全要件変更</x:v>
      </x:c>
      <x:c r="I8" s="1521" t="str">
        <x:v>診断責任者＋法務</x:v>
      </x:c>
      <x:c r="J8" s="1521" t="str">
        <x:v>Guardrail全ケース</x:v>
      </x:c>
      <x:c r="K8" s="1521" t="str">
        <x:v>P1/P2・CTA</x:v>
      </x:c>
      <x:c r="L8" s="1521" t="str">
        <x:v>再Baseline発行</x:v>
      </x:c>
      <x:c r="M8" s="1521" t="str">
        <x:v>凍結</x:v>
      </x:c>
      <x:c r="N8" s="2900" t="str"/>
    </x:row>
    <x:row r="9">
      <x:c r="A9" s="2899" t="str">
        <x:v>BL-005</x:v>
      </x:c>
      <x:c r="B9" s="1521" t="str">
        <x:v>断定統制</x:v>
      </x:c>
      <x:c r="C9" s="1521" t="str">
        <x:v>L0～L3、個別Evidence優先</x:v>
      </x:c>
      <x:c r="D9" s="1521" t="str">
        <x:v>1.0</x:v>
      </x:c>
      <x:c r="E9" s="1521" t="str">
        <x:v>Hard Freeze</x:v>
      </x:c>
      <x:c r="F9" s="1521" t="str">
        <x:v>総合スコアによる断定上書き</x:v>
      </x:c>
      <x:c r="G9" s="1521" t="str">
        <x:v>承認済み語尾調整</x:v>
      </x:c>
      <x:c r="H9" s="1521" t="str">
        <x:v>品質事故・法務指摘</x:v>
      </x:c>
      <x:c r="I9" s="1521" t="str">
        <x:v>診断責任者＋法務</x:v>
      </x:c>
      <x:c r="J9" s="1521" t="str">
        <x:v>AI・文章全試験</x:v>
      </x:c>
      <x:c r="K9" s="1521" t="str">
        <x:v>全文章</x:v>
      </x:c>
      <x:c r="L9" s="1521" t="str">
        <x:v>再Baseline発行</x:v>
      </x:c>
      <x:c r="M9" s="1521" t="str">
        <x:v>凍結</x:v>
      </x:c>
      <x:c r="N9" s="2900" t="str"/>
    </x:row>
    <x:row r="10">
      <x:c r="A10" s="2899" t="str">
        <x:v>BL-006</x:v>
      </x:c>
      <x:c r="B10" s="1521" t="str">
        <x:v>AI責任範囲</x:v>
      </x:c>
      <x:c r="C10" s="1521" t="str">
        <x:v>接続・重複整理・語尾調整のみ</x:v>
      </x:c>
      <x:c r="D10" s="1521" t="str">
        <x:v>1.0</x:v>
      </x:c>
      <x:c r="E10" s="1521" t="str">
        <x:v>Hard Freeze</x:v>
      </x:c>
      <x:c r="F10" s="1521" t="str">
        <x:v>診断、順位、原因・数値・製品創作</x:v>
      </x:c>
      <x:c r="G10" s="1521" t="str">
        <x:v>モデル・実装方式</x:v>
      </x:c>
      <x:c r="H10" s="1521" t="str">
        <x:v>AIサービス変更</x:v>
      </x:c>
      <x:c r="I10" s="1521" t="str">
        <x:v>事業責任者＋診断責任者</x:v>
      </x:c>
      <x:c r="J10" s="1521" t="str">
        <x:v>AT-009/010/015</x:v>
      </x:c>
      <x:c r="K10" s="1521" t="str">
        <x:v>セキュリティ・品質</x:v>
      </x:c>
      <x:c r="L10" s="1521" t="str">
        <x:v>代替方式承認</x:v>
      </x:c>
      <x:c r="M10" s="1521" t="str">
        <x:v>凍結</x:v>
      </x:c>
      <x:c r="N10" s="2900" t="str"/>
    </x:row>
    <x:row r="11">
      <x:c r="A11" s="2899" t="str">
        <x:v>BL-007</x:v>
      </x:c>
      <x:c r="B11" s="1521" t="str">
        <x:v>A3レポート</x:v>
      </x:c>
      <x:c r="C11" s="1521" t="str">
        <x:v>A3横2ページ、P1判断・P2根拠</x:v>
      </x:c>
      <x:c r="D11" s="1521" t="str">
        <x:v>A3-v1.0</x:v>
      </x:c>
      <x:c r="E11" s="1521" t="str">
        <x:v>Hard Freeze</x:v>
      </x:c>
      <x:c r="F11" s="1521" t="str">
        <x:v>ページ役割、主要ブロック削除</x:v>
      </x:c>
      <x:c r="G11" s="1521" t="str">
        <x:v>色・余白・字体</x:v>
      </x:c>
      <x:c r="H11" s="1521" t="str">
        <x:v>印刷・可読性問題</x:v>
      </x:c>
      <x:c r="I11" s="1521" t="str">
        <x:v>事業責任者</x:v>
      </x:c>
      <x:c r="J11" s="1521" t="str">
        <x:v>AT-011/012</x:v>
      </x:c>
      <x:c r="K11" s="1521" t="str">
        <x:v>LP・PDF</x:v>
      </x:c>
      <x:c r="L11" s="1521" t="str">
        <x:v>帳票改訂承認</x:v>
      </x:c>
      <x:c r="M11" s="1521" t="str">
        <x:v>凍結</x:v>
      </x:c>
      <x:c r="N11" s="2900" t="str"/>
    </x:row>
    <x:row r="12">
      <x:c r="A12" s="2899" t="str">
        <x:v>BL-008</x:v>
      </x:c>
      <x:c r="B12" s="1521" t="str">
        <x:v>質問票・UI</x:v>
      </x:c>
      <x:c r="C12" s="1521" t="str">
        <x:v>Version0.9時点の質問と画面遷移</x:v>
      </x:c>
      <x:c r="D12" s="1521" t="str">
        <x:v>1.0</x:v>
      </x:c>
      <x:c r="E12" s="1521" t="str">
        <x:v>Soft Freeze</x:v>
      </x:c>
      <x:c r="F12" s="1521" t="str">
        <x:v>無承認での追加削除</x:v>
      </x:c>
      <x:c r="G12" s="1521" t="str">
        <x:v>分岐・ヘルプ改善</x:v>
      </x:c>
      <x:c r="H12" s="1521" t="str">
        <x:v>離脱・誤回答データ</x:v>
      </x:c>
      <x:c r="I12" s="1521" t="str">
        <x:v>PM＋診断責任者</x:v>
      </x:c>
      <x:c r="J12" s="1521" t="str">
        <x:v>回帰・UI試験</x:v>
      </x:c>
      <x:c r="K12" s="1521" t="str">
        <x:v>KPI・充足率</x:v>
      </x:c>
      <x:c r="L12" s="1521" t="str">
        <x:v>変更管理承認</x:v>
      </x:c>
      <x:c r="M12" s="1521" t="str">
        <x:v>凍結候補</x:v>
      </x:c>
      <x:c r="N12" s="2900" t="str">
        <x:v>Fit&amp;Gap対象</x:v>
      </x:c>
    </x:row>
    <x:row r="13">
      <x:c r="A13" s="2899" t="str">
        <x:v>BL-009</x:v>
      </x:c>
      <x:c r="B13" s="1521" t="str">
        <x:v>システム方式</x:v>
      </x:c>
      <x:c r="C13" s="1521" t="str">
        <x:v>処理順、Version、監査ログ</x:v>
      </x:c>
      <x:c r="D13" s="1521" t="str">
        <x:v>1.0</x:v>
      </x:c>
      <x:c r="E13" s="1521" t="str">
        <x:v>Soft Freeze</x:v>
      </x:c>
      <x:c r="F13" s="1521" t="str">
        <x:v>再現性・監査ログ省略</x:v>
      </x:c>
      <x:c r="G13" s="1521" t="str">
        <x:v>技術構成・クラウド選択</x:v>
      </x:c>
      <x:c r="H13" s="1521" t="str">
        <x:v>ベンダー提案</x:v>
      </x:c>
      <x:c r="I13" s="1521" t="str">
        <x:v>PM＋情報システム</x:v>
      </x:c>
      <x:c r="J13" s="1521" t="str">
        <x:v>受入・セキュリティ</x:v>
      </x:c>
      <x:c r="K13" s="1521" t="str">
        <x:v>運用・契約</x:v>
      </x:c>
      <x:c r="L13" s="1521" t="str">
        <x:v>Fit&amp;Gap承認</x:v>
      </x:c>
      <x:c r="M13" s="1521" t="str">
        <x:v>凍結候補</x:v>
      </x:c>
      <x:c r="N13" s="2900" t="str"/>
    </x:row>
    <x:row r="14">
      <x:c r="A14" s="2899" t="str">
        <x:v>BL-010</x:v>
      </x:c>
      <x:c r="B14" s="1521" t="str">
        <x:v>開発・運用統制</x:v>
      </x:c>
      <x:c r="C14" s="1521" t="str">
        <x:v>Phase Gate、RACI、変更管理、契約チェック</x:v>
      </x:c>
      <x:c r="D14" s="1521" t="str">
        <x:v>1.0</x:v>
      </x:c>
      <x:c r="E14" s="1521" t="str">
        <x:v>Process Freeze</x:v>
      </x:c>
      <x:c r="F14" s="1521" t="str">
        <x:v>Gateを経ず次工程へ移行</x:v>
      </x:c>
      <x:c r="G14" s="1521" t="str">
        <x:v>担当者名・日程</x:v>
      </x:c>
      <x:c r="H14" s="1521" t="str">
        <x:v>組織・契約変更</x:v>
      </x:c>
      <x:c r="I14" s="1521" t="str">
        <x:v>経営/事業責任者</x:v>
      </x:c>
      <x:c r="J14" s="1521" t="str">
        <x:v>該当Gate試験</x:v>
      </x:c>
      <x:c r="K14" s="1521" t="str">
        <x:v>予算・品質</x:v>
      </x:c>
      <x:c r="L14" s="1521" t="str">
        <x:v>経営承認</x:v>
      </x:c>
      <x:c r="M14" s="1521" t="str">
        <x:v>凍結</x:v>
      </x:c>
      <x:c r="N14" s="2900" t="str"/>
    </x:row>
    <x:row r="15">
      <x:c r="A15" s="2899" t="str">
        <x:v>BL-011</x:v>
      </x:c>
      <x:c r="B15" s="1521" t="str">
        <x:v>内製・段階成長モデル</x:v>
      </x:c>
      <x:c r="C15" s="1521" t="str">
        <x:v>外部開発費ゼロ、ノーコード・ローコード、月数件、営業個別紹介</x:v>
      </x:c>
      <x:c r="D15" s="1521" t="str">
        <x:v>1.1</x:v>
      </x:c>
      <x:c r="E15" s="1521" t="str">
        <x:v>Process Freeze</x:v>
      </x:c>
      <x:c r="F15" s="1521" t="str">
        <x:v>外部開発を前提とした先行投資</x:v>
      </x:c>
      <x:c r="G15" s="1521" t="str">
        <x:v>既存環境内の実装手段</x:v>
      </x:c>
      <x:c r="H15" s="1521" t="str">
        <x:v>運用量・社内環境変更</x:v>
      </x:c>
      <x:c r="I15" s="1521" t="str">
        <x:v>経営/事業責任者</x:v>
      </x:c>
      <x:c r="J15" s="1521" t="str">
        <x:v>Stage Gate</x:v>
      </x:c>
      <x:c r="K15" s="1521" t="str">
        <x:v>費用・運用・営業</x:v>
      </x:c>
      <x:c r="L15" s="1521" t="str">
        <x:v>正式方針変更</x:v>
      </x:c>
      <x:c r="M15" s="1521" t="str">
        <x:v>凍結</x:v>
      </x:c>
      <x:c r="N15" s="2900" t="str"/>
    </x:row>
    <x:row r="16">
      <x:c r="A16" s="2899" t="str">
        <x:v>BL-012</x:v>
      </x:c>
      <x:c r="B16" s="1521" t="str">
        <x:v>顧客対応モデル</x:v>
      </x:c>
      <x:c r="C16" s="1521" t="str">
        <x:v>メールでレポート要求後、メール・電話・訪問で個別対応</x:v>
      </x:c>
      <x:c r="D16" s="1521" t="str">
        <x:v>1.1</x:v>
      </x:c>
      <x:c r="E16" s="1521" t="str">
        <x:v>Hard Freeze</x:v>
      </x:c>
      <x:c r="F16" s="1521" t="str">
        <x:v>無承認の即時自動発行・自動接触</x:v>
      </x:c>
      <x:c r="G16" s="1521" t="str">
        <x:v>期限・連絡手段の改善</x:v>
      </x:c>
      <x:c r="H16" s="1521" t="str">
        <x:v>月件数増加・品質安定</x:v>
      </x:c>
      <x:c r="I16" s="1521" t="str">
        <x:v>営業責任者＋診断責任者</x:v>
      </x:c>
      <x:c r="J16" s="1521" t="str">
        <x:v>顧客対応テスト</x:v>
      </x:c>
      <x:c r="K16" s="1521" t="str">
        <x:v>営業・品質・誤送信</x:v>
      </x:c>
      <x:c r="L16" s="1521" t="str">
        <x:v>正式運用改訂</x:v>
      </x:c>
      <x:c r="M16" s="1521" t="str">
        <x:v>凍結</x:v>
      </x:c>
      <x:c r="N16" s="2900" t="str"/>
    </x:row>
    <x:row r="17">
      <x:c r="A17" s="2899" t="str">
        <x:v>BL-013</x:v>
      </x:c>
      <x:c r="B17" s="1521" t="str">
        <x:v>秘密情報取扱</x:v>
      </x:c>
      <x:c r="C17" s="1521" t="str">
        <x:v>アップロード情報を通常営業と同等の秘密情報として管理</x:v>
      </x:c>
      <x:c r="D17" s="1521" t="str">
        <x:v>1.1</x:v>
      </x:c>
      <x:c r="E17" s="1521" t="str">
        <x:v>Hard Freeze</x:v>
      </x:c>
      <x:c r="F17" s="1521" t="str">
        <x:v>公開共有、無断AI学習利用、権限外閲覧</x:v>
      </x:c>
      <x:c r="G17" s="1521" t="str">
        <x:v>保存先・期間の具体化</x:v>
      </x:c>
      <x:c r="H17" s="1521" t="str">
        <x:v>社内規程・サービス変更</x:v>
      </x:c>
      <x:c r="I17" s="1521" t="str">
        <x:v>情報システム＋管理責任者</x:v>
      </x:c>
      <x:c r="J17" s="1521" t="str">
        <x:v>権限・送付・事故対応</x:v>
      </x:c>
      <x:c r="K17" s="1521" t="str">
        <x:v>セキュリティ・契約</x:v>
      </x:c>
      <x:c r="L17" s="1521" t="str">
        <x:v>正式承認</x:v>
      </x:c>
      <x:c r="M17" s="1521" t="str">
        <x:v>凍結</x:v>
      </x:c>
      <x:c r="N17" s="2900" t="str"/>
    </x:row>
    <x:row r="18">
      <x:c r="A18" s="2899" t="str">
        <x:v>BL-014</x:v>
      </x:c>
      <x:c r="B18" s="1521" t="str">
        <x:v>フォーム・資料分離</x:v>
      </x:c>
      <x:c r="C18" s="1521" t="str">
        <x:v>公開フォームにファイル添付を設けず、資料は個別営業経路で受領</x:v>
      </x:c>
      <x:c r="D18" s="1521" t="str">
        <x:v>1.2</x:v>
      </x:c>
      <x:c r="E18" s="1521" t="str">
        <x:v>Hard Freeze</x:v>
      </x:c>
      <x:c r="F18" s="1521" t="str">
        <x:v>公開フォームでの顧客資料アップロード</x:v>
      </x:c>
      <x:c r="G18" s="1521" t="str">
        <x:v>フォーム項目・受領手段の改善</x:v>
      </x:c>
      <x:c r="H18" s="1521" t="str">
        <x:v>運用件数増加・安全な受領基盤整備</x:v>
      </x:c>
      <x:c r="I18" s="1521" t="str">
        <x:v>営業責任者＋情報システム</x:v>
      </x:c>
      <x:c r="J18" s="1521" t="str">
        <x:v>受付・送付・権限テスト</x:v>
      </x:c>
      <x:c r="K18" s="1521" t="str">
        <x:v>セキュリティ・顧客体験</x:v>
      </x:c>
      <x:c r="L18" s="1521" t="str">
        <x:v>正式改訂承認</x:v>
      </x:c>
      <x:c r="M18" s="1521" t="str">
        <x:v>凍結</x:v>
      </x:c>
      <x:c r="N18" s="2900" t="str"/>
    </x:row>
    <x:row r="19">
      <x:c r="A19" s="2899" t="str">
        <x:v>BL-015</x:v>
      </x:c>
      <x:c r="B19" s="1521" t="str">
        <x:v>AIへの顧客資料投入</x:v>
      </x:c>
      <x:c r="C19" s="1521" t="str">
        <x:v>確認済みAIサービスで、統制下に顧客資料を利用可能</x:v>
      </x:c>
      <x:c r="D19" s="1521" t="str">
        <x:v>1.2</x:v>
      </x:c>
      <x:c r="E19" s="1521" t="str">
        <x:v>Process Freeze</x:v>
      </x:c>
      <x:c r="F19" s="1521" t="str">
        <x:v>無目的・無権限・無記録の投入</x:v>
      </x:c>
      <x:c r="G19" s="1521" t="str">
        <x:v>資料区分別の利用範囲</x:v>
      </x:c>
      <x:c r="H19" s="1521" t="str">
        <x:v>契約・仕様・社内規程変更</x:v>
      </x:c>
      <x:c r="I19" s="1521" t="str">
        <x:v>情報システム＋管理責任者</x:v>
      </x:c>
      <x:c r="J19" s="1521" t="str">
        <x:v>権限・履歴・削除テスト</x:v>
      </x:c>
      <x:c r="K19" s="1521" t="str">
        <x:v>情報管理・診断品質</x:v>
      </x:c>
      <x:c r="L19" s="1521" t="str">
        <x:v>再確認完了</x:v>
      </x:c>
      <x:c r="M19" s="1521" t="str">
        <x:v>凍結</x:v>
      </x:c>
      <x:c r="N19" s="2900" t="str"/>
    </x:row>
    <x:row r="20">
      <x:c r="A20" s="2899" t="str">
        <x:v>BL-016</x:v>
      </x:c>
      <x:c r="B20" s="1521" t="str">
        <x:v>Stage0確認</x:v>
      </x:c>
      <x:c r="C20" s="1521" t="str">
        <x:v>既存環境・追加費用・情報管理条件を51で確認してから実装方式を確定</x:v>
      </x:c>
      <x:c r="D20" s="1521" t="str">
        <x:v>1.3</x:v>
      </x:c>
      <x:c r="E20" s="1521" t="str">
        <x:v>Process Freeze</x:v>
      </x:c>
      <x:c r="F20" s="1521" t="str">
        <x:v>未確認のサービスを本番利用</x:v>
      </x:c>
      <x:c r="G20" s="1521" t="str">
        <x:v>回答に基づく候補変更</x:v>
      </x:c>
      <x:c r="H20" s="1521" t="str">
        <x:v>契約・環境変更</x:v>
      </x:c>
      <x:c r="I20" s="1521" t="str">
        <x:v>情報システム＋事業責任者</x:v>
      </x:c>
      <x:c r="J20" s="1521" t="str">
        <x:v>Stage0確認</x:v>
      </x:c>
      <x:c r="K20" s="1521" t="str">
        <x:v>費用・セキュリティ</x:v>
      </x:c>
      <x:c r="L20" s="1521" t="str">
        <x:v>全S項目回答</x:v>
      </x:c>
      <x:c r="M20" s="1521" t="str">
        <x:v>凍結</x:v>
      </x:c>
      <x:c r="N20" s="2900" t="str"/>
    </x:row>
    <x:row r="21">
      <x:c r="A21" s="2899" t="str">
        <x:v>BL-017</x:v>
      </x:c>
      <x:c r="B21" s="1521" t="str">
        <x:v>Stage1構築順序</x:v>
      </x:c>
      <x:c r="C21" s="1521" t="str">
        <x:v>公開Webを先に完成・公開し、受付は期間外として停止。模擬3件とS項目合格後に受付開始</x:v>
      </x:c>
      <x:c r="D21" s="1521" t="str">
        <x:v>1.4</x:v>
      </x:c>
      <x:c r="E21" s="1521" t="str">
        <x:v>Hard Freeze</x:v>
      </x:c>
      <x:c r="F21" s="1521" t="str">
        <x:v>社内MVP完成まで公開Webを作らないこと、または未検証で一般受付を開始すること</x:v>
      </x:c>
      <x:c r="G21" s="1521" t="str">
        <x:v>Stage1A・1Bの並行実施、表示文言・テスト経路</x:v>
      </x:c>
      <x:c r="H21" s="1521" t="str">
        <x:v>実装制約・社内運用変更</x:v>
      </x:c>
      <x:c r="I21" s="1521" t="str">
        <x:v>事業責任者＋情報システム</x:v>
      </x:c>
      <x:c r="J21" s="1521" t="str">
        <x:v>55・56のS項目</x:v>
      </x:c>
      <x:c r="K21" s="1521" t="str">
        <x:v>公開品質・運用・顧客対応</x:v>
      </x:c>
      <x:c r="L21" s="1521" t="str">
        <x:v>受付開始判定Go</x:v>
      </x:c>
      <x:c r="M21" s="1521" t="str">
        <x:v>凍結</x:v>
      </x:c>
      <x:c r="N21" s="2900" t="str">
        <x:v>公開Webは先行、受付のみ期間外</x:v>
      </x:c>
    </x:row>
    <x:row r="22">
      <x:c r="A22" s="2899" t="str">
        <x:v>BL-018</x:v>
      </x:c>
      <x:c r="B22" s="1521" t="str">
        <x:v>LP基本構成</x:v>
      </x:c>
      <x:c r="C22" s="1521" t="str">
        <x:v>57の価値訴求、利用フロー、資料分離、AI説明、期間外表示</x:v>
      </x:c>
      <x:c r="D22" s="1521" t="str">
        <x:v>1.5</x:v>
      </x:c>
      <x:c r="E22" s="1521" t="str">
        <x:v>Soft Freeze</x:v>
      </x:c>
      <x:c r="F22" s="1521" t="str">
        <x:v>即時自動診断・資料添付の追加</x:v>
      </x:c>
      <x:c r="G22" s="1521" t="str">
        <x:v>表現・デザイン調整</x:v>
      </x:c>
      <x:c r="H22" s="1521" t="str">
        <x:v>Web制約・利用者テスト</x:v>
      </x:c>
      <x:c r="I22" s="1521" t="str">
        <x:v>事業責任者</x:v>
      </x:c>
      <x:c r="J22" s="1521" t="str">
        <x:v>61_Web受入</x:v>
      </x:c>
      <x:c r="K22" s="1521" t="str">
        <x:v>顧客体験・誤認</x:v>
      </x:c>
      <x:c r="L22" s="1521" t="str">
        <x:v>変更管理承認</x:v>
      </x:c>
      <x:c r="M22" s="1521" t="str">
        <x:v>凍結候補</x:v>
      </x:c>
      <x:c r="N22" s="2900" t="str"/>
    </x:row>
    <x:row r="23">
      <x:c r="A23" s="2899" t="str">
        <x:v>BL-019</x:v>
      </x:c>
      <x:c r="B23" s="1521" t="str">
        <x:v>受付状態制御</x:v>
      </x:c>
      <x:c r="C23" s="1521" t="str">
        <x:v>公開、期間外、社内テスト、受付開始、一時停止を切替可能とする</x:v>
      </x:c>
      <x:c r="D23" s="1521" t="str">
        <x:v>1.5</x:v>
      </x:c>
      <x:c r="E23" s="1521" t="str">
        <x:v>Hard Freeze</x:v>
      </x:c>
      <x:c r="F23" s="1521" t="str">
        <x:v>停止手段なしで受付開始</x:v>
      </x:c>
      <x:c r="G23" s="1521" t="str">
        <x:v>実装方法</x:v>
      </x:c>
      <x:c r="H23" s="1521" t="str">
        <x:v>Web環境変更</x:v>
      </x:c>
      <x:c r="I23" s="1521" t="str">
        <x:v>情報システム＋事業責任者</x:v>
      </x:c>
      <x:c r="J23" s="1521" t="str">
        <x:v>WEB-T02/03/14/15</x:v>
      </x:c>
      <x:c r="K23" s="1521" t="str">
        <x:v>障害・秘密情報</x:v>
      </x:c>
      <x:c r="L23" s="1521" t="str">
        <x:v>Go判定</x:v>
      </x:c>
      <x:c r="M23" s="1521" t="str">
        <x:v>凍結</x:v>
      </x:c>
      <x:c r="N23" s="2900" t="str"/>
    </x:row>
    <x:row r="24">
      <x:c r="A24" s="2899" t="str">
        <x:v>BL-020</x:v>
      </x:c>
      <x:c r="B24" s="1521" t="str">
        <x:v>独立LP構成</x:v>
      </x:c>
      <x:c r="C24" s="1521" t="str">
        <x:v>Energy Doctorはenergy-doctor.sawa-em.co.jpを第一候補とする独立LPで開始</x:v>
      </x:c>
      <x:c r="D24" s="1521" t="str">
        <x:v>1.6</x:v>
      </x:c>
      <x:c r="E24" s="1521" t="str">
        <x:v>Hard Freeze</x:v>
      </x:c>
      <x:c r="F24" s="1521" t="str">
        <x:v>既存公式サイト内への組込みを前提とすること</x:v>
      </x:c>
      <x:c r="G24" s="1521" t="str">
        <x:v>公開基盤・URLの技術的代替</x:v>
      </x:c>
      <x:c r="H24" s="1521" t="str">
        <x:v>DNS・契約制約</x:v>
      </x:c>
      <x:c r="I24" s="1521" t="str">
        <x:v>事業責任者＋情報システム</x:v>
      </x:c>
      <x:c r="J24" s="1521" t="str">
        <x:v>63確認票・61受入</x:v>
      </x:c>
      <x:c r="K24" s="1521" t="str">
        <x:v>開始速度・公式性・運用</x:v>
      </x:c>
      <x:c r="L24" s="1521" t="str">
        <x:v>変更管理承認</x:v>
      </x:c>
      <x:c r="M24" s="1521" t="str">
        <x:v>凍結</x:v>
      </x:c>
      <x:c r="N24" s="2900" t="str"/>
    </x:row>
    <x:row r="25">
      <x:c r="A25" s="2899" t="str">
        <x:v>BL-021</x:v>
      </x:c>
      <x:c r="B25" s="1521" t="str">
        <x:v>相互リンク</x:v>
      </x:c>
      <x:c r="C25" s="1521" t="str">
        <x:v>既存公式サイトと独立LPを関連サイトとして相互リンク</x:v>
      </x:c>
      <x:c r="D25" s="1521" t="str">
        <x:v>1.6</x:v>
      </x:c>
      <x:c r="E25" s="1521" t="str">
        <x:v>Hard Freeze</x:v>
      </x:c>
      <x:c r="F25" s="1521" t="str">
        <x:v>運営主体が不明な独立サイトとして公開</x:v>
      </x:c>
      <x:c r="G25" s="1521" t="str">
        <x:v>リンク位置・文言</x:v>
      </x:c>
      <x:c r="H25" s="1521" t="str">
        <x:v>既存サイト制約</x:v>
      </x:c>
      <x:c r="I25" s="1521" t="str">
        <x:v>営業責任者＋Web担当</x:v>
      </x:c>
      <x:c r="J25" s="1521" t="str">
        <x:v>リンク遷移テスト</x:v>
      </x:c>
      <x:c r="K25" s="1521" t="str">
        <x:v>信頼性・顧客導線</x:v>
      </x:c>
      <x:c r="L25" s="1521" t="str">
        <x:v>双方リンク確認</x:v>
      </x:c>
      <x:c r="M25" s="1521" t="str">
        <x:v>凍結</x:v>
      </x:c>
      <x:c r="N25" s="2900" t="str"/>
    </x:row>
    <x:row r="26">
      <x:c r="A26" s="2899" t="str">
        <x:v>BL-022</x:v>
      </x:c>
      <x:c r="B26" s="1521" t="str">
        <x:v>情シス確認方式</x:v>
      </x:c>
      <x:c r="C26" s="1521" t="str">
        <x:v>事業側で独立LP構成を仮決定し、情シスは実現可否・制約・代替・費用を確認</x:v>
      </x:c>
      <x:c r="D26" s="1521" t="str">
        <x:v>1.7</x:v>
      </x:c>
      <x:c r="E26" s="1521" t="str">
        <x:v>Process Freeze</x:v>
      </x:c>
      <x:c r="F26" s="1521" t="str">
        <x:v>白紙状態から情シスへ構成案作成を依頼すること</x:v>
      </x:c>
      <x:c r="G26" s="1521" t="str">
        <x:v>技術制約に基づく代替案</x:v>
      </x:c>
      <x:c r="H26" s="1521" t="str">
        <x:v>社内基盤・契約変更</x:v>
      </x:c>
      <x:c r="I26" s="1521" t="str">
        <x:v>事業責任者＋情報システム</x:v>
      </x:c>
      <x:c r="J26" s="1521" t="str">
        <x:v>63・64回答完了</x:v>
      </x:c>
      <x:c r="K26" s="1521" t="str">
        <x:v>意思決定速度・責任分担</x:v>
      </x:c>
      <x:c r="L26" s="1521" t="str">
        <x:v>総合結論可または条件付き可</x:v>
      </x:c>
      <x:c r="M26" s="1521" t="str">
        <x:v>凍結</x:v>
      </x:c>
      <x:c r="N26" s="2900" t="str"/>
    </x:row>
    <x:row r="27">
      <x:c r="A27" s="2899" t="str">
        <x:v>BL-023</x:v>
      </x:c>
      <x:c r="B27" s="1521" t="str">
        <x:v>LP情報順序</x:v>
      </x:c>
      <x:c r="C27" s="1521" t="str">
        <x:v>65のファーストビュー→価値→対象→4分野→A3→流れ→資料→AI→FAQ→フォーム→フッター</x:v>
      </x:c>
      <x:c r="D27" s="1521" t="str">
        <x:v>1.8</x:v>
      </x:c>
      <x:c r="E27" s="1521" t="str">
        <x:v>Soft Freeze</x:v>
      </x:c>
      <x:c r="F27" s="1521" t="str">
        <x:v>顧客導線を損なう大幅な順序変更</x:v>
      </x:c>
      <x:c r="G27" s="1521" t="str">
        <x:v>表示形式・デザイン調整</x:v>
      </x:c>
      <x:c r="H27" s="1521" t="str">
        <x:v>ユーザーテスト・Web制約</x:v>
      </x:c>
      <x:c r="I27" s="1521" t="str">
        <x:v>事業責任者</x:v>
      </x:c>
      <x:c r="J27" s="1521" t="str">
        <x:v>61受入</x:v>
      </x:c>
      <x:c r="K27" s="1521" t="str">
        <x:v>顧客体験・CV</x:v>
      </x:c>
      <x:c r="L27" s="1521" t="str">
        <x:v>変更管理承認</x:v>
      </x:c>
      <x:c r="M27" s="1521" t="str">
        <x:v>凍結候補</x:v>
      </x:c>
      <x:c r="N27" s="2900" t="str"/>
    </x:row>
    <x:row r="28">
      <x:c r="A28" s="2899" t="str">
        <x:v>BL-024</x:v>
      </x:c>
      <x:c r="B28" s="1521" t="str">
        <x:v>LP完成稿</x:v>
      </x:c>
      <x:c r="C28" s="1521" t="str">
        <x:v>66の顧客向け完成稿を掲載文章の正とする</x:v>
      </x:c>
      <x:c r="D28" s="1521" t="str">
        <x:v>1.8</x:v>
      </x:c>
      <x:c r="E28" s="1521" t="str">
        <x:v>Soft Freeze</x:v>
      </x:c>
      <x:c r="F28" s="1521" t="str">
        <x:v>未承認表現、即時診断・効果保証の追加</x:v>
      </x:c>
      <x:c r="G28" s="1521" t="str">
        <x:v>文字量・語尾・UI短縮</x:v>
      </x:c>
      <x:c r="H28" s="1521" t="str">
        <x:v>法務・実装制約</x:v>
      </x:c>
      <x:c r="I28" s="1521" t="str">
        <x:v>事業/診断/管理責任者</x:v>
      </x:c>
      <x:c r="J28" s="1521" t="str">
        <x:v>文章レビュー</x:v>
      </x:c>
      <x:c r="K28" s="1521" t="str">
        <x:v>誤認・信用・法務</x:v>
      </x:c>
      <x:c r="L28" s="1521" t="str">
        <x:v>承認記録</x:v>
      </x:c>
      <x:c r="M28" s="1521" t="str">
        <x:v>凍結候補</x:v>
      </x:c>
      <x:c r="N28" s="2900" t="str"/>
    </x:row>
    <x:row r="29">
      <x:c r="A29" s="2899" t="str">
        <x:v>BL-025</x:v>
      </x:c>
      <x:c r="B29" s="1521" t="str">
        <x:v>受付状態表示</x:v>
      </x:c>
      <x:c r="C29" s="1521" t="str">
        <x:v>期間外・社内テスト・受付開始・一時停止でCTAと文面を切替</x:v>
      </x:c>
      <x:c r="D29" s="1521" t="str">
        <x:v>1.8</x:v>
      </x:c>
      <x:c r="E29" s="1521" t="str">
        <x:v>Hard Freeze</x:v>
      </x:c>
      <x:c r="F29" s="1521" t="str">
        <x:v>期間外に一般送信可能な状態</x:v>
      </x:c>
      <x:c r="G29" s="1521" t="str">
        <x:v>技術実装方式</x:v>
      </x:c>
      <x:c r="H29" s="1521" t="str">
        <x:v>LP基盤変更</x:v>
      </x:c>
      <x:c r="I29" s="1521" t="str">
        <x:v>情シス＋事業責任者</x:v>
      </x:c>
      <x:c r="J29" s="1521" t="str">
        <x:v>61/67テスト</x:v>
      </x:c>
      <x:c r="K29" s="1521" t="str">
        <x:v>事故・顧客混乱</x:v>
      </x:c>
      <x:c r="L29" s="1521" t="str">
        <x:v>全S合格</x:v>
      </x:c>
      <x:c r="M29" s="1521" t="str">
        <x:v>凍結</x:v>
      </x:c>
      <x:c r="N29" s="2900" t="str"/>
    </x:row>
    <x:row r="30">
      <x:c r="A30" s="2899" t="str">
        <x:v>BL-026</x:v>
      </x:c>
      <x:c r="B30" s="1521" t="str">
        <x:v>公開質問セット</x:v>
      </x:c>
      <x:c r="C30" s="1521" t="str">
        <x:v>初期公開は68の18項目を基本とし、10～15分で回答可能な量とする</x:v>
      </x:c>
      <x:c r="D30" s="1521" t="str">
        <x:v>1.9</x:v>
      </x:c>
      <x:c r="E30" s="1521" t="str">
        <x:v>Soft Freeze</x:v>
      </x:c>
      <x:c r="F30" s="1521" t="str">
        <x:v>全詳細質問を初期Webへ掲載</x:v>
      </x:c>
      <x:c r="G30" s="1521" t="str">
        <x:v>質問順・表現・分割</x:v>
      </x:c>
      <x:c r="H30" s="1521" t="str">
        <x:v>Web制約・模擬試験</x:v>
      </x:c>
      <x:c r="I30" s="1521" t="str">
        <x:v>診断責任者</x:v>
      </x:c>
      <x:c r="J30" s="1521" t="str">
        <x:v>フォームテスト</x:v>
      </x:c>
      <x:c r="K30" s="1521" t="str">
        <x:v>離脱・診断品質</x:v>
      </x:c>
      <x:c r="L30" s="1521" t="str">
        <x:v>変更管理承認</x:v>
      </x:c>
      <x:c r="M30" s="1521" t="str">
        <x:v>凍結候補</x:v>
      </x:c>
      <x:c r="N30" s="2900" t="str"/>
    </x:row>
    <x:row r="31">
      <x:c r="A31" s="2899" t="str">
        <x:v>BL-027</x:v>
      </x:c>
      <x:c r="B31" s="1521" t="str">
        <x:v>LP A3サンプル</x:v>
      </x:c>
      <x:c r="C31" s="1521" t="str">
        <x:v>実顧客情報を使わず、69の架空条件とSAMPLE表示で制作</x:v>
      </x:c>
      <x:c r="D31" s="1521" t="str">
        <x:v>1.9</x:v>
      </x:c>
      <x:c r="E31" s="1521" t="str">
        <x:v>Hard Freeze</x:v>
      </x:c>
      <x:c r="F31" s="1521" t="str">
        <x:v>実顧客情報・実案件数値の掲載</x:v>
      </x:c>
      <x:c r="G31" s="1521" t="str">
        <x:v>架空数値・レイアウト</x:v>
      </x:c>
      <x:c r="H31" s="1521" t="str">
        <x:v>表示確認</x:v>
      </x:c>
      <x:c r="I31" s="1521" t="str">
        <x:v>診断/事業責任者</x:v>
      </x:c>
      <x:c r="J31" s="1521" t="str">
        <x:v>サンプルレビュー</x:v>
      </x:c>
      <x:c r="K31" s="1521" t="str">
        <x:v>秘密情報・誤認</x:v>
      </x:c>
      <x:c r="L31" s="1521" t="str">
        <x:v>承認記録</x:v>
      </x:c>
      <x:c r="M31" s="1521" t="str">
        <x:v>凍結</x:v>
      </x:c>
      <x:c r="N31" s="2900" t="str"/>
    </x:row>
    <x:row r="32">
      <x:c r="A32" s="2899" t="str">
        <x:v>BL-028</x:v>
      </x:c>
      <x:c r="B32" s="1521" t="str">
        <x:v>情シス提示前レビュー</x:v>
      </x:c>
      <x:c r="C32" s="1521" t="str">
        <x:v>70の全不適合解消後に71を提示</x:v>
      </x:c>
      <x:c r="D32" s="1521" t="str">
        <x:v>1.9</x:v>
      </x:c>
      <x:c r="E32" s="1521" t="str">
        <x:v>Process Freeze</x:v>
      </x:c>
      <x:c r="F32" s="1521" t="str">
        <x:v>未承認コピー・質問・サンプルの提示</x:v>
      </x:c>
      <x:c r="G32" s="1521" t="str">
        <x:v>条件付き適合の期限管理</x:v>
      </x:c>
      <x:c r="H32" s="1521" t="str">
        <x:v>社内日程</x:v>
      </x:c>
      <x:c r="I32" s="1521" t="str">
        <x:v>事業責任者</x:v>
      </x:c>
      <x:c r="J32" s="1521" t="str">
        <x:v>GT-LP1</x:v>
      </x:c>
      <x:c r="K32" s="1521" t="str">
        <x:v>手戻り・責任分担</x:v>
      </x:c>
      <x:c r="L32" s="1521" t="str">
        <x:v>レビュー完了</x:v>
      </x:c>
      <x:c r="M32" s="1521" t="str">
        <x:v>凍結</x:v>
      </x:c>
      <x:c r="N32" s="2900" t="str"/>
    </x:row>
    <x:row r="33">
      <x:c r="A33" s="2899"/>
      <x:c r="B33" s="1521"/>
      <x:c r="C33" s="1521"/>
      <x:c r="D33" s="1521"/>
      <x:c r="E33" s="1521"/>
      <x:c r="F33" s="1521"/>
      <x:c r="G33" s="1521"/>
      <x:c r="H33" s="1521"/>
      <x:c r="I33" s="1521"/>
      <x:c r="J33" s="1521"/>
      <x:c r="K33" s="1521"/>
      <x:c r="L33" s="1521"/>
      <x:c r="M33" s="1521"/>
      <x:c r="N33" s="2900"/>
    </x:row>
    <x:row r="34">
      <x:c r="A34" s="2899"/>
      <x:c r="B34" s="1521"/>
      <x:c r="C34" s="1521"/>
      <x:c r="D34" s="1521"/>
      <x:c r="E34" s="1521"/>
      <x:c r="F34" s="1521"/>
      <x:c r="G34" s="1521"/>
      <x:c r="H34" s="1521"/>
      <x:c r="I34" s="1521"/>
      <x:c r="J34" s="1521"/>
      <x:c r="K34" s="1521"/>
      <x:c r="L34" s="1521"/>
      <x:c r="M34" s="1521"/>
      <x:c r="N34" s="2900"/>
    </x:row>
    <x:row r="35">
      <x:c r="A35" s="2899" t="str">
        <x:v>BL-031</x:v>
      </x:c>
      <x:c r="B35" s="1521" t="str">
        <x:v>LP基盤第一候補</x:v>
      </x:c>
      <x:c r="C35" s="1521" t="str">
        <x:v>Cloudflare Pages＋Microsoft Formsを事業側第一候補として仮決定</x:v>
      </x:c>
      <x:c r="D35" s="1521" t="str">
        <x:v>2.1</x:v>
      </x:c>
      <x:c r="E35" s="1521" t="str">
        <x:v>Soft Freeze</x:v>
      </x:c>
      <x:c r="F35" s="1521" t="str">
        <x:v>比較なしで別基盤へ変更</x:v>
      </x:c>
      <x:c r="G35" s="1521" t="str">
        <x:v>情シス制約に基づく代替</x:v>
      </x:c>
      <x:c r="H35" s="1521" t="str">
        <x:v>規程・技術・費用</x:v>
      </x:c>
      <x:c r="I35" s="1521" t="str">
        <x:v>事業責任者</x:v>
      </x:c>
      <x:c r="J35" s="1521" t="str">
        <x:v>72/73</x:v>
      </x:c>
      <x:c r="K35" s="1521" t="str">
        <x:v>費用・速度・運用</x:v>
      </x:c>
      <x:c r="L35" s="1521" t="str">
        <x:v>情シス確認</x:v>
      </x:c>
      <x:c r="M35" s="1521" t="str">
        <x:v>凍結候補</x:v>
      </x:c>
      <x:c r="N35" s="2900" t="str"/>
    </x:row>
    <x:row r="36">
      <x:c r="A36" s="2901" t="str">
        <x:v>BL-032</x:v>
      </x:c>
      <x:c r="B36" s="2902" t="str">
        <x:v>仮構築先行</x:v>
      </x:c>
      <x:c r="C36" s="2902" t="str">
        <x:v>DNS本番接続前にpages.dev仮URLとFormsでLPを構築・試験</x:v>
      </x:c>
      <x:c r="D36" s="2902" t="str">
        <x:v>2.1</x:v>
      </x:c>
      <x:c r="E36" s="2902" t="str">
        <x:v>Process Freeze</x:v>
      </x:c>
      <x:c r="F36" s="2902" t="str">
        <x:v>DNS回答まで制作を停止</x:v>
      </x:c>
      <x:c r="G36" s="2902" t="str">
        <x:v>仮環境の技術変更</x:v>
      </x:c>
      <x:c r="H36" s="2902" t="str">
        <x:v>基盤利用不可</x:v>
      </x:c>
      <x:c r="I36" s="2902" t="str">
        <x:v>事業責任者</x:v>
      </x:c>
      <x:c r="J36" s="2902" t="str">
        <x:v>74 Step1～7</x:v>
      </x:c>
      <x:c r="K36" s="2902" t="str">
        <x:v>開始速度</x:v>
      </x:c>
      <x:c r="L36" s="2902" t="str">
        <x:v>仮URL試験完了</x:v>
      </x:c>
      <x:c r="M36" s="2902" t="str">
        <x:v>凍結</x:v>
      </x:c>
      <x:c r="N36" s="2903" t="str"/>
    </x:row>
    <x:row r="37" ht="90" customHeight="1">
      <x:c r="A37" s="2364" t="str">
        <x:v>BL-033</x:v>
      </x:c>
      <x:c r="B37" s="2364" t="str">
        <x:v>公開Web診断補足仕様</x:v>
      </x:c>
      <x:c r="C37" s="2364" t="str">
        <x:v>Unknown再正規化＋情報充足率、Web_EDI 40/20/20/20維持、要確認事項/Guardrail判定保留レイヤー</x:v>
      </x:c>
      <x:c r="D37" s="2364" t="str">
        <x:v>2.3</x:v>
      </x:c>
      <x:c r="E37" s="2364" t="str">
        <x:v>Soft Freeze</x:v>
      </x:c>
      <x:c r="F37" s="2364" t="str">
        <x:v>実装側判断によるUnknown集約方式・Web_EDI加重・Issue可視化の変更</x:v>
      </x:c>
      <x:c r="G37" s="2364" t="str">
        <x:v>最低情報充足率閾値・顧客向け文言・WQ-Q対応根拠の確定</x:v>
      </x:c>
      <x:c r="H37" s="2364" t="str">
        <x:v>Pilot受入結果・正式Traceability確定</x:v>
      </x:c>
      <x:c r="I37" s="2364" t="str">
        <x:v>診断責任者</x:v>
      </x:c>
      <x:c r="J37" s="2364" t="str">
        <x:v>TC-A/B/C＋Task2＋Pilot</x:v>
      </x:c>
      <x:c r="K37" s="2364" t="str">
        <x:v>Web_KPI・TOP5・A3・LP</x:v>
      </x:c>
      <x:c r="L37" s="2364" t="str">
        <x:v>正式改訂承認</x:v>
      </x:c>
      <x:c r="M37" s="2364" t="str">
        <x:v>Approved / Implementation Pending</x:v>
      </x:c>
      <x:c r="N37" s="2364" t="str">
        <x:v>ED-DI-002〜005</x:v>
      </x:c>
    </x:row>
  </x:sheetData>
  <x:mergeCells>
    <x:mergeCell ref="A1:N1"/>
    <x:mergeCell ref="A2:N2"/>
  </x:mergeCells>
  <x:dataValidations count="2">
    <x:dataValidation type="list" sqref="E5:E14">
      <x:formula1>"Hard Freeze,Soft Freeze,Process Freeze"</x:formula1>
    </x:dataValidation>
    <x:dataValidation type="list" sqref="M5:M14">
      <x:formula1>"凍結,凍結候補,解除申請,改訂中,廃止"</x:formula1>
    </x:dataValidation>
  </x:dataValidations>
  <x:pageMargins left="0.7" right="0.7" top="0.75" bottom="0.75" header="0.3" footer="0.3"/>
</x:worksheet>
</file>

<file path=xl/worksheets/sheet40.xml><?xml version="1.0" encoding="utf-8"?>
<x:worksheet xmlns:x="http://schemas.openxmlformats.org/spreadsheetml/2006/main">
  <x:sheetFormatPr defaultRowHeight="15"/>
  <x:cols>
    <x:col min="1" max="1" width="14" hidden="0" customWidth="1"/>
    <x:col min="2" max="2" width="20" hidden="0" customWidth="1"/>
    <x:col min="3" max="3" width="38" hidden="0" customWidth="1"/>
    <x:col min="4" max="4" width="32" hidden="0" customWidth="1"/>
    <x:col min="5" max="5" width="12" hidden="0" customWidth="1"/>
    <x:col min="6" max="6" width="12" hidden="0" customWidth="1"/>
    <x:col min="7" max="7" width="12" hidden="0" customWidth="1"/>
    <x:col min="8" max="8" width="14" hidden="0" customWidth="1"/>
    <x:col min="9" max="9" width="20" hidden="0" customWidth="1"/>
    <x:col min="10" max="10" width="36" hidden="0" customWidth="1"/>
    <x:col min="11" max="11" width="20" hidden="0" customWidth="1"/>
    <x:col min="12" max="12" width="18" hidden="0" customWidth="1"/>
    <x:col min="13" max="13" width="14" hidden="0" customWidth="1"/>
    <x:col min="14" max="14" width="14" hidden="0" customWidth="1"/>
    <x:col min="15" max="15" width="28" hidden="0" customWidth="1"/>
    <x:col min="16" max="16" width="22" hidden="0" customWidth="1"/>
  </x:cols>
  <x:sheetData>
    <x:row r="1" ht="28" customHeight="1">
      <x:c r="A1" s="1684" t="str">
        <x:v>39_開発バックログ</x:v>
      </x:c>
      <x:c r="B1" s="1684"/>
      <x:c r="C1" s="1684"/>
      <x:c r="D1" s="1684"/>
      <x:c r="E1" s="1684"/>
      <x:c r="F1" s="1684"/>
      <x:c r="G1" s="1684"/>
      <x:c r="H1" s="1684"/>
      <x:c r="I1" s="1684"/>
      <x:c r="J1" s="1684"/>
      <x:c r="K1" s="1684"/>
      <x:c r="L1" s="1684"/>
      <x:c r="M1" s="1684"/>
      <x:c r="N1" s="1684"/>
      <x:c r="O1" s="1684"/>
      <x:c r="P1" s="1684"/>
    </x:row>
    <x:row r="2" ht="36" customHeight="1">
      <x:c r="A2" s="1687" t="str">
        <x:v>Version1.0を実装可能なEpic・Storyへ分解し、Phase、優先度、受入条件、依存関係を管理。</x:v>
      </x:c>
      <x:c r="B2" s="1687"/>
      <x:c r="C2" s="1687"/>
      <x:c r="D2" s="1687"/>
      <x:c r="E2" s="1687"/>
      <x:c r="F2" s="1687"/>
      <x:c r="G2" s="1687"/>
      <x:c r="H2" s="1687"/>
      <x:c r="I2" s="1687"/>
      <x:c r="J2" s="1687"/>
      <x:c r="K2" s="1687"/>
      <x:c r="L2" s="1687"/>
      <x:c r="M2" s="1687"/>
      <x:c r="N2" s="1687"/>
      <x:c r="O2" s="1687"/>
      <x:c r="P2" s="1687"/>
    </x:row>
    <x:row r="4" ht="38" customHeight="1">
      <x:c r="A4" s="1699" t="str">
        <x:v>Backlog ID</x:v>
      </x:c>
      <x:c r="B4" s="1700" t="str">
        <x:v>Epic</x:v>
      </x:c>
      <x:c r="C4" s="1700" t="str">
        <x:v>User Story / 作業</x:v>
      </x:c>
      <x:c r="D4" s="1700" t="str">
        <x:v>利用者価値</x:v>
      </x:c>
      <x:c r="E4" s="1700" t="str">
        <x:v>Phase</x:v>
      </x:c>
      <x:c r="F4" s="1700" t="str">
        <x:v>優先度</x:v>
      </x:c>
      <x:c r="G4" s="1700" t="str">
        <x:v>必須</x:v>
      </x:c>
      <x:c r="H4" s="1700" t="str">
        <x:v>概算規模</x:v>
      </x:c>
      <x:c r="I4" s="1700" t="str">
        <x:v>依存</x:v>
      </x:c>
      <x:c r="J4" s="1700" t="str">
        <x:v>受入条件</x:v>
      </x:c>
      <x:c r="K4" s="1700" t="str">
        <x:v>関連仕様</x:v>
      </x:c>
      <x:c r="L4" s="1700" t="str">
        <x:v>担当候補</x:v>
      </x:c>
      <x:c r="M4" s="1700" t="str">
        <x:v>状態</x:v>
      </x:c>
      <x:c r="N4" s="1700" t="str">
        <x:v>Sprint</x:v>
      </x:c>
      <x:c r="O4" s="1700" t="str">
        <x:v>完了条件</x:v>
      </x:c>
      <x:c r="P4" s="1701" t="str">
        <x:v>備考</x:v>
      </x:c>
    </x:row>
    <x:row r="5">
      <x:c r="A5" s="1718" t="str">
        <x:v>PB-001</x:v>
      </x:c>
      <x:c r="B5" s="1719" t="str">
        <x:v>診断セッション</x:v>
      </x:c>
      <x:c r="C5" s="1719" t="str">
        <x:v>同意後に診断IDを発行し途中保存する</x:v>
      </x:c>
      <x:c r="D5" s="1719" t="str">
        <x:v>途中離脱後も再開できる</x:v>
      </x:c>
      <x:c r="E5" s="1719" t="str">
        <x:v>1/2</x:v>
      </x:c>
      <x:c r="F5" s="1719" t="str">
        <x:v>S</x:v>
      </x:c>
      <x:c r="G5" s="1719" t="str">
        <x:v>必須</x:v>
      </x:c>
      <x:c r="H5" s="1719" t="str">
        <x:v>M</x:v>
      </x:c>
      <x:c r="I5" s="1719" t="str">
        <x:v>SYS-01/02</x:v>
      </x:c>
      <x:c r="J5" s="1719" t="str">
        <x:v>AT-001合格</x:v>
      </x:c>
      <x:c r="K5" s="1719" t="str">
        <x:v>20～23</x:v>
      </x:c>
      <x:c r="L5" s="1719" t="str">
        <x:v>Backend</x:v>
      </x:c>
      <x:c r="M5" s="1719" t="str">
        <x:v>未着手</x:v>
      </x:c>
      <x:c r="N5" s="1719" t="str"/>
      <x:c r="O5" s="1719" t="str">
        <x:v>保存・復元・分離確認</x:v>
      </x:c>
      <x:c r="P5" s="1720" t="str"/>
    </x:row>
    <x:row r="6">
      <x:c r="A6" s="1721" t="str">
        <x:v>PB-002</x:v>
      </x:c>
      <x:c r="B6" s="1521" t="str">
        <x:v>質問表示</x:v>
      </x:c>
      <x:c r="C6" s="1521" t="str">
        <x:v>質問マスターからGuardrail/EDI/DRI/EPIを表示</x:v>
      </x:c>
      <x:c r="D6" s="1521" t="str">
        <x:v>Version付き質問を正しく回答できる</x:v>
      </x:c>
      <x:c r="E6" s="1521" t="str">
        <x:v>2</x:v>
      </x:c>
      <x:c r="F6" s="1521" t="str">
        <x:v>S</x:v>
      </x:c>
      <x:c r="G6" s="1521" t="str">
        <x:v>必須</x:v>
      </x:c>
      <x:c r="H6" s="1521" t="str">
        <x:v>L</x:v>
      </x:c>
      <x:c r="I6" s="1521" t="str">
        <x:v>PB-001</x:v>
      </x:c>
      <x:c r="J6" s="1521" t="str">
        <x:v>全必須質問・不明選択可</x:v>
      </x:c>
      <x:c r="K6" s="1521" t="str">
        <x:v>01/02/20/21</x:v>
      </x:c>
      <x:c r="L6" s="1521" t="str">
        <x:v>Frontend/Backend</x:v>
      </x:c>
      <x:c r="M6" s="1521" t="str">
        <x:v>未着手</x:v>
      </x:c>
      <x:c r="N6" s="1521" t="str"/>
      <x:c r="O6" s="1521" t="str">
        <x:v>全画面・入力検証合格</x:v>
      </x:c>
      <x:c r="P6" s="1722" t="str"/>
    </x:row>
    <x:row r="7">
      <x:c r="A7" s="1721" t="str">
        <x:v>PB-003</x:v>
      </x:c>
      <x:c r="B7" s="1521" t="str">
        <x:v>採点エンジン</x:v>
      </x:c>
      <x:c r="C7" s="1521" t="str">
        <x:v>回答を正規化しEDI/DRI/EPIを算定</x:v>
      </x:c>
      <x:c r="D7" s="1521" t="str">
        <x:v>同一入力で同一結果を得る</x:v>
      </x:c>
      <x:c r="E7" s="1521" t="str">
        <x:v>1</x:v>
      </x:c>
      <x:c r="F7" s="1521" t="str">
        <x:v>S</x:v>
      </x:c>
      <x:c r="G7" s="1521" t="str">
        <x:v>必須</x:v>
      </x:c>
      <x:c r="H7" s="1521" t="str">
        <x:v>L</x:v>
      </x:c>
      <x:c r="I7" s="1521" t="str">
        <x:v>PB-002</x:v>
      </x:c>
      <x:c r="J7" s="1521" t="str">
        <x:v>AT-002/015合格</x:v>
      </x:c>
      <x:c r="K7" s="1521" t="str">
        <x:v>03/13/22</x:v>
      </x:c>
      <x:c r="L7" s="1521" t="str">
        <x:v>Backend</x:v>
      </x:c>
      <x:c r="M7" s="1521" t="str">
        <x:v>未着手</x:v>
      </x:c>
      <x:c r="N7" s="1521" t="str"/>
      <x:c r="O7" s="1521" t="str">
        <x:v>全テストケース一致</x:v>
      </x:c>
      <x:c r="P7" s="1722" t="str"/>
    </x:row>
    <x:row r="8">
      <x:c r="A8" s="1721" t="str">
        <x:v>PB-004</x:v>
      </x:c>
      <x:c r="B8" s="1521" t="str">
        <x:v>整合性</x:v>
      </x:c>
      <x:c r="C8" s="1521" t="str">
        <x:v>質問・Evidence間のL0矛盾を検出</x:v>
      </x:c>
      <x:c r="D8" s="1521" t="str">
        <x:v>誤った断定を防ぐ</x:v>
      </x:c>
      <x:c r="E8" s="1521" t="str">
        <x:v>1</x:v>
      </x:c>
      <x:c r="F8" s="1521" t="str">
        <x:v>S</x:v>
      </x:c>
      <x:c r="G8" s="1521" t="str">
        <x:v>必須</x:v>
      </x:c>
      <x:c r="H8" s="1521" t="str">
        <x:v>M</x:v>
      </x:c>
      <x:c r="I8" s="1521" t="str">
        <x:v>PB-002</x:v>
      </x:c>
      <x:c r="J8" s="1521" t="str">
        <x:v>AT-004合格</x:v>
      </x:c>
      <x:c r="K8" s="1521" t="str">
        <x:v>06/22</x:v>
      </x:c>
      <x:c r="L8" s="1521" t="str">
        <x:v>Backend/QA</x:v>
      </x:c>
      <x:c r="M8" s="1521" t="str">
        <x:v>未着手</x:v>
      </x:c>
      <x:c r="N8" s="1521" t="str"/>
      <x:c r="O8" s="1521" t="str">
        <x:v>L0表示・除外・ログ</x:v>
      </x:c>
      <x:c r="P8" s="1722" t="str"/>
    </x:row>
    <x:row r="9">
      <x:c r="A9" s="1721" t="str">
        <x:v>PB-005</x:v>
      </x:c>
      <x:c r="B9" s="1521" t="str">
        <x:v>Evidence</x:v>
      </x:c>
      <x:c r="C9" s="1521" t="str">
        <x:v>ファイルを安全に登録し質問へ紐付け</x:v>
      </x:c>
      <x:c r="D9" s="1521" t="str">
        <x:v>根拠付き診断ができる</x:v>
      </x:c>
      <x:c r="E9" s="1521" t="str">
        <x:v>2</x:v>
      </x:c>
      <x:c r="F9" s="1521" t="str">
        <x:v>S</x:v>
      </x:c>
      <x:c r="G9" s="1521" t="str">
        <x:v>必須</x:v>
      </x:c>
      <x:c r="H9" s="1521" t="str">
        <x:v>L</x:v>
      </x:c>
      <x:c r="I9" s="1521" t="str">
        <x:v>PB-001</x:v>
      </x:c>
      <x:c r="J9" s="1521" t="str">
        <x:v>形式・容量・権限・ログ合格</x:v>
      </x:c>
      <x:c r="K9" s="1521" t="str">
        <x:v>05/21/23</x:v>
      </x:c>
      <x:c r="L9" s="1521" t="str">
        <x:v>Frontend/Backend</x:v>
      </x:c>
      <x:c r="M9" s="1521" t="str">
        <x:v>未着手</x:v>
      </x:c>
      <x:c r="N9" s="1521" t="str"/>
      <x:c r="O9" s="1521" t="str">
        <x:v>安全な登録・削除・閲覧</x:v>
      </x:c>
      <x:c r="P9" s="1722" t="str"/>
    </x:row>
    <x:row r="10">
      <x:c r="A10" s="1721" t="str">
        <x:v>PB-006</x:v>
      </x:c>
      <x:c r="B10" s="1521" t="str">
        <x:v>診断品質</x:v>
      </x:c>
      <x:c r="C10" s="1521" t="str">
        <x:v>CONF/COMP/Levelを算定する</x:v>
      </x:c>
      <x:c r="D10" s="1521" t="str">
        <x:v>レポートの信頼性を理解できる</x:v>
      </x:c>
      <x:c r="E10" s="1521" t="str">
        <x:v>1</x:v>
      </x:c>
      <x:c r="F10" s="1521" t="str">
        <x:v>S</x:v>
      </x:c>
      <x:c r="G10" s="1521" t="str">
        <x:v>必須</x:v>
      </x:c>
      <x:c r="H10" s="1521" t="str">
        <x:v>M</x:v>
      </x:c>
      <x:c r="I10" s="1521" t="str">
        <x:v>PB-004/005</x:v>
      </x:c>
      <x:c r="J10" s="1521" t="str">
        <x:v>品質式と帯が一致</x:v>
      </x:c>
      <x:c r="K10" s="1521" t="str">
        <x:v>14/22</x:v>
      </x:c>
      <x:c r="L10" s="1521" t="str">
        <x:v>Backend</x:v>
      </x:c>
      <x:c r="M10" s="1521" t="str">
        <x:v>未着手</x:v>
      </x:c>
      <x:c r="N10" s="1521" t="str"/>
      <x:c r="O10" s="1521" t="str">
        <x:v>TC-Aと追加ケース一致</x:v>
      </x:c>
      <x:c r="P10" s="1722" t="str"/>
    </x:row>
    <x:row r="11">
      <x:c r="A11" s="1721" t="str">
        <x:v>PB-007</x:v>
      </x:c>
      <x:c r="B11" s="1521" t="str">
        <x:v>Guardrail</x:v>
      </x:c>
      <x:c r="C11" s="1521" t="str">
        <x:v>発動・断定・Priority Scoreで上位3件を出す</x:v>
      </x:c>
      <x:c r="D11" s="1521" t="str">
        <x:v>重大事項を見落とさない</x:v>
      </x:c>
      <x:c r="E11" s="1521" t="str">
        <x:v>1</x:v>
      </x:c>
      <x:c r="F11" s="1521" t="str">
        <x:v>S</x:v>
      </x:c>
      <x:c r="G11" s="1521" t="str">
        <x:v>必須</x:v>
      </x:c>
      <x:c r="H11" s="1521" t="str">
        <x:v>L</x:v>
      </x:c>
      <x:c r="I11" s="1521" t="str">
        <x:v>PB-003/004/005</x:v>
      </x:c>
      <x:c r="J11" s="1521" t="str">
        <x:v>AT-003/005合格</x:v>
      </x:c>
      <x:c r="K11" s="1521" t="str">
        <x:v>04/13/22</x:v>
      </x:c>
      <x:c r="L11" s="1521" t="str">
        <x:v>Backend</x:v>
      </x:c>
      <x:c r="M11" s="1521" t="str">
        <x:v>未着手</x:v>
      </x:c>
      <x:c r="N11" s="1521" t="str"/>
      <x:c r="O11" s="1521" t="str">
        <x:v>順位・L0・根拠ログ</x:v>
      </x:c>
      <x:c r="P11" s="1722" t="str"/>
    </x:row>
    <x:row r="12">
      <x:c r="A12" s="1721" t="str">
        <x:v>PB-008</x:v>
      </x:c>
      <x:c r="B12" s="1521" t="str">
        <x:v>TOP5</x:v>
      </x:c>
      <x:c r="C12" s="1521" t="str">
        <x:v>課題統合・順位・分野上限を適用</x:v>
      </x:c>
      <x:c r="D12" s="1521" t="str">
        <x:v>意思決定すべき課題が分かる</x:v>
      </x:c>
      <x:c r="E12" s="1521" t="str">
        <x:v>1</x:v>
      </x:c>
      <x:c r="F12" s="1521" t="str">
        <x:v>S</x:v>
      </x:c>
      <x:c r="G12" s="1521" t="str">
        <x:v>必須</x:v>
      </x:c>
      <x:c r="H12" s="1521" t="str">
        <x:v>L</x:v>
      </x:c>
      <x:c r="I12" s="1521" t="str">
        <x:v>PB-003/007</x:v>
      </x:c>
      <x:c r="J12" s="1521" t="str">
        <x:v>AT-006/007合格</x:v>
      </x:c>
      <x:c r="K12" s="1521" t="str">
        <x:v>13/15/22</x:v>
      </x:c>
      <x:c r="L12" s="1521" t="str">
        <x:v>Backend</x:v>
      </x:c>
      <x:c r="M12" s="1521" t="str">
        <x:v>未着手</x:v>
      </x:c>
      <x:c r="N12" s="1521" t="str"/>
      <x:c r="O12" s="1521" t="str">
        <x:v>最大5件・重複なし</x:v>
      </x:c>
      <x:c r="P12" s="1722" t="str"/>
    </x:row>
    <x:row r="13">
      <x:c r="A13" s="1721" t="str">
        <x:v>PB-009</x:v>
      </x:c>
      <x:c r="B13" s="1521" t="str">
        <x:v>コメント選択</x:v>
      </x:c>
      <x:c r="C13" s="1521" t="str">
        <x:v>L0→Guardrail→TOP5→KPI順に承認コード選択</x:v>
      </x:c>
      <x:c r="D13" s="1521" t="str">
        <x:v>根拠に沿う文章部品を出す</x:v>
      </x:c>
      <x:c r="E13" s="1521" t="str">
        <x:v>1</x:v>
      </x:c>
      <x:c r="F13" s="1521" t="str">
        <x:v>S</x:v>
      </x:c>
      <x:c r="G13" s="1521" t="str">
        <x:v>必須</x:v>
      </x:c>
      <x:c r="H13" s="1521" t="str">
        <x:v>M</x:v>
      </x:c>
      <x:c r="I13" s="1521" t="str">
        <x:v>PB-006/007/008</x:v>
      </x:c>
      <x:c r="J13" s="1521" t="str">
        <x:v>コード欠落時停止</x:v>
      </x:c>
      <x:c r="K13" s="1521" t="str">
        <x:v>07/14/15</x:v>
      </x:c>
      <x:c r="L13" s="1521" t="str">
        <x:v>Backend</x:v>
      </x:c>
      <x:c r="M13" s="1521" t="str">
        <x:v>未着手</x:v>
      </x:c>
      <x:c r="N13" s="1521" t="str"/>
      <x:c r="O13" s="1521" t="str">
        <x:v>使用コード監査可能</x:v>
      </x:c>
      <x:c r="P13" s="1722" t="str"/>
    </x:row>
    <x:row r="14">
      <x:c r="A14" s="1721" t="str">
        <x:v>PB-010</x:v>
      </x:c>
      <x:c r="B14" s="1521" t="str">
        <x:v>AI整文</x:v>
      </x:c>
      <x:c r="C14" s="1521" t="str">
        <x:v>承認部品を接続・重複整理し検査する</x:v>
      </x:c>
      <x:c r="D14" s="1521" t="str">
        <x:v>読みやすく安全な所見を得る</x:v>
      </x:c>
      <x:c r="E14" s="1521" t="str">
        <x:v>1/3</x:v>
      </x:c>
      <x:c r="F14" s="1521" t="str">
        <x:v>S</x:v>
      </x:c>
      <x:c r="G14" s="1521" t="str">
        <x:v>必須</x:v>
      </x:c>
      <x:c r="H14" s="1521" t="str">
        <x:v>L</x:v>
      </x:c>
      <x:c r="I14" s="1521" t="str">
        <x:v>PB-009</x:v>
      </x:c>
      <x:c r="J14" s="1521" t="str">
        <x:v>AT-009/010合格</x:v>
      </x:c>
      <x:c r="K14" s="1521" t="str">
        <x:v>07/09/14/22</x:v>
      </x:c>
      <x:c r="L14" s="1521" t="str">
        <x:v>AI/Backend</x:v>
      </x:c>
      <x:c r="M14" s="1521" t="str">
        <x:v>未着手</x:v>
      </x:c>
      <x:c r="N14" s="1521" t="str"/>
      <x:c r="O14" s="1521" t="str">
        <x:v>フォールバック・ログ</x:v>
      </x:c>
      <x:c r="P14" s="1722" t="str"/>
    </x:row>
    <x:row r="15">
      <x:c r="A15" s="1721" t="str">
        <x:v>PB-011</x:v>
      </x:c>
      <x:c r="B15" s="1521" t="str">
        <x:v>結果サマリー</x:v>
      </x:c>
      <x:c r="C15" s="1521" t="str">
        <x:v>5指標、Guardrail、TOP5をWeb表示</x:v>
      </x:c>
      <x:c r="D15" s="1521" t="str">
        <x:v>30秒で把握できる</x:v>
      </x:c>
      <x:c r="E15" s="1521" t="str">
        <x:v>2</x:v>
      </x:c>
      <x:c r="F15" s="1521" t="str">
        <x:v>A</x:v>
      </x:c>
      <x:c r="G15" s="1521" t="str">
        <x:v>必須</x:v>
      </x:c>
      <x:c r="H15" s="1521" t="str">
        <x:v>M</x:v>
      </x:c>
      <x:c r="I15" s="1521" t="str">
        <x:v>PB-003～010</x:v>
      </x:c>
      <x:c r="J15" s="1521" t="str">
        <x:v>SCR-10表示合格</x:v>
      </x:c>
      <x:c r="K15" s="1521" t="str">
        <x:v>18/20</x:v>
      </x:c>
      <x:c r="L15" s="1521" t="str">
        <x:v>Frontend</x:v>
      </x:c>
      <x:c r="M15" s="1521" t="str">
        <x:v>未着手</x:v>
      </x:c>
      <x:c r="N15" s="1521" t="str"/>
      <x:c r="O15" s="1521" t="str">
        <x:v>PC/スマホ表示</x:v>
      </x:c>
      <x:c r="P15" s="1722" t="str"/>
    </x:row>
    <x:row r="16">
      <x:c r="A16" s="1721" t="str">
        <x:v>PB-012</x:v>
      </x:c>
      <x:c r="B16" s="1521" t="str">
        <x:v>A3帳票</x:v>
      </x:c>
      <x:c r="C16" s="1521" t="str">
        <x:v>A3横2ページPDF・プレビューを生成</x:v>
      </x:c>
      <x:c r="D16" s="1521" t="str">
        <x:v>3分で理解できる資料を得る</x:v>
      </x:c>
      <x:c r="E16" s="1521" t="str">
        <x:v>3</x:v>
      </x:c>
      <x:c r="F16" s="1521" t="str">
        <x:v>S</x:v>
      </x:c>
      <x:c r="G16" s="1521" t="str">
        <x:v>必須</x:v>
      </x:c>
      <x:c r="H16" s="1521" t="str">
        <x:v>L</x:v>
      </x:c>
      <x:c r="I16" s="1521" t="str">
        <x:v>PB-009/010/011</x:v>
      </x:c>
      <x:c r="J16" s="1521" t="str">
        <x:v>AT-011/012合格</x:v>
      </x:c>
      <x:c r="K16" s="1521" t="str">
        <x:v>18/19/22</x:v>
      </x:c>
      <x:c r="L16" s="1521" t="str">
        <x:v>Frontend/Backend</x:v>
      </x:c>
      <x:c r="M16" s="1521" t="str">
        <x:v>未着手</x:v>
      </x:c>
      <x:c r="N16" s="1521" t="str"/>
      <x:c r="O16" s="1521" t="str">
        <x:v>文字切れなし</x:v>
      </x:c>
      <x:c r="P16" s="1722" t="str"/>
    </x:row>
    <x:row r="17">
      <x:c r="A17" s="1721" t="str">
        <x:v>PB-013</x:v>
      </x:c>
      <x:c r="B17" s="1521" t="str">
        <x:v>PDF取得・相談</x:v>
      </x:c>
      <x:c r="C17" s="1521" t="str">
        <x:v>連絡先入力、PDF送付、相談受付</x:v>
      </x:c>
      <x:c r="D17" s="1521" t="str">
        <x:v>診断から相談へ移行できる</x:v>
      </x:c>
      <x:c r="E17" s="1521" t="str">
        <x:v>3</x:v>
      </x:c>
      <x:c r="F17" s="1521" t="str">
        <x:v>A</x:v>
      </x:c>
      <x:c r="G17" s="1521" t="str">
        <x:v>必須</x:v>
      </x:c>
      <x:c r="H17" s="1521" t="str">
        <x:v>M</x:v>
      </x:c>
      <x:c r="I17" s="1521" t="str">
        <x:v>PB-012</x:v>
      </x:c>
      <x:c r="J17" s="1521" t="str">
        <x:v>AT-013/014合格</x:v>
      </x:c>
      <x:c r="K17" s="1521" t="str">
        <x:v>20/23</x:v>
      </x:c>
      <x:c r="L17" s="1521" t="str">
        <x:v>Frontend/Backend</x:v>
      </x:c>
      <x:c r="M17" s="1521" t="str">
        <x:v>未着手</x:v>
      </x:c>
      <x:c r="N17" s="1521" t="str"/>
      <x:c r="O17" s="1521" t="str">
        <x:v>送付・紐付け・ログ</x:v>
      </x:c>
      <x:c r="P17" s="1722" t="str"/>
    </x:row>
    <x:row r="18">
      <x:c r="A18" s="1721" t="str">
        <x:v>PB-014</x:v>
      </x:c>
      <x:c r="B18" s="1521" t="str">
        <x:v>管理画面</x:v>
      </x:c>
      <x:c r="C18" s="1521" t="str">
        <x:v>質問・選択肢・コメント・Versionを管理</x:v>
      </x:c>
      <x:c r="D18" s="1521" t="str">
        <x:v>開発会社依存を抑える</x:v>
      </x:c>
      <x:c r="E18" s="1521" t="str">
        <x:v>4</x:v>
      </x:c>
      <x:c r="F18" s="1521" t="str">
        <x:v>A</x:v>
      </x:c>
      <x:c r="G18" s="1521" t="str">
        <x:v>必須</x:v>
      </x:c>
      <x:c r="H18" s="1521" t="str">
        <x:v>XL</x:v>
      </x:c>
      <x:c r="I18" s="1521" t="str">
        <x:v>PB-003/009</x:v>
      </x:c>
      <x:c r="J18" s="1521" t="str">
        <x:v>権限・履歴・公開制御</x:v>
      </x:c>
      <x:c r="K18" s="1521" t="str">
        <x:v>23/33</x:v>
      </x:c>
      <x:c r="L18" s="1521" t="str">
        <x:v>Frontend/Backend</x:v>
      </x:c>
      <x:c r="M18" s="1521" t="str">
        <x:v>未着手</x:v>
      </x:c>
      <x:c r="N18" s="1521" t="str"/>
      <x:c r="O18" s="1521" t="str">
        <x:v>管理者教育完了</x:v>
      </x:c>
      <x:c r="P18" s="1722" t="str"/>
    </x:row>
    <x:row r="19">
      <x:c r="A19" s="1721" t="str">
        <x:v>PB-015</x:v>
      </x:c>
      <x:c r="B19" s="1521" t="str">
        <x:v>セキュリティ・運用</x:v>
      </x:c>
      <x:c r="C19" s="1521" t="str">
        <x:v>認証、権限、暗号化、バックアップ、監視</x:v>
      </x:c>
      <x:c r="D19" s="1521" t="str">
        <x:v>顧客資料を安全に運用できる</x:v>
      </x:c>
      <x:c r="E19" s="1521" t="str">
        <x:v>4</x:v>
      </x:c>
      <x:c r="F19" s="1521" t="str">
        <x:v>S</x:v>
      </x:c>
      <x:c r="G19" s="1521" t="str">
        <x:v>必須</x:v>
      </x:c>
      <x:c r="H19" s="1521" t="str">
        <x:v>L</x:v>
      </x:c>
      <x:c r="I19" s="1521" t="str">
        <x:v>PB-005/014</x:v>
      </x:c>
      <x:c r="J19" s="1521" t="str">
        <x:v>GT-05適合</x:v>
      </x:c>
      <x:c r="K19" s="1521" t="str">
        <x:v>23/35/36</x:v>
      </x:c>
      <x:c r="L19" s="1521" t="str">
        <x:v>Infra/Security</x:v>
      </x:c>
      <x:c r="M19" s="1521" t="str">
        <x:v>未着手</x:v>
      </x:c>
      <x:c r="N19" s="1521" t="str"/>
      <x:c r="O19" s="1521" t="str">
        <x:v>運用・復旧試験合格</x:v>
      </x:c>
      <x:c r="P19" s="1722" t="str"/>
    </x:row>
    <x:row r="20">
      <x:c r="A20" s="1723" t="str">
        <x:v>PB-016</x:v>
      </x:c>
      <x:c r="B20" s="1724" t="str">
        <x:v>分析KPI</x:v>
      </x:c>
      <x:c r="C20" s="1724" t="str">
        <x:v>利用、品質、CV、原価、性能を集計</x:v>
      </x:c>
      <x:c r="D20" s="1724" t="str">
        <x:v>パイロット継続判断ができる</x:v>
      </x:c>
      <x:c r="E20" s="1724" t="str">
        <x:v>4/6</x:v>
      </x:c>
      <x:c r="F20" s="1724" t="str">
        <x:v>A</x:v>
      </x:c>
      <x:c r="G20" s="1724" t="str">
        <x:v>必須</x:v>
      </x:c>
      <x:c r="H20" s="1724" t="str">
        <x:v>M</x:v>
      </x:c>
      <x:c r="I20" s="1724" t="str">
        <x:v>PB-011/013</x:v>
      </x:c>
      <x:c r="J20" s="1724" t="str">
        <x:v>31シート指標取得可能</x:v>
      </x:c>
      <x:c r="K20" s="1724" t="str">
        <x:v>31</x:v>
      </x:c>
      <x:c r="L20" s="1724" t="str">
        <x:v>Backend/Analytics</x:v>
      </x:c>
      <x:c r="M20" s="1724" t="str">
        <x:v>未着手</x:v>
      </x:c>
      <x:c r="N20" s="1724" t="str"/>
      <x:c r="O20" s="1724" t="str">
        <x:v>月次レビュー可能</x:v>
      </x:c>
      <x:c r="P20" s="1725" t="str"/>
    </x:row>
  </x:sheetData>
  <x:mergeCells>
    <x:mergeCell ref="A1:P1"/>
    <x:mergeCell ref="A2:P2"/>
  </x:mergeCells>
  <x:dataValidations count="4">
    <x:dataValidation type="list" sqref="F5:F20">
      <x:formula1>"S,A,B,C"</x:formula1>
    </x:dataValidation>
    <x:dataValidation type="list" sqref="G5:G20">
      <x:formula1>"必須,任意"</x:formula1>
    </x:dataValidation>
    <x:dataValidation type="list" sqref="H5:H20">
      <x:formula1>"S,M,L,XL"</x:formula1>
    </x:dataValidation>
    <x:dataValidation type="list" sqref="M5:M20">
      <x:formula1>"未着手,準備中,開発中,レビュー中,テスト中,完了,保留"</x:formula1>
    </x:dataValidation>
  </x:dataValidations>
  <x:pageMargins left="0.7" right="0.7" top="0.75" bottom="0.75" header="0.3" footer="0.3"/>
</x:worksheet>
</file>

<file path=xl/worksheets/sheet41.xml><?xml version="1.0" encoding="utf-8"?>
<x:worksheet xmlns:x="http://schemas.openxmlformats.org/spreadsheetml/2006/main">
  <x:sheetFormatPr defaultRowHeight="15"/>
  <x:cols>
    <x:col min="1" max="1" width="12" hidden="0" customWidth="1"/>
    <x:col min="2" max="2" width="24" hidden="0" customWidth="1"/>
    <x:col min="3" max="3" width="16" hidden="0" customWidth="1"/>
    <x:col min="4" max="4" width="34" hidden="0" customWidth="1"/>
    <x:col min="5" max="5" width="20" hidden="0" customWidth="1"/>
    <x:col min="6" max="6" width="20" hidden="0" customWidth="1"/>
    <x:col min="7" max="7" width="18" hidden="0" customWidth="1"/>
    <x:col min="8" max="8" width="18" hidden="0" customWidth="1"/>
    <x:col min="9" max="9" width="18" hidden="0" customWidth="1"/>
    <x:col min="10" max="10" width="20" hidden="0" customWidth="1"/>
    <x:col min="11" max="11" width="20" hidden="0" customWidth="1"/>
    <x:col min="12" max="12" width="20" hidden="0" customWidth="1"/>
    <x:col min="13" max="13" width="18" hidden="0" customWidth="1"/>
    <x:col min="14" max="14" width="14" hidden="0" customWidth="1"/>
    <x:col min="15" max="15" width="28" hidden="0" customWidth="1"/>
    <x:col min="16" max="16" width="22" hidden="0" customWidth="1"/>
  </x:cols>
  <x:sheetData>
    <x:row r="1" ht="28" customHeight="1">
      <x:c r="A1" s="1684" t="str">
        <x:v>40_要件トレーサビリティ</x:v>
      </x:c>
      <x:c r="B1" s="1684"/>
      <x:c r="C1" s="1684"/>
      <x:c r="D1" s="1684"/>
      <x:c r="E1" s="1684"/>
      <x:c r="F1" s="1684"/>
      <x:c r="G1" s="1684"/>
      <x:c r="H1" s="1684"/>
      <x:c r="I1" s="1684"/>
      <x:c r="J1" s="1684"/>
      <x:c r="K1" s="1684"/>
      <x:c r="L1" s="1684"/>
      <x:c r="M1" s="1684"/>
      <x:c r="N1" s="1684"/>
      <x:c r="O1" s="1684"/>
      <x:c r="P1" s="1684"/>
    </x:row>
    <x:row r="2" ht="36" customHeight="1">
      <x:c r="A2" s="1687" t="str">
        <x:v>事業目的から質問・ロジック・画面・帳票・テスト・バックログまでを追跡し、漏れと孤立要件を防止。</x:v>
      </x:c>
      <x:c r="B2" s="1687"/>
      <x:c r="C2" s="1687"/>
      <x:c r="D2" s="1687"/>
      <x:c r="E2" s="1687"/>
      <x:c r="F2" s="1687"/>
      <x:c r="G2" s="1687"/>
      <x:c r="H2" s="1687"/>
      <x:c r="I2" s="1687"/>
      <x:c r="J2" s="1687"/>
      <x:c r="K2" s="1687"/>
      <x:c r="L2" s="1687"/>
      <x:c r="M2" s="1687"/>
      <x:c r="N2" s="1687"/>
      <x:c r="O2" s="1687"/>
      <x:c r="P2" s="1687"/>
    </x:row>
    <x:row r="4" ht="38" customHeight="1">
      <x:c r="A4" s="1699" t="str">
        <x:v>Trace ID</x:v>
      </x:c>
      <x:c r="B4" s="1700" t="str">
        <x:v>事業目的</x:v>
      </x:c>
      <x:c r="C4" s="1700" t="str">
        <x:v>要求ID</x:v>
      </x:c>
      <x:c r="D4" s="1700" t="str">
        <x:v>要求内容</x:v>
      </x:c>
      <x:c r="E4" s="1700" t="str">
        <x:v>質問・入力</x:v>
      </x:c>
      <x:c r="F4" s="1700" t="str">
        <x:v>算定・判定</x:v>
      </x:c>
      <x:c r="G4" s="1700" t="str">
        <x:v>コメント</x:v>
      </x:c>
      <x:c r="H4" s="1700" t="str">
        <x:v>画面</x:v>
      </x:c>
      <x:c r="I4" s="1700" t="str">
        <x:v>帳票</x:v>
      </x:c>
      <x:c r="J4" s="1700" t="str">
        <x:v>システム処理</x:v>
      </x:c>
      <x:c r="K4" s="1700" t="str">
        <x:v>受入テスト</x:v>
      </x:c>
      <x:c r="L4" s="1700" t="str">
        <x:v>バックログ</x:v>
      </x:c>
      <x:c r="M4" s="1700" t="str">
        <x:v>責任者</x:v>
      </x:c>
      <x:c r="N4" s="1700" t="str">
        <x:v>網羅状態</x:v>
      </x:c>
      <x:c r="O4" s="1700" t="str">
        <x:v>未対応・課題</x:v>
      </x:c>
      <x:c r="P4" s="1701" t="str">
        <x:v>備考</x:v>
      </x:c>
    </x:row>
    <x:row r="5">
      <x:c r="A5" s="1718" t="str">
        <x:v>TR-001</x:v>
      </x:c>
      <x:c r="B5" s="1719" t="str">
        <x:v>30秒で状態把握</x:v>
      </x:c>
      <x:c r="C5" s="1719" t="str">
        <x:v>REQ-KPI-01</x:v>
      </x:c>
      <x:c r="D5" s="1719" t="str">
        <x:v>5指標を上部表示</x:v>
      </x:c>
      <x:c r="E5" s="1719" t="str">
        <x:v>Q101～Q503</x:v>
      </x:c>
      <x:c r="F5" s="1719" t="str">
        <x:v>13/14</x:v>
      </x:c>
      <x:c r="G5" s="1719" t="str">
        <x:v>07</x:v>
      </x:c>
      <x:c r="H5" s="1719" t="str">
        <x:v>SCR-10/11</x:v>
      </x:c>
      <x:c r="I5" s="1719" t="str">
        <x:v>18/19</x:v>
      </x:c>
      <x:c r="J5" s="1719" t="str">
        <x:v>SYS-06/08/14</x:v>
      </x:c>
      <x:c r="K5" s="1719" t="str">
        <x:v>AT-011/012</x:v>
      </x:c>
      <x:c r="L5" s="1719" t="str">
        <x:v>PB-003/006/011/012</x:v>
      </x:c>
      <x:c r="M5" s="1719" t="str">
        <x:v>事業責任者</x:v>
      </x:c>
      <x:c r="N5" s="1719" t="str">
        <x:v>網羅</x:v>
      </x:c>
      <x:c r="O5" s="1719" t="str">
        <x:v>なし</x:v>
      </x:c>
      <x:c r="P5" s="1720" t="str"/>
    </x:row>
    <x:row r="6">
      <x:c r="A6" s="1721" t="str">
        <x:v>TR-002</x:v>
      </x:c>
      <x:c r="B6" s="1521" t="str">
        <x:v>重大事項の見落とし防止</x:v>
      </x:c>
      <x:c r="C6" s="1521" t="str">
        <x:v>REQ-GR-01</x:v>
      </x:c>
      <x:c r="D6" s="1521" t="str">
        <x:v>GuardrailをKPI独立表示</x:v>
      </x:c>
      <x:c r="E6" s="1521" t="str">
        <x:v>Q101～Q112</x:v>
      </x:c>
      <x:c r="F6" s="1521" t="str">
        <x:v>04/13</x:v>
      </x:c>
      <x:c r="G6" s="1521" t="str">
        <x:v>GR-*</x:v>
      </x:c>
      <x:c r="H6" s="1521" t="str">
        <x:v>SCR-03/10</x:v>
      </x:c>
      <x:c r="I6" s="1521" t="str">
        <x:v>18/19</x:v>
      </x:c>
      <x:c r="J6" s="1521" t="str">
        <x:v>SYS-09</x:v>
      </x:c>
      <x:c r="K6" s="1521" t="str">
        <x:v>AT-004/005</x:v>
      </x:c>
      <x:c r="L6" s="1521" t="str">
        <x:v>PB-004/007</x:v>
      </x:c>
      <x:c r="M6" s="1521" t="str">
        <x:v>診断責任者</x:v>
      </x:c>
      <x:c r="N6" s="1521" t="str">
        <x:v>網羅</x:v>
      </x:c>
      <x:c r="O6" s="1521" t="str">
        <x:v>なし</x:v>
      </x:c>
      <x:c r="P6" s="1722" t="str"/>
    </x:row>
    <x:row r="7">
      <x:c r="A7" s="1721" t="str">
        <x:v>TR-003</x:v>
      </x:c>
      <x:c r="B7" s="1521" t="str">
        <x:v>根拠優先</x:v>
      </x:c>
      <x:c r="C7" s="1521" t="str">
        <x:v>REQ-EV-01</x:v>
      </x:c>
      <x:c r="D7" s="1521" t="str">
        <x:v>個別Evidenceで断定制御</x:v>
      </x:c>
      <x:c r="E7" s="1521" t="str">
        <x:v>Q501～Q503</x:v>
      </x:c>
      <x:c r="F7" s="1521" t="str">
        <x:v>05/14</x:v>
      </x:c>
      <x:c r="G7" s="1521" t="str">
        <x:v>L0～L3</x:v>
      </x:c>
      <x:c r="H7" s="1521" t="str">
        <x:v>SCR-07/08</x:v>
      </x:c>
      <x:c r="I7" s="1521" t="str">
        <x:v>18/19</x:v>
      </x:c>
      <x:c r="J7" s="1521" t="str">
        <x:v>SYS-03/07/08/13</x:v>
      </x:c>
      <x:c r="K7" s="1521" t="str">
        <x:v>AT-002/003/004</x:v>
      </x:c>
      <x:c r="L7" s="1521" t="str">
        <x:v>PB-005/006/009</x:v>
      </x:c>
      <x:c r="M7" s="1521" t="str">
        <x:v>診断責任者</x:v>
      </x:c>
      <x:c r="N7" s="1521" t="str">
        <x:v>網羅</x:v>
      </x:c>
      <x:c r="O7" s="1521" t="str">
        <x:v>なし</x:v>
      </x:c>
      <x:c r="P7" s="1722" t="str"/>
    </x:row>
    <x:row r="8">
      <x:c r="A8" s="1721" t="str">
        <x:v>TR-004</x:v>
      </x:c>
      <x:c r="B8" s="1521" t="str">
        <x:v>3分で理解</x:v>
      </x:c>
      <x:c r="C8" s="1521" t="str">
        <x:v>REQ-RPT-01</x:v>
      </x:c>
      <x:c r="D8" s="1521" t="str">
        <x:v>A3横2ページで判断と根拠を分離</x:v>
      </x:c>
      <x:c r="E8" s="1521" t="str">
        <x:v>全入力</x:v>
      </x:c>
      <x:c r="F8" s="1521" t="str">
        <x:v>08/10</x:v>
      </x:c>
      <x:c r="G8" s="1521" t="str">
        <x:v>07/14</x:v>
      </x:c>
      <x:c r="H8" s="1521" t="str">
        <x:v>SCR-11</x:v>
      </x:c>
      <x:c r="I8" s="1521" t="str">
        <x:v>18/19</x:v>
      </x:c>
      <x:c r="J8" s="1521" t="str">
        <x:v>SYS-14</x:v>
      </x:c>
      <x:c r="K8" s="1521" t="str">
        <x:v>AT-011/012</x:v>
      </x:c>
      <x:c r="L8" s="1521" t="str">
        <x:v>PB-012</x:v>
      </x:c>
      <x:c r="M8" s="1521" t="str">
        <x:v>事業責任者</x:v>
      </x:c>
      <x:c r="N8" s="1521" t="str">
        <x:v>網羅</x:v>
      </x:c>
      <x:c r="O8" s="1521" t="str">
        <x:v>なし</x:v>
      </x:c>
      <x:c r="P8" s="1722" t="str"/>
    </x:row>
    <x:row r="9">
      <x:c r="A9" s="1721" t="str">
        <x:v>TR-005</x:v>
      </x:c>
      <x:c r="B9" s="1521" t="str">
        <x:v>30分で意思決定</x:v>
      </x:c>
      <x:c r="C9" s="1521" t="str">
        <x:v>REQ-DEC-01</x:v>
      </x:c>
      <x:c r="D9" s="1521" t="str">
        <x:v>TOP5・ロードマップ・Next Action</x:v>
      </x:c>
      <x:c r="E9" s="1521" t="str">
        <x:v>全入力</x:v>
      </x:c>
      <x:c r="F9" s="1521" t="str">
        <x:v>13</x:v>
      </x:c>
      <x:c r="G9" s="1521" t="str">
        <x:v>07/15</x:v>
      </x:c>
      <x:c r="H9" s="1521" t="str">
        <x:v>SCR-10/11</x:v>
      </x:c>
      <x:c r="I9" s="1521" t="str">
        <x:v>18/19</x:v>
      </x:c>
      <x:c r="J9" s="1521" t="str">
        <x:v>SYS-10/11</x:v>
      </x:c>
      <x:c r="K9" s="1521" t="str">
        <x:v>AT-006/007</x:v>
      </x:c>
      <x:c r="L9" s="1521" t="str">
        <x:v>PB-008/009/011/012</x:v>
      </x:c>
      <x:c r="M9" s="1521" t="str">
        <x:v>事業責任者</x:v>
      </x:c>
      <x:c r="N9" s="1521" t="str">
        <x:v>網羅</x:v>
      </x:c>
      <x:c r="O9" s="1521" t="str">
        <x:v>なし</x:v>
      </x:c>
      <x:c r="P9" s="1722" t="str"/>
    </x:row>
    <x:row r="10">
      <x:c r="A10" s="1721" t="str">
        <x:v>TR-006</x:v>
      </x:c>
      <x:c r="B10" s="1521" t="str">
        <x:v>AI安全性</x:v>
      </x:c>
      <x:c r="C10" s="1521" t="str">
        <x:v>REQ-AI-01</x:v>
      </x:c>
      <x:c r="D10" s="1521" t="str">
        <x:v>AIは整文のみ、診断しない</x:v>
      </x:c>
      <x:c r="E10" s="1521" t="str">
        <x:v>コメント部品</x:v>
      </x:c>
      <x:c r="F10" s="1521" t="str">
        <x:v>14</x:v>
      </x:c>
      <x:c r="G10" s="1521" t="str">
        <x:v>07/09</x:v>
      </x:c>
      <x:c r="H10" s="1521" t="str">
        <x:v>結果生成</x:v>
      </x:c>
      <x:c r="I10" s="1521" t="str">
        <x:v>18/19</x:v>
      </x:c>
      <x:c r="J10" s="1521" t="str">
        <x:v>SYS-12/13</x:v>
      </x:c>
      <x:c r="K10" s="1521" t="str">
        <x:v>AT-009/010/015</x:v>
      </x:c>
      <x:c r="L10" s="1521" t="str">
        <x:v>PB-010</x:v>
      </x:c>
      <x:c r="M10" s="1521" t="str">
        <x:v>診断責任者</x:v>
      </x:c>
      <x:c r="N10" s="1521" t="str">
        <x:v>網羅</x:v>
      </x:c>
      <x:c r="O10" s="1521" t="str">
        <x:v>なし</x:v>
      </x:c>
      <x:c r="P10" s="1722" t="str"/>
    </x:row>
    <x:row r="11">
      <x:c r="A11" s="1721" t="str">
        <x:v>TR-007</x:v>
      </x:c>
      <x:c r="B11" s="1521" t="str">
        <x:v>再現性・監査</x:v>
      </x:c>
      <x:c r="C11" s="1521" t="str">
        <x:v>REQ-AUD-01</x:v>
      </x:c>
      <x:c r="D11" s="1521" t="str">
        <x:v>同一Versionで同一結果、ログ保持</x:v>
      </x:c>
      <x:c r="E11" s="1521" t="str">
        <x:v>全入力</x:v>
      </x:c>
      <x:c r="F11" s="1521" t="str">
        <x:v>13/14</x:v>
      </x:c>
      <x:c r="G11" s="1521" t="str">
        <x:v>07</x:v>
      </x:c>
      <x:c r="H11" s="1521" t="str">
        <x:v>全画面</x:v>
      </x:c>
      <x:c r="I11" s="1521" t="str">
        <x:v>全帳票</x:v>
      </x:c>
      <x:c r="J11" s="1521" t="str">
        <x:v>SYS-01～15</x:v>
      </x:c>
      <x:c r="K11" s="1521" t="str">
        <x:v>AT-015</x:v>
      </x:c>
      <x:c r="L11" s="1521" t="str">
        <x:v>PB-003/009/010/015</x:v>
      </x:c>
      <x:c r="M11" s="1521" t="str">
        <x:v>QA責任者</x:v>
      </x:c>
      <x:c r="N11" s="1521" t="str">
        <x:v>網羅</x:v>
      </x:c>
      <x:c r="O11" s="1521" t="str">
        <x:v>なし</x:v>
      </x:c>
      <x:c r="P11" s="1722" t="str"/>
    </x:row>
    <x:row r="12">
      <x:c r="A12" s="1721" t="str">
        <x:v>TR-008</x:v>
      </x:c>
      <x:c r="B12" s="1521" t="str">
        <x:v>途中離脱抑制</x:v>
      </x:c>
      <x:c r="C12" s="1521" t="str">
        <x:v>REQ-UX-01</x:v>
      </x:c>
      <x:c r="D12" s="1521" t="str">
        <x:v>途中保存・進捗・不明回答</x:v>
      </x:c>
      <x:c r="E12" s="1521" t="str">
        <x:v>全質問</x:v>
      </x:c>
      <x:c r="F12" s="1521" t="str">
        <x:v>なし</x:v>
      </x:c>
      <x:c r="G12" s="1521" t="str">
        <x:v>なし</x:v>
      </x:c>
      <x:c r="H12" s="1521" t="str">
        <x:v>SCR-01～08</x:v>
      </x:c>
      <x:c r="I12" s="1521" t="str">
        <x:v>なし</x:v>
      </x:c>
      <x:c r="J12" s="1521" t="str">
        <x:v>SYS-01/02</x:v>
      </x:c>
      <x:c r="K12" s="1521" t="str">
        <x:v>AT-001</x:v>
      </x:c>
      <x:c r="L12" s="1521" t="str">
        <x:v>PB-001/002</x:v>
      </x:c>
      <x:c r="M12" s="1521" t="str">
        <x:v>プロダクト責任者</x:v>
      </x:c>
      <x:c r="N12" s="1521" t="str">
        <x:v>網羅</x:v>
      </x:c>
      <x:c r="O12" s="1521" t="str">
        <x:v>条件分岐はFit&amp;Gap</x:v>
      </x:c>
      <x:c r="P12" s="1722" t="str"/>
    </x:row>
    <x:row r="13">
      <x:c r="A13" s="1721" t="str">
        <x:v>TR-009</x:v>
      </x:c>
      <x:c r="B13" s="1521" t="str">
        <x:v>案件化</x:v>
      </x:c>
      <x:c r="C13" s="1521" t="str">
        <x:v>REQ-CV-01</x:v>
      </x:c>
      <x:c r="D13" s="1521" t="str">
        <x:v>PDF取得と相談申込を診断結果へ紐付け</x:v>
      </x:c>
      <x:c r="E13" s="1521" t="str">
        <x:v>連絡先・相談</x:v>
      </x:c>
      <x:c r="F13" s="1521" t="str">
        <x:v>なし</x:v>
      </x:c>
      <x:c r="G13" s="1521" t="str">
        <x:v>CTA</x:v>
      </x:c>
      <x:c r="H13" s="1521" t="str">
        <x:v>SCR-11～14</x:v>
      </x:c>
      <x:c r="I13" s="1521" t="str">
        <x:v>18/19</x:v>
      </x:c>
      <x:c r="J13" s="1521" t="str">
        <x:v>SYS-15</x:v>
      </x:c>
      <x:c r="K13" s="1521" t="str">
        <x:v>AT-013/014</x:v>
      </x:c>
      <x:c r="L13" s="1521" t="str">
        <x:v>PB-013/016</x:v>
      </x:c>
      <x:c r="M13" s="1521" t="str">
        <x:v>営業責任者</x:v>
      </x:c>
      <x:c r="N13" s="1521" t="str">
        <x:v>網羅</x:v>
      </x:c>
      <x:c r="O13" s="1521" t="str">
        <x:v>CRM連携は任意</x:v>
      </x:c>
      <x:c r="P13" s="1722" t="str"/>
    </x:row>
    <x:row r="14">
      <x:c r="A14" s="1721" t="str">
        <x:v>TR-010</x:v>
      </x:c>
      <x:c r="B14" s="1521" t="str">
        <x:v>機密保護</x:v>
      </x:c>
      <x:c r="C14" s="1521" t="str">
        <x:v>REQ-SEC-01</x:v>
      </x:c>
      <x:c r="D14" s="1521" t="str">
        <x:v>図面・資料を安全に管理</x:v>
      </x:c>
      <x:c r="E14" s="1521" t="str">
        <x:v>Evidence</x:v>
      </x:c>
      <x:c r="F14" s="1521" t="str">
        <x:v>05</x:v>
      </x:c>
      <x:c r="G14" s="1521" t="str">
        <x:v>なし</x:v>
      </x:c>
      <x:c r="H14" s="1521" t="str">
        <x:v>SCR-07/12/13</x:v>
      </x:c>
      <x:c r="I14" s="1521" t="str">
        <x:v>なし</x:v>
      </x:c>
      <x:c r="J14" s="1521" t="str">
        <x:v>SYS-03/15</x:v>
      </x:c>
      <x:c r="K14" s="1521" t="str">
        <x:v>AT-013</x:v>
      </x:c>
      <x:c r="L14" s="1521" t="str">
        <x:v>PB-005/015</x:v>
      </x:c>
      <x:c r="M14" s="1521" t="str">
        <x:v>情報システム</x:v>
      </x:c>
      <x:c r="N14" s="1521" t="str">
        <x:v>一部</x:v>
      </x:c>
      <x:c r="O14" s="1521" t="str">
        <x:v>技術方式はFit&amp;Gap</x:v>
      </x:c>
      <x:c r="P14" s="1722" t="str"/>
    </x:row>
    <x:row r="15">
      <x:c r="A15" s="1721" t="str">
        <x:v>TR-011</x:v>
      </x:c>
      <x:c r="B15" s="1521" t="str">
        <x:v>運用自立</x:v>
      </x:c>
      <x:c r="C15" s="1521" t="str">
        <x:v>REQ-OPS-01</x:v>
      </x:c>
      <x:c r="D15" s="1521" t="str">
        <x:v>質問・コメント・Versionを管理画面で更新</x:v>
      </x:c>
      <x:c r="E15" s="1521" t="str">
        <x:v>管理入力</x:v>
      </x:c>
      <x:c r="F15" s="1521" t="str">
        <x:v>全ロジック</x:v>
      </x:c>
      <x:c r="G15" s="1521" t="str">
        <x:v>全コメント</x:v>
      </x:c>
      <x:c r="H15" s="1521" t="str">
        <x:v>管理画面</x:v>
      </x:c>
      <x:c r="I15" s="1521" t="str">
        <x:v>全帳票</x:v>
      </x:c>
      <x:c r="J15" s="1521" t="str">
        <x:v>管理API</x:v>
      </x:c>
      <x:c r="K15" s="1521" t="str">
        <x:v>GT-05</x:v>
      </x:c>
      <x:c r="L15" s="1521" t="str">
        <x:v>PB-014/015</x:v>
      </x:c>
      <x:c r="M15" s="1521" t="str">
        <x:v>運用責任者</x:v>
      </x:c>
      <x:c r="N15" s="1521" t="str">
        <x:v>一部</x:v>
      </x:c>
      <x:c r="O15" s="1521" t="str">
        <x:v>管理UI詳細は開発提案</x:v>
      </x:c>
      <x:c r="P15" s="1722" t="str"/>
    </x:row>
    <x:row r="16">
      <x:c r="A16" s="1723" t="str">
        <x:v>TR-012</x:v>
      </x:c>
      <x:c r="B16" s="1724" t="str">
        <x:v>事業継続判断</x:v>
      </x:c>
      <x:c r="C16" s="1724" t="str">
        <x:v>REQ-KPI-02</x:v>
      </x:c>
      <x:c r="D16" s="1724" t="str">
        <x:v>3か月KPIで継続・改善・中止判断</x:v>
      </x:c>
      <x:c r="E16" s="1724" t="str">
        <x:v>運用実績</x:v>
      </x:c>
      <x:c r="F16" s="1724" t="str">
        <x:v>31</x:v>
      </x:c>
      <x:c r="G16" s="1724" t="str">
        <x:v>なし</x:v>
      </x:c>
      <x:c r="H16" s="1724" t="str">
        <x:v>管理画面</x:v>
      </x:c>
      <x:c r="I16" s="1724" t="str">
        <x:v>KPI資料</x:v>
      </x:c>
      <x:c r="J16" s="1724" t="str">
        <x:v>分析処理</x:v>
      </x:c>
      <x:c r="K16" s="1724" t="str">
        <x:v>GT-07</x:v>
      </x:c>
      <x:c r="L16" s="1724" t="str">
        <x:v>PB-016</x:v>
      </x:c>
      <x:c r="M16" s="1724" t="str">
        <x:v>事業責任者</x:v>
      </x:c>
      <x:c r="N16" s="1724" t="str">
        <x:v>網羅</x:v>
      </x:c>
      <x:c r="O16" s="1724" t="str">
        <x:v>なし</x:v>
      </x:c>
      <x:c r="P16" s="1725" t="str"/>
    </x:row>
  </x:sheetData>
  <x:mergeCells>
    <x:mergeCell ref="A1:P1"/>
    <x:mergeCell ref="A2:P2"/>
  </x:mergeCells>
  <x:conditionalFormatting sqref="N5:N16">
    <x:cfRule type="expression" dxfId="15" priority="1">
      <x:formula>N5="網羅"</x:formula>
    </x:cfRule>
    <x:cfRule type="expression" dxfId="16" priority="2">
      <x:formula>N5="一部"</x:formula>
    </x:cfRule>
    <x:cfRule type="expression" dxfId="17" priority="3">
      <x:formula>N5="未対応"</x:formula>
    </x:cfRule>
  </x:conditionalFormatting>
  <x:dataValidations count="1">
    <x:dataValidation type="list" sqref="N5:N16">
      <x:formula1>"網羅,一部,未対応,対象外"</x:formula1>
    </x:dataValidation>
  </x:dataValidations>
  <x:pageMargins left="0.7" right="0.7" top="0.75" bottom="0.75" header="0.3" footer="0.3"/>
</x:worksheet>
</file>

<file path=xl/worksheets/sheet42.xml><?xml version="1.0" encoding="utf-8"?>
<x:worksheet xmlns:x="http://schemas.openxmlformats.org/spreadsheetml/2006/main">
  <x:sheetFormatPr defaultRowHeight="15"/>
  <x:cols>
    <x:col min="1" max="1" width="8" hidden="0" customWidth="1"/>
    <x:col min="2" max="2" width="18" hidden="0" customWidth="1"/>
    <x:col min="3" max="3" width="38" hidden="0" customWidth="1"/>
    <x:col min="4" max="4" width="24" hidden="0" customWidth="1"/>
    <x:col min="5" max="5" width="12" hidden="0" customWidth="1"/>
    <x:col min="6" max="6" width="8" hidden="0" customWidth="1"/>
    <x:col min="7" max="7" width="8" hidden="0" customWidth="1"/>
    <x:col min="8" max="8" width="8" hidden="0" customWidth="1"/>
    <x:col min="9" max="9" width="8" hidden="0" customWidth="1"/>
    <x:col min="10" max="10" width="8" hidden="0" customWidth="1"/>
    <x:col min="11" max="11" width="8" hidden="0" customWidth="1"/>
    <x:col min="12" max="12" width="8" hidden="0" customWidth="1"/>
    <x:col min="13" max="13" width="8" hidden="0" customWidth="1"/>
    <x:col min="14" max="14" width="8" hidden="0" customWidth="1"/>
  </x:cols>
  <x:sheetData>
    <x:row r="1" ht="28" customHeight="1">
      <x:c r="A1" s="1684" t="str">
        <x:v>41_V1.0ステータス</x:v>
      </x:c>
      <x:c r="B1" s="1684"/>
      <x:c r="C1" s="1684"/>
      <x:c r="D1" s="1684"/>
      <x:c r="E1" s="1684"/>
      <x:c r="F1" s="1684"/>
      <x:c r="G1" s="1684"/>
      <x:c r="H1" s="1684"/>
      <x:c r="I1" s="1684"/>
      <x:c r="J1" s="1684"/>
      <x:c r="K1" s="1684"/>
      <x:c r="L1" s="1684"/>
      <x:c r="M1" s="1684"/>
      <x:c r="N1" s="1684"/>
    </x:row>
    <x:row r="2" ht="30" customHeight="1">
      <x:c r="A2" s="1962" t="str">
        <x:v>Version1.1：内製・スモールスタート方針へ改訂。外部RFPは将来参考資料として保留。</x:v>
      </x:c>
      <x:c r="B2" s="1962"/>
      <x:c r="C2" s="1962"/>
      <x:c r="D2" s="1962"/>
      <x:c r="E2" s="1962"/>
      <x:c r="F2" s="1962"/>
      <x:c r="G2" s="1962"/>
      <x:c r="H2" s="1962"/>
      <x:c r="I2" s="1962"/>
      <x:c r="J2" s="1962"/>
      <x:c r="K2" s="1962"/>
      <x:c r="L2" s="1962"/>
      <x:c r="M2" s="1962"/>
      <x:c r="N2" s="1962"/>
    </x:row>
    <x:row r="4">
      <x:c r="A4" s="1730" t="str">
        <x:v>Version1.0 Baseline Status</x:v>
      </x:c>
      <x:c r="B4" s="1731"/>
      <x:c r="C4" s="1731"/>
      <x:c r="D4" s="1731"/>
      <x:c r="E4" s="1731"/>
      <x:c r="F4" s="1731"/>
      <x:c r="G4" s="1731"/>
      <x:c r="H4" s="1731"/>
      <x:c r="I4" s="1731"/>
      <x:c r="J4" s="1731"/>
      <x:c r="K4" s="1731"/>
      <x:c r="L4" s="1731"/>
      <x:c r="M4" s="1731"/>
      <x:c r="N4" s="1732"/>
    </x:row>
    <x:row r="6">
      <x:c r="A6" s="1737" t="str">
        <x:v>設計シート</x:v>
      </x:c>
      <x:c r="B6" s="1738"/>
      <x:c r="C6" s="1739"/>
      <x:c r="D6" s="1737" t="str">
        <x:v>Hard Freeze</x:v>
      </x:c>
      <x:c r="E6" s="1738"/>
      <x:c r="F6" s="1739"/>
      <x:c r="G6" s="1737" t="str">
        <x:v>Soft Freeze</x:v>
      </x:c>
      <x:c r="H6" s="1738"/>
      <x:c r="I6" s="1739"/>
      <x:c r="J6" s="1737" t="str">
        <x:v>未決事項</x:v>
      </x:c>
      <x:c r="K6" s="1738"/>
      <x:c r="L6" s="1739"/>
      <x:c r="M6" s="1737" t="str">
        <x:v>次Gate</x:v>
      </x:c>
      <x:c r="N6" s="1739"/>
    </x:row>
    <x:row r="7">
      <x:c r="A7" s="1754" t="str">
        <x:v>42</x:v>
      </x:c>
      <x:c r="B7" s="1755"/>
      <x:c r="C7" s="1756"/>
      <x:c r="D7" s="1754" t="str">
        <x:v>7</x:v>
      </x:c>
      <x:c r="E7" s="1755"/>
      <x:c r="F7" s="1756"/>
      <x:c r="G7" s="1781" t="str">
        <x:v>2</x:v>
      </x:c>
      <x:c r="H7" s="1782"/>
      <x:c r="I7" s="1783"/>
      <x:c r="J7" s="1808" t="str">
        <x:v>6</x:v>
      </x:c>
      <x:c r="K7" s="1809"/>
      <x:c r="L7" s="1810"/>
      <x:c r="M7" s="1830" t="str">
        <x:v>Phase 0</x:v>
      </x:c>
      <x:c r="N7" s="1831"/>
    </x:row>
    <x:row r="8">
      <x:c r="A8" s="1757"/>
      <x:c r="B8" s="1758"/>
      <x:c r="C8" s="1759"/>
      <x:c r="D8" s="1757"/>
      <x:c r="E8" s="1758"/>
      <x:c r="F8" s="1759"/>
      <x:c r="G8" s="1784"/>
      <x:c r="H8" s="1785"/>
      <x:c r="I8" s="1786"/>
      <x:c r="J8" s="1811"/>
      <x:c r="K8" s="1812"/>
      <x:c r="L8" s="1813"/>
      <x:c r="M8" s="1832"/>
      <x:c r="N8" s="1833"/>
    </x:row>
    <x:row r="9">
      <x:c r="A9" s="1764" t="str">
        <x:v>完成</x:v>
      </x:c>
      <x:c r="B9" s="1765"/>
      <x:c r="C9" s="1766"/>
      <x:c r="D9" s="1764" t="str">
        <x:v>確定</x:v>
      </x:c>
      <x:c r="E9" s="1765"/>
      <x:c r="F9" s="1766"/>
      <x:c r="G9" s="1791" t="str">
        <x:v>Fit&amp;Gap対象</x:v>
      </x:c>
      <x:c r="H9" s="1792"/>
      <x:c r="I9" s="1793"/>
      <x:c r="J9" s="1818" t="str">
        <x:v>社内・契約</x:v>
      </x:c>
      <x:c r="K9" s="1819"/>
      <x:c r="L9" s="1820"/>
      <x:c r="M9" s="1837" t="str">
        <x:v>Fit&amp;Gap</x:v>
      </x:c>
      <x:c r="N9" s="1838"/>
    </x:row>
    <x:row r="11">
      <x:c r="A11" s="1840" t="str">
        <x:v>Baseline判定</x:v>
      </x:c>
      <x:c r="B11" s="1841"/>
      <x:c r="C11" s="1841"/>
      <x:c r="D11" s="1841"/>
      <x:c r="E11" s="1841"/>
      <x:c r="F11" s="1841"/>
      <x:c r="G11" s="1841"/>
      <x:c r="H11" s="1841"/>
      <x:c r="I11" s="1841"/>
      <x:c r="J11" s="1841"/>
      <x:c r="K11" s="1841"/>
      <x:c r="L11" s="1841"/>
      <x:c r="M11" s="1841"/>
      <x:c r="N11" s="1842"/>
    </x:row>
    <x:row r="12">
      <x:c r="A12" s="1862" t="str">
        <x:v>Energy Doctor Version1.0は、診断思想、質問・採点、Guardrail、Evidence、断定統制、AI責任範囲、A3レポート、LP・システム要件、RFP・選定・契約・運用統制まで一貫したBaselineとして成立しています。診断ロジックと帳票はHard Freeze、UI・技術方式は開発会社とのFit&amp;Gapを前提とするSoft Freezeです。</x:v>
      </x:c>
      <x:c r="B12" s="1863"/>
      <x:c r="C12" s="1863"/>
      <x:c r="D12" s="1863"/>
      <x:c r="E12" s="1863"/>
      <x:c r="F12" s="1863"/>
      <x:c r="G12" s="1863"/>
      <x:c r="H12" s="1863"/>
      <x:c r="I12" s="1863"/>
      <x:c r="J12" s="1863"/>
      <x:c r="K12" s="1863"/>
      <x:c r="L12" s="1863"/>
      <x:c r="M12" s="1863"/>
      <x:c r="N12" s="1864"/>
    </x:row>
    <x:row r="13">
      <x:c r="A13" s="1865"/>
      <x:c r="B13" s="1866"/>
      <x:c r="C13" s="1866"/>
      <x:c r="D13" s="1866"/>
      <x:c r="E13" s="1866"/>
      <x:c r="F13" s="1866"/>
      <x:c r="G13" s="1866"/>
      <x:c r="H13" s="1866"/>
      <x:c r="I13" s="1866"/>
      <x:c r="J13" s="1866"/>
      <x:c r="K13" s="1866"/>
      <x:c r="L13" s="1866"/>
      <x:c r="M13" s="1866"/>
      <x:c r="N13" s="1867"/>
    </x:row>
    <x:row r="14">
      <x:c r="A14" s="1865"/>
      <x:c r="B14" s="1866"/>
      <x:c r="C14" s="1866"/>
      <x:c r="D14" s="1866"/>
      <x:c r="E14" s="1866"/>
      <x:c r="F14" s="1866"/>
      <x:c r="G14" s="1866"/>
      <x:c r="H14" s="1866"/>
      <x:c r="I14" s="1866"/>
      <x:c r="J14" s="1866"/>
      <x:c r="K14" s="1866"/>
      <x:c r="L14" s="1866"/>
      <x:c r="M14" s="1866"/>
      <x:c r="N14" s="1867"/>
    </x:row>
    <x:row r="15">
      <x:c r="A15" s="1868"/>
      <x:c r="B15" s="1869"/>
      <x:c r="C15" s="1869"/>
      <x:c r="D15" s="1869"/>
      <x:c r="E15" s="1869"/>
      <x:c r="F15" s="1869"/>
      <x:c r="G15" s="1869"/>
      <x:c r="H15" s="1869"/>
      <x:c r="I15" s="1869"/>
      <x:c r="J15" s="1869"/>
      <x:c r="K15" s="1869"/>
      <x:c r="L15" s="1869"/>
      <x:c r="M15" s="1869"/>
      <x:c r="N15" s="1870"/>
    </x:row>
    <x:row r="17">
      <x:c r="A17" s="1872" t="str">
        <x:v>Version1.0で確定したもの</x:v>
      </x:c>
      <x:c r="B17" s="1873"/>
      <x:c r="C17" s="1873"/>
      <x:c r="D17" s="1873"/>
      <x:c r="E17" s="1873"/>
      <x:c r="F17" s="1873"/>
      <x:c r="G17" s="1874"/>
      <x:c r="H17" s="1904" t="str">
        <x:v>Phase 0で決めるもの</x:v>
      </x:c>
      <x:c r="I17" s="1905"/>
      <x:c r="J17" s="1905"/>
      <x:c r="K17" s="1905"/>
      <x:c r="L17" s="1905"/>
      <x:c r="M17" s="1905"/>
      <x:c r="N17" s="1906"/>
    </x:row>
    <x:row r="18">
      <x:c r="A18" s="1894" t="str">
        <x:v>・5指標と正式算定式
・Decision Guardrailの独立表示と順位
・TOP5順位・重複排除
・診断信頼度、情報充足率、Level1～3
・L0～L3断定統制
・AIは整文のみ
・A3横2ページの正式構成
・受入条件、Phase Gate、変更管理
・契約・知財・データ・撤退性の確認項目</x:v>
      </x:c>
      <x:c r="B18" s="1895"/>
      <x:c r="C18" s="1895"/>
      <x:c r="D18" s="1895"/>
      <x:c r="E18" s="1895"/>
      <x:c r="F18" s="1895"/>
      <x:c r="G18" s="1896"/>
      <x:c r="H18" s="1894" t="str">
        <x:v>・初期開発費、年間運用費、3年間TCO上限
・採用ベンダーと開発体制
・クラウド、AIモデル、PDF生成方式
・認証、保存期間、国内外保管、再委託条件
・管理画面の実装範囲
・CRM/SFA連携の採否
・Phase1 PoCの確定スケジュールと検収条件</x:v>
      </x:c>
      <x:c r="I18" s="1895"/>
      <x:c r="J18" s="1895"/>
      <x:c r="K18" s="1895"/>
      <x:c r="L18" s="1895"/>
      <x:c r="M18" s="1895"/>
      <x:c r="N18" s="1896"/>
    </x:row>
    <x:row r="19">
      <x:c r="A19" s="1897"/>
      <x:c r="B19" s="1898"/>
      <x:c r="C19" s="1898"/>
      <x:c r="D19" s="1898"/>
      <x:c r="E19" s="1898"/>
      <x:c r="F19" s="1898"/>
      <x:c r="G19" s="1899"/>
      <x:c r="H19" s="1897"/>
      <x:c r="I19" s="1898"/>
      <x:c r="J19" s="1898"/>
      <x:c r="K19" s="1898"/>
      <x:c r="L19" s="1898"/>
      <x:c r="M19" s="1898"/>
      <x:c r="N19" s="1899"/>
    </x:row>
    <x:row r="20">
      <x:c r="A20" s="1897"/>
      <x:c r="B20" s="1898"/>
      <x:c r="C20" s="1898"/>
      <x:c r="D20" s="1898"/>
      <x:c r="E20" s="1898"/>
      <x:c r="F20" s="1898"/>
      <x:c r="G20" s="1899"/>
      <x:c r="H20" s="1897"/>
      <x:c r="I20" s="1898"/>
      <x:c r="J20" s="1898"/>
      <x:c r="K20" s="1898"/>
      <x:c r="L20" s="1898"/>
      <x:c r="M20" s="1898"/>
      <x:c r="N20" s="1899"/>
    </x:row>
    <x:row r="21">
      <x:c r="A21" s="1897"/>
      <x:c r="B21" s="1898"/>
      <x:c r="C21" s="1898"/>
      <x:c r="D21" s="1898"/>
      <x:c r="E21" s="1898"/>
      <x:c r="F21" s="1898"/>
      <x:c r="G21" s="1899"/>
      <x:c r="H21" s="1897"/>
      <x:c r="I21" s="1898"/>
      <x:c r="J21" s="1898"/>
      <x:c r="K21" s="1898"/>
      <x:c r="L21" s="1898"/>
      <x:c r="M21" s="1898"/>
      <x:c r="N21" s="1899"/>
    </x:row>
    <x:row r="22">
      <x:c r="A22" s="1897"/>
      <x:c r="B22" s="1898"/>
      <x:c r="C22" s="1898"/>
      <x:c r="D22" s="1898"/>
      <x:c r="E22" s="1898"/>
      <x:c r="F22" s="1898"/>
      <x:c r="G22" s="1899"/>
      <x:c r="H22" s="1897"/>
      <x:c r="I22" s="1898"/>
      <x:c r="J22" s="1898"/>
      <x:c r="K22" s="1898"/>
      <x:c r="L22" s="1898"/>
      <x:c r="M22" s="1898"/>
      <x:c r="N22" s="1899"/>
    </x:row>
    <x:row r="23">
      <x:c r="A23" s="1897"/>
      <x:c r="B23" s="1898"/>
      <x:c r="C23" s="1898"/>
      <x:c r="D23" s="1898"/>
      <x:c r="E23" s="1898"/>
      <x:c r="F23" s="1898"/>
      <x:c r="G23" s="1899"/>
      <x:c r="H23" s="1897"/>
      <x:c r="I23" s="1898"/>
      <x:c r="J23" s="1898"/>
      <x:c r="K23" s="1898"/>
      <x:c r="L23" s="1898"/>
      <x:c r="M23" s="1898"/>
      <x:c r="N23" s="1899"/>
    </x:row>
    <x:row r="24">
      <x:c r="A24" s="1897"/>
      <x:c r="B24" s="1898"/>
      <x:c r="C24" s="1898"/>
      <x:c r="D24" s="1898"/>
      <x:c r="E24" s="1898"/>
      <x:c r="F24" s="1898"/>
      <x:c r="G24" s="1899"/>
      <x:c r="H24" s="1897"/>
      <x:c r="I24" s="1898"/>
      <x:c r="J24" s="1898"/>
      <x:c r="K24" s="1898"/>
      <x:c r="L24" s="1898"/>
      <x:c r="M24" s="1898"/>
      <x:c r="N24" s="1899"/>
    </x:row>
    <x:row r="25">
      <x:c r="A25" s="1897"/>
      <x:c r="B25" s="1898"/>
      <x:c r="C25" s="1898"/>
      <x:c r="D25" s="1898"/>
      <x:c r="E25" s="1898"/>
      <x:c r="F25" s="1898"/>
      <x:c r="G25" s="1899"/>
      <x:c r="H25" s="1897"/>
      <x:c r="I25" s="1898"/>
      <x:c r="J25" s="1898"/>
      <x:c r="K25" s="1898"/>
      <x:c r="L25" s="1898"/>
      <x:c r="M25" s="1898"/>
      <x:c r="N25" s="1899"/>
    </x:row>
    <x:row r="26">
      <x:c r="A26" s="1897"/>
      <x:c r="B26" s="1898"/>
      <x:c r="C26" s="1898"/>
      <x:c r="D26" s="1898"/>
      <x:c r="E26" s="1898"/>
      <x:c r="F26" s="1898"/>
      <x:c r="G26" s="1899"/>
      <x:c r="H26" s="1897"/>
      <x:c r="I26" s="1898"/>
      <x:c r="J26" s="1898"/>
      <x:c r="K26" s="1898"/>
      <x:c r="L26" s="1898"/>
      <x:c r="M26" s="1898"/>
      <x:c r="N26" s="1899"/>
    </x:row>
    <x:row r="27">
      <x:c r="A27" s="1897"/>
      <x:c r="B27" s="1898"/>
      <x:c r="C27" s="1898"/>
      <x:c r="D27" s="1898"/>
      <x:c r="E27" s="1898"/>
      <x:c r="F27" s="1898"/>
      <x:c r="G27" s="1899"/>
      <x:c r="H27" s="1897"/>
      <x:c r="I27" s="1898"/>
      <x:c r="J27" s="1898"/>
      <x:c r="K27" s="1898"/>
      <x:c r="L27" s="1898"/>
      <x:c r="M27" s="1898"/>
      <x:c r="N27" s="1899"/>
    </x:row>
    <x:row r="28">
      <x:c r="A28" s="1900"/>
      <x:c r="B28" s="1901"/>
      <x:c r="C28" s="1901"/>
      <x:c r="D28" s="1901"/>
      <x:c r="E28" s="1901"/>
      <x:c r="F28" s="1901"/>
      <x:c r="G28" s="1902"/>
      <x:c r="H28" s="1900"/>
      <x:c r="I28" s="1901"/>
      <x:c r="J28" s="1901"/>
      <x:c r="K28" s="1901"/>
      <x:c r="L28" s="1901"/>
      <x:c r="M28" s="1901"/>
      <x:c r="N28" s="1902"/>
    </x:row>
    <x:row r="30">
      <x:c r="A30" s="1908" t="str">
        <x:v>次の正式アクション</x:v>
      </x:c>
      <x:c r="B30" s="1909"/>
      <x:c r="C30" s="1909"/>
      <x:c r="D30" s="1909"/>
      <x:c r="E30" s="1909"/>
      <x:c r="F30" s="1909"/>
      <x:c r="G30" s="1909"/>
      <x:c r="H30" s="1909"/>
      <x:c r="I30" s="1909"/>
      <x:c r="J30" s="1909"/>
      <x:c r="K30" s="1909"/>
      <x:c r="L30" s="1909"/>
      <x:c r="M30" s="1909"/>
      <x:c r="N30" s="1910"/>
    </x:row>
    <x:row r="31" ht="38" customHeight="1">
      <x:c r="A31" s="1699" t="str">
        <x:v>順位</x:v>
      </x:c>
      <x:c r="B31" s="1700" t="str">
        <x:v>アクション</x:v>
      </x:c>
      <x:c r="C31" s="1700" t="str">
        <x:v>内容</x:v>
      </x:c>
      <x:c r="D31" s="1700" t="str">
        <x:v>参照</x:v>
      </x:c>
      <x:c r="E31" s="1701" t="str">
        <x:v>責任者</x:v>
      </x:c>
      <x:c r="F31" s="1913"/>
      <x:c r="G31" s="1913"/>
      <x:c r="H31" s="1913"/>
      <x:c r="I31" s="1913"/>
      <x:c r="J31" s="1913"/>
      <x:c r="K31" s="1913"/>
      <x:c r="L31" s="1913"/>
      <x:c r="M31" s="1913"/>
      <x:c r="N31" s="1914"/>
    </x:row>
    <x:row r="32">
      <x:c r="A32" s="1718" t="str">
        <x:v>1</x:v>
      </x:c>
      <x:c r="B32" s="1719" t="str">
        <x:v>社内決裁</x:v>
      </x:c>
      <x:c r="C32" s="1719" t="str">
        <x:v>Phase0～1を対象とするRFP発行・概算予算枠を承認</x:v>
      </x:c>
      <x:c r="D32" s="1719" t="str">
        <x:v>30_社内決裁・予算計画</x:v>
      </x:c>
      <x:c r="E32" s="1720" t="str">
        <x:v>経営／事業責任者</x:v>
      </x:c>
      <x:c r="F32" s="1719"/>
      <x:c r="G32" s="1719"/>
      <x:c r="H32" s="1719"/>
      <x:c r="I32" s="1719"/>
      <x:c r="J32" s="1719"/>
      <x:c r="K32" s="1719"/>
      <x:c r="L32" s="1719"/>
      <x:c r="M32" s="1719"/>
      <x:c r="N32" s="1720"/>
    </x:row>
    <x:row r="33">
      <x:c r="A33" s="1721" t="str">
        <x:v>2</x:v>
      </x:c>
      <x:c r="B33" s="1521" t="str">
        <x:v>RFP発行</x:v>
      </x:c>
      <x:c r="C33" s="1521" t="str">
        <x:v>要件定義書兼RFP Rev.0.1とVersion1.0 Workbookを候補会社へ提示</x:v>
      </x:c>
      <x:c r="D33" s="1521" t="str">
        <x:v>25～29、37～40</x:v>
      </x:c>
      <x:c r="E33" s="1722" t="str">
        <x:v>PM／調達</x:v>
      </x:c>
      <x:c r="F33" s="1521"/>
      <x:c r="G33" s="1521"/>
      <x:c r="H33" s="1521"/>
      <x:c r="I33" s="1521"/>
      <x:c r="J33" s="1521"/>
      <x:c r="K33" s="1521"/>
      <x:c r="L33" s="1521"/>
      <x:c r="M33" s="1521"/>
      <x:c r="N33" s="1722"/>
    </x:row>
    <x:row r="34">
      <x:c r="A34" s="1721" t="str">
        <x:v>3</x:v>
      </x:c>
      <x:c r="B34" s="1521" t="str">
        <x:v>Fit&amp;Gap</x:v>
      </x:c>
      <x:c r="C34" s="1521" t="str">
        <x:v>開発方式、未決事項、概算見積、PoC計画を比較</x:v>
      </x:c>
      <x:c r="D34" s="1521" t="str">
        <x:v>20～24、38～40</x:v>
      </x:c>
      <x:c r="E34" s="1722" t="str">
        <x:v>PM／診断責任者</x:v>
      </x:c>
      <x:c r="F34" s="1521"/>
      <x:c r="G34" s="1521"/>
      <x:c r="H34" s="1521"/>
      <x:c r="I34" s="1521"/>
      <x:c r="J34" s="1521"/>
      <x:c r="K34" s="1521"/>
      <x:c r="L34" s="1521"/>
      <x:c r="M34" s="1521"/>
      <x:c r="N34" s="1722"/>
    </x:row>
    <x:row r="35">
      <x:c r="A35" s="1721" t="str">
        <x:v>4</x:v>
      </x:c>
      <x:c r="B35" s="1521" t="str">
        <x:v>ベンダー選定</x:v>
      </x:c>
      <x:c r="C35" s="1521" t="str">
        <x:v>技術・AI統制・費用・契約を加重評価</x:v>
      </x:c>
      <x:c r="D35" s="1521" t="str">
        <x:v>27_提案評価</x:v>
      </x:c>
      <x:c r="E35" s="1722" t="str">
        <x:v>経営／PM</x:v>
      </x:c>
      <x:c r="F35" s="1521"/>
      <x:c r="G35" s="1521"/>
      <x:c r="H35" s="1521"/>
      <x:c r="I35" s="1521"/>
      <x:c r="J35" s="1521"/>
      <x:c r="K35" s="1521"/>
      <x:c r="L35" s="1521"/>
      <x:c r="M35" s="1521"/>
      <x:c r="N35" s="1722"/>
    </x:row>
    <x:row r="36">
      <x:c r="A36" s="1723" t="str">
        <x:v>5</x:v>
      </x:c>
      <x:c r="B36" s="1724" t="str">
        <x:v>Phase1開始</x:v>
      </x:c>
      <x:c r="C36" s="1724" t="str">
        <x:v>診断エンジンPoCを実装しAT-002～010で検証</x:v>
      </x:c>
      <x:c r="D36" s="1724" t="str">
        <x:v>28、39、24</x:v>
      </x:c>
      <x:c r="E36" s="1725" t="str">
        <x:v>開発会社／QA</x:v>
      </x:c>
      <x:c r="F36" s="1724"/>
      <x:c r="G36" s="1724"/>
      <x:c r="H36" s="1724"/>
      <x:c r="I36" s="1724"/>
      <x:c r="J36" s="1724"/>
      <x:c r="K36" s="1724"/>
      <x:c r="L36" s="1724"/>
      <x:c r="M36" s="1724"/>
      <x:c r="N36" s="1725"/>
    </x:row>
    <x:row r="38">
      <x:c r="A38" s="2011" t="str">
        <x:v>Version1.1追加方針</x:v>
      </x:c>
      <x:c r="B38" s="2012"/>
      <x:c r="C38" s="2012"/>
      <x:c r="D38" s="2012"/>
      <x:c r="E38" s="2012"/>
      <x:c r="F38" s="2012"/>
      <x:c r="G38" s="2012"/>
      <x:c r="H38" s="2012"/>
      <x:c r="I38" s="2012"/>
      <x:c r="J38" s="2012"/>
      <x:c r="K38" s="2012"/>
      <x:c r="L38" s="2012"/>
      <x:c r="M38" s="2012"/>
      <x:c r="N38" s="2013"/>
    </x:row>
    <x:row r="39">
      <x:c r="A39" s="1993" t="str">
        <x:v>開発方式</x:v>
      </x:c>
      <x:c r="B39" s="1994" t="str">
        <x:v>社内ノーコード・ローコード。外部開発費は当面ゼロ。</x:v>
      </x:c>
      <x:c r="C39" s="1994"/>
      <x:c r="D39" s="1994"/>
      <x:c r="E39" s="1994"/>
      <x:c r="F39" s="1994"/>
      <x:c r="G39" s="1994"/>
      <x:c r="H39" s="1994"/>
      <x:c r="I39" s="1994"/>
      <x:c r="J39" s="1994"/>
      <x:c r="K39" s="1994"/>
      <x:c r="L39" s="1994"/>
      <x:c r="M39" s="1994"/>
      <x:c r="N39" s="1995"/>
    </x:row>
    <x:row r="40">
      <x:c r="A40" s="1996" t="str">
        <x:v>運用規模</x:v>
      </x:c>
      <x:c r="B40" s="1521" t="str">
        <x:v>月数件のA3発行。営業担当による個別紹介。</x:v>
      </x:c>
      <x:c r="C40" s="1521"/>
      <x:c r="D40" s="1521"/>
      <x:c r="E40" s="1521"/>
      <x:c r="F40" s="1521"/>
      <x:c r="G40" s="1521"/>
      <x:c r="H40" s="1521"/>
      <x:c r="I40" s="1521"/>
      <x:c r="J40" s="1521"/>
      <x:c r="K40" s="1521"/>
      <x:c r="L40" s="1521"/>
      <x:c r="M40" s="1521"/>
      <x:c r="N40" s="1997"/>
    </x:row>
    <x:row r="41">
      <x:c r="A41" s="1996" t="str">
        <x:v>顧客対応</x:v>
      </x:c>
      <x:c r="B41" s="1521" t="str">
        <x:v>メール要求後、メール・電話・訪問で個別対応。</x:v>
      </x:c>
      <x:c r="C41" s="1521"/>
      <x:c r="D41" s="1521"/>
      <x:c r="E41" s="1521"/>
      <x:c r="F41" s="1521"/>
      <x:c r="G41" s="1521"/>
      <x:c r="H41" s="1521"/>
      <x:c r="I41" s="1521"/>
      <x:c r="J41" s="1521"/>
      <x:c r="K41" s="1521"/>
      <x:c r="L41" s="1521"/>
      <x:c r="M41" s="1521"/>
      <x:c r="N41" s="1997"/>
    </x:row>
    <x:row r="42">
      <x:c r="A42" s="1996" t="str">
        <x:v>情報管理</x:v>
      </x:c>
      <x:c r="B42" s="1521" t="str">
        <x:v>顧客アップロード情報は通常営業と同等の秘密情報。</x:v>
      </x:c>
      <x:c r="C42" s="1521"/>
      <x:c r="D42" s="1521"/>
      <x:c r="E42" s="1521"/>
      <x:c r="F42" s="1521"/>
      <x:c r="G42" s="1521"/>
      <x:c r="H42" s="1521"/>
      <x:c r="I42" s="1521"/>
      <x:c r="J42" s="1521"/>
      <x:c r="K42" s="1521"/>
      <x:c r="L42" s="1521"/>
      <x:c r="M42" s="1521"/>
      <x:c r="N42" s="1997"/>
    </x:row>
    <x:row r="43">
      <x:c r="A43" s="1998" t="str">
        <x:v>次のGate</x:v>
      </x:c>
      <x:c r="B43" s="1999" t="str">
        <x:v>Stage 0：既存Web・フォーム・保存・AI利用環境の確認。</x:v>
      </x:c>
      <x:c r="C43" s="1999"/>
      <x:c r="D43" s="1999"/>
      <x:c r="E43" s="1999"/>
      <x:c r="F43" s="1999"/>
      <x:c r="G43" s="1999"/>
      <x:c r="H43" s="1999"/>
      <x:c r="I43" s="1999"/>
      <x:c r="J43" s="1999"/>
      <x:c r="K43" s="1999"/>
      <x:c r="L43" s="1999"/>
      <x:c r="M43" s="1999"/>
      <x:c r="N43" s="2000"/>
    </x:row>
  </x:sheetData>
  <x:mergeCells>
    <x:mergeCell ref="A1:N1"/>
    <x:mergeCell ref="A2:N2"/>
    <x:mergeCell ref="A4:N4"/>
    <x:mergeCell ref="A6:C6"/>
    <x:mergeCell ref="A7:C8"/>
    <x:mergeCell ref="A9:C9"/>
    <x:mergeCell ref="D6:F6"/>
    <x:mergeCell ref="D7:F8"/>
    <x:mergeCell ref="D9:F9"/>
    <x:mergeCell ref="G6:I6"/>
    <x:mergeCell ref="G7:I8"/>
    <x:mergeCell ref="G9:I9"/>
    <x:mergeCell ref="J6:L6"/>
    <x:mergeCell ref="J7:L8"/>
    <x:mergeCell ref="J9:L9"/>
    <x:mergeCell ref="M6:N6"/>
    <x:mergeCell ref="M7:N8"/>
    <x:mergeCell ref="M9:N9"/>
    <x:mergeCell ref="A11:N11"/>
    <x:mergeCell ref="A12:N15"/>
    <x:mergeCell ref="A17:G17"/>
    <x:mergeCell ref="A18:G28"/>
    <x:mergeCell ref="H17:N17"/>
    <x:mergeCell ref="H18:N28"/>
    <x:mergeCell ref="A30:N30"/>
    <x:mergeCell ref="E31:N31"/>
    <x:mergeCell ref="E32:N32"/>
    <x:mergeCell ref="E33:N33"/>
    <x:mergeCell ref="E34:N34"/>
    <x:mergeCell ref="E35:N35"/>
    <x:mergeCell ref="E36:N36"/>
    <x:mergeCell ref="A38:N38"/>
    <x:mergeCell ref="B39:N39"/>
    <x:mergeCell ref="B40:N40"/>
    <x:mergeCell ref="B41:N41"/>
    <x:mergeCell ref="B42:N42"/>
    <x:mergeCell ref="B43:N43"/>
  </x:mergeCells>
  <x:pageMargins left="0.7" right="0.7" top="0.75" bottom="0.75" header="0.3" footer="0.3"/>
</x:worksheet>
</file>

<file path=xl/worksheets/sheet43.xml><?xml version="1.0" encoding="utf-8"?>
<x:worksheet xmlns:x="http://schemas.openxmlformats.org/spreadsheetml/2006/main">
  <x:sheetFormatPr defaultRowHeight="15"/>
  <x:cols>
    <x:col min="1" max="1" width="12" hidden="0" customWidth="1"/>
    <x:col min="2" max="2" width="18" hidden="0" customWidth="1"/>
    <x:col min="3" max="3" width="38" hidden="0" customWidth="1"/>
    <x:col min="4" max="4" width="34" hidden="0" customWidth="1"/>
    <x:col min="5" max="5" width="20" hidden="0" customWidth="1"/>
    <x:col min="6" max="6" width="30" hidden="0" customWidth="1"/>
    <x:col min="7" max="7" width="30" hidden="0" customWidth="1"/>
    <x:col min="8" max="8" width="18" hidden="0" customWidth="1"/>
    <x:col min="9" max="9" width="22" hidden="0" customWidth="1"/>
    <x:col min="10" max="10" width="28" hidden="0" customWidth="1"/>
    <x:col min="11" max="11" width="16" hidden="0" customWidth="1"/>
    <x:col min="12" max="12" width="14" hidden="0" customWidth="1"/>
    <x:col min="13" max="13" width="18" hidden="0" customWidth="1"/>
    <x:col min="14" max="14" width="22" hidden="0" customWidth="1"/>
  </x:cols>
  <x:sheetData>
    <x:row r="1" ht="28" customHeight="1">
      <x:c r="A1" s="1959" t="str">
        <x:v>42_内製MVP方針</x:v>
      </x:c>
      <x:c r="B1" s="1959"/>
      <x:c r="C1" s="1959"/>
      <x:c r="D1" s="1959"/>
      <x:c r="E1" s="1959"/>
      <x:c r="F1" s="1959"/>
      <x:c r="G1" s="1959"/>
      <x:c r="H1" s="1959"/>
      <x:c r="I1" s="1959"/>
      <x:c r="J1" s="1959"/>
      <x:c r="K1" s="1959"/>
      <x:c r="L1" s="1959"/>
      <x:c r="M1" s="1959"/>
      <x:c r="N1" s="1959"/>
    </x:row>
    <x:row r="2" ht="36" customHeight="1">
      <x:c r="A2" s="1962" t="str">
        <x:v>外部開発費をかけず、総合インサイト営業のリードメニューとして月数件から段階的に成長させる。</x:v>
      </x:c>
      <x:c r="B2" s="1962"/>
      <x:c r="C2" s="1962"/>
      <x:c r="D2" s="1962"/>
      <x:c r="E2" s="1962"/>
      <x:c r="F2" s="1962"/>
      <x:c r="G2" s="1962"/>
      <x:c r="H2" s="1962"/>
      <x:c r="I2" s="1962"/>
      <x:c r="J2" s="1962"/>
      <x:c r="K2" s="1962"/>
      <x:c r="L2" s="1962"/>
      <x:c r="M2" s="1962"/>
      <x:c r="N2" s="1962"/>
    </x:row>
    <x:row r="4" ht="38" customHeight="1">
      <x:c r="A4" s="1974" t="str">
        <x:v>方針ID</x:v>
      </x:c>
      <x:c r="B4" s="1975" t="str">
        <x:v>テーマ</x:v>
      </x:c>
      <x:c r="C4" s="1975" t="str">
        <x:v>正式方針</x:v>
      </x:c>
      <x:c r="D4" s="1975" t="str">
        <x:v>初期条件</x:v>
      </x:c>
      <x:c r="E4" s="1975" t="str">
        <x:v>実施主体</x:v>
      </x:c>
      <x:c r="F4" s="1975" t="str">
        <x:v>AIの役割</x:v>
      </x:c>
      <x:c r="G4" s="1975" t="str">
        <x:v>人の責任</x:v>
      </x:c>
      <x:c r="H4" s="1975" t="str">
        <x:v>追加費用方針</x:v>
      </x:c>
      <x:c r="I4" s="1975" t="str">
        <x:v>成長条件</x:v>
      </x:c>
      <x:c r="J4" s="1975" t="str">
        <x:v>禁止事項</x:v>
      </x:c>
      <x:c r="K4" s="1975" t="str">
        <x:v>見直し時期</x:v>
      </x:c>
      <x:c r="L4" s="1975" t="str">
        <x:v>状態</x:v>
      </x:c>
      <x:c r="M4" s="1975" t="str">
        <x:v>承認者</x:v>
      </x:c>
      <x:c r="N4" s="1976" t="str">
        <x:v>備考</x:v>
      </x:c>
    </x:row>
    <x:row r="5">
      <x:c r="A5" s="1993" t="str">
        <x:v>POL-001</x:v>
      </x:c>
      <x:c r="B5" s="1994" t="str">
        <x:v>事業位置付け</x:v>
      </x:c>
      <x:c r="C5" s="1994" t="str">
        <x:v>Energy Doctorは総合インサイト営業のリードメニュー</x:v>
      </x:c>
      <x:c r="D5" s="1994" t="str">
        <x:v>営業時に個別紹介し、積極的な広告告知は行わない</x:v>
      </x:c>
      <x:c r="E5" s="1994" t="str">
        <x:v>営業・事業責任者</x:v>
      </x:c>
      <x:c r="F5" s="1994" t="str">
        <x:v>設計・実装支援、文章整形、運用補助</x:v>
      </x:c>
      <x:c r="G5" s="1994" t="str">
        <x:v>案件化、顧客対応、正式発行</x:v>
      </x:c>
      <x:c r="H5" s="1994" t="str">
        <x:v>当面ゼロ</x:v>
      </x:c>
      <x:c r="I5" s="1994" t="str">
        <x:v>月10件超または運用負荷増大</x:v>
      </x:c>
      <x:c r="J5" s="1994" t="str">
        <x:v>単独収益事業として先行投資</x:v>
      </x:c>
      <x:c r="K5" s="1994" t="str">
        <x:v>四半期</x:v>
      </x:c>
      <x:c r="L5" s="1994" t="str">
        <x:v>確定</x:v>
      </x:c>
      <x:c r="M5" s="1994" t="str"/>
      <x:c r="N5" s="1995" t="str"/>
    </x:row>
    <x:row r="6">
      <x:c r="A6" s="1996" t="str">
        <x:v>POL-002</x:v>
      </x:c>
      <x:c r="B6" s="1521" t="str">
        <x:v>開発方式</x:v>
      </x:c>
      <x:c r="C6" s="1521" t="str">
        <x:v>ノーコード・ローコードを原則とする</x:v>
      </x:c>
      <x:c r="D6" s="1521" t="str">
        <x:v>既存ライセンス・既存環境を最優先</x:v>
      </x:c>
      <x:c r="E6" s="1521" t="str">
        <x:v>社内＋情報システム</x:v>
      </x:c>
      <x:c r="F6" s="1521" t="str">
        <x:v>設定案、式、テスト、改善案</x:v>
      </x:c>
      <x:c r="G6" s="1521" t="str">
        <x:v>権限・安全・本番承認</x:v>
      </x:c>
      <x:c r="H6" s="1521" t="str">
        <x:v>追加ライセンスは個別承認</x:v>
      </x:c>
      <x:c r="I6" s="1521" t="str">
        <x:v>既存環境で不足が明確</x:v>
      </x:c>
      <x:c r="J6" s="1521" t="str">
        <x:v>外部開発前提への逆戻り</x:v>
      </x:c>
      <x:c r="K6" s="1521" t="str">
        <x:v>各Stage終了時</x:v>
      </x:c>
      <x:c r="L6" s="1521" t="str">
        <x:v>確定</x:v>
      </x:c>
      <x:c r="M6" s="1521" t="str"/>
      <x:c r="N6" s="1997" t="str"/>
    </x:row>
    <x:row r="7">
      <x:c r="A7" s="1996" t="str">
        <x:v>POL-003</x:v>
      </x:c>
      <x:c r="B7" s="1521" t="str">
        <x:v>公開方法</x:v>
      </x:c>
      <x:c r="C7" s="1521" t="str">
        <x:v>公開Webだが営業担当からの個別案内を主とする</x:v>
      </x:c>
      <x:c r="D7" s="1521" t="str">
        <x:v>検索広告・大規模告知なし</x:v>
      </x:c>
      <x:c r="E7" s="1521" t="str">
        <x:v>営業・Web担当</x:v>
      </x:c>
      <x:c r="F7" s="1521" t="str">
        <x:v>FAQ、案内文、入力支援</x:v>
      </x:c>
      <x:c r="G7" s="1521" t="str">
        <x:v>顧客説明と同意取得</x:v>
      </x:c>
      <x:c r="H7" s="1521" t="str">
        <x:v>既存Web範囲内</x:v>
      </x:c>
      <x:c r="I7" s="1521" t="str">
        <x:v>安定運用と案件化確認</x:v>
      </x:c>
      <x:c r="J7" s="1521" t="str">
        <x:v>無審査の大量流入誘導</x:v>
      </x:c>
      <x:c r="K7" s="1521" t="str">
        <x:v>3か月</x:v>
      </x:c>
      <x:c r="L7" s="1521" t="str">
        <x:v>確定</x:v>
      </x:c>
      <x:c r="M7" s="1521" t="str"/>
      <x:c r="N7" s="1997" t="str"/>
    </x:row>
    <x:row r="8">
      <x:c r="A8" s="1996" t="str">
        <x:v>POL-004</x:v>
      </x:c>
      <x:c r="B8" s="1521" t="str">
        <x:v>レポート発行</x:v>
      </x:c>
      <x:c r="C8" s="1521" t="str">
        <x:v>LPからメールでレポート要求を受付後、個別対応</x:v>
      </x:c>
      <x:c r="D8" s="1521" t="str">
        <x:v>メール、電話、訪問でフォロー</x:v>
      </x:c>
      <x:c r="E8" s="1521" t="str">
        <x:v>営業・診断担当</x:v>
      </x:c>
      <x:c r="F8" s="1521" t="str">
        <x:v>下書き・チェック・送付文案</x:v>
      </x:c>
      <x:c r="G8" s="1521" t="str">
        <x:v>最終確認、顧客接触、正式送付</x:v>
      </x:c>
      <x:c r="H8" s="1521" t="str">
        <x:v>当面手作業許容</x:v>
      </x:c>
      <x:c r="I8" s="1521" t="str">
        <x:v>月10件超または遅延発生</x:v>
      </x:c>
      <x:c r="J8" s="1521" t="str">
        <x:v>完全自動で即時発行</x:v>
      </x:c>
      <x:c r="K8" s="1521" t="str">
        <x:v>月次</x:v>
      </x:c>
      <x:c r="L8" s="1521" t="str">
        <x:v>確定</x:v>
      </x:c>
      <x:c r="M8" s="1521" t="str"/>
      <x:c r="N8" s="1997" t="str"/>
    </x:row>
    <x:row r="9">
      <x:c r="A9" s="1996" t="str">
        <x:v>POL-005</x:v>
      </x:c>
      <x:c r="B9" s="1521" t="str">
        <x:v>顧客情報</x:v>
      </x:c>
      <x:c r="C9" s="1521" t="str">
        <x:v>アップロード情報は通常営業と同等の秘密情報として扱う</x:v>
      </x:c>
      <x:c r="D9" s="1521" t="str">
        <x:v>図面、写真、報告書、設備情報を含む</x:v>
      </x:c>
      <x:c r="E9" s="1521" t="str">
        <x:v>営業・情報システム</x:v>
      </x:c>
      <x:c r="F9" s="1521" t="str">
        <x:v>分類・不足確認・台帳化補助</x:v>
      </x:c>
      <x:c r="G9" s="1521" t="str">
        <x:v>閲覧権限、保管、削除、誤送信防止</x:v>
      </x:c>
      <x:c r="H9" s="1521" t="str">
        <x:v>既存情報管理基盤内</x:v>
      </x:c>
      <x:c r="I9" s="1521" t="str">
        <x:v>情報量・件数増加</x:v>
      </x:c>
      <x:c r="J9" s="1521" t="str">
        <x:v>公開共有、無断学習利用</x:v>
      </x:c>
      <x:c r="K9" s="1521" t="str">
        <x:v>半期</x:v>
      </x:c>
      <x:c r="L9" s="1521" t="str">
        <x:v>確定</x:v>
      </x:c>
      <x:c r="M9" s="1521" t="str"/>
      <x:c r="N9" s="1997" t="str"/>
    </x:row>
    <x:row r="10">
      <x:c r="A10" s="1998" t="str">
        <x:v>POL-006</x:v>
      </x:c>
      <x:c r="B10" s="1999" t="str">
        <x:v>AI責任範囲</x:v>
      </x:c>
      <x:c r="C10" s="1999" t="str">
        <x:v>AIは診断判断を行わず、承認済みロジックを補助</x:v>
      </x:c>
      <x:c r="D10" s="1999" t="str">
        <x:v>Version1.0 Hard Freezeを維持</x:v>
      </x:c>
      <x:c r="E10" s="1999" t="str">
        <x:v>診断責任者＋AI</x:v>
      </x:c>
      <x:c r="F10" s="1999" t="str">
        <x:v>文章整形、確認、運用タスク化</x:v>
      </x:c>
      <x:c r="G10" s="1999" t="str">
        <x:v>判断、承認、顧客説明</x:v>
      </x:c>
      <x:c r="H10" s="1999" t="str">
        <x:v>既存AI利用範囲内</x:v>
      </x:c>
      <x:c r="I10" s="1999" t="str">
        <x:v>安全な自動化実績</x:v>
      </x:c>
      <x:c r="J10" s="1999" t="str">
        <x:v>AIによる独自診断・自動送信</x:v>
      </x:c>
      <x:c r="K10" s="1999" t="str">
        <x:v>各Version</x:v>
      </x:c>
      <x:c r="L10" s="1999" t="str">
        <x:v>確定</x:v>
      </x:c>
      <x:c r="M10" s="1999" t="str"/>
      <x:c r="N10" s="2000" t="str"/>
    </x:row>
  </x:sheetData>
  <x:mergeCells>
    <x:mergeCell ref="A1:N1"/>
    <x:mergeCell ref="A2:N2"/>
  </x:mergeCells>
  <x:dataValidations count="1">
    <x:dataValidation type="list" sqref="L5:L10">
      <x:formula1>"確定,確認中,見直し,廃止"</x:formula1>
    </x:dataValidation>
  </x:dataValidations>
  <x:pageMargins left="0.7" right="0.7" top="0.75" bottom="0.75" header="0.3" footer="0.3"/>
</x:worksheet>
</file>

<file path=xl/worksheets/sheet44.xml><?xml version="1.0" encoding="utf-8"?>
<x:worksheet xmlns:x="http://schemas.openxmlformats.org/spreadsheetml/2006/main">
  <x:sheetFormatPr defaultRowHeight="15"/>
  <x:cols>
    <x:col min="1" max="1" width="8" hidden="0" customWidth="1"/>
    <x:col min="2" max="2" width="26" hidden="0" customWidth="1"/>
    <x:col min="3" max="3" width="30" hidden="0" customWidth="1"/>
    <x:col min="4" max="4" width="20" hidden="0" customWidth="1"/>
    <x:col min="5" max="5" width="28" hidden="0" customWidth="1"/>
    <x:col min="6" max="6" width="28" hidden="0" customWidth="1"/>
    <x:col min="7" max="7" width="32" hidden="0" customWidth="1"/>
    <x:col min="8" max="8" width="16" hidden="0" customWidth="1"/>
    <x:col min="9" max="9" width="20" hidden="0" customWidth="1"/>
    <x:col min="10" max="10" width="20" hidden="0" customWidth="1"/>
    <x:col min="11" max="11" width="22" hidden="0" customWidth="1"/>
    <x:col min="12" max="12" width="24" hidden="0" customWidth="1"/>
    <x:col min="13" max="13" width="18" hidden="0" customWidth="1"/>
    <x:col min="14" max="14" width="16" hidden="0" customWidth="1"/>
    <x:col min="15" max="15" width="14" hidden="0" customWidth="1"/>
    <x:col min="16" max="16" width="20" hidden="0" customWidth="1"/>
  </x:cols>
  <x:sheetData>
    <x:row r="1" ht="28" customHeight="1">
      <x:c r="A1" s="1959" t="str">
        <x:v>43_顧客対応フロー</x:v>
      </x:c>
      <x:c r="B1" s="1959"/>
      <x:c r="C1" s="1959"/>
      <x:c r="D1" s="1959"/>
      <x:c r="E1" s="1959"/>
      <x:c r="F1" s="1959"/>
      <x:c r="G1" s="1959"/>
      <x:c r="H1" s="1959"/>
      <x:c r="I1" s="1959"/>
      <x:c r="J1" s="1959"/>
      <x:c r="K1" s="1959"/>
      <x:c r="L1" s="1959"/>
      <x:c r="M1" s="1959"/>
      <x:c r="N1" s="1959"/>
      <x:c r="O1" s="1959"/>
      <x:c r="P1" s="1959"/>
    </x:row>
    <x:row r="2" ht="36" customHeight="1">
      <x:c r="A2" s="1962" t="str">
        <x:v>LP受付からA3発行、メール・電話・訪問によるフォローまでの標準運用。</x:v>
      </x:c>
      <x:c r="B2" s="1962"/>
      <x:c r="C2" s="1962"/>
      <x:c r="D2" s="1962"/>
      <x:c r="E2" s="1962"/>
      <x:c r="F2" s="1962"/>
      <x:c r="G2" s="1962"/>
      <x:c r="H2" s="1962"/>
      <x:c r="I2" s="1962"/>
      <x:c r="J2" s="1962"/>
      <x:c r="K2" s="1962"/>
      <x:c r="L2" s="1962"/>
      <x:c r="M2" s="1962"/>
      <x:c r="N2" s="1962"/>
      <x:c r="O2" s="1962"/>
      <x:c r="P2" s="1962"/>
    </x:row>
    <x:row r="4" ht="38" customHeight="1">
      <x:c r="A4" s="1974" t="str">
        <x:v>Step</x:v>
      </x:c>
      <x:c r="B4" s="1975" t="str">
        <x:v>顧客行動</x:v>
      </x:c>
      <x:c r="C4" s="1975" t="str">
        <x:v>システム処理</x:v>
      </x:c>
      <x:c r="D4" s="1975" t="str">
        <x:v>社内通知</x:v>
      </x:c>
      <x:c r="E4" s="1975" t="str">
        <x:v>担当者作業</x:v>
      </x:c>
      <x:c r="F4" s="1975" t="str">
        <x:v>AI支援</x:v>
      </x:c>
      <x:c r="G4" s="1975" t="str">
        <x:v>確認ポイント</x:v>
      </x:c>
      <x:c r="H4" s="1975" t="str">
        <x:v>標準期限</x:v>
      </x:c>
      <x:c r="I4" s="1975" t="str">
        <x:v>顧客への連絡</x:v>
      </x:c>
      <x:c r="J4" s="1975" t="str">
        <x:v>記録先</x:v>
      </x:c>
      <x:c r="K4" s="1975" t="str">
        <x:v>完了条件</x:v>
      </x:c>
      <x:c r="L4" s="1975" t="str">
        <x:v>例外対応</x:v>
      </x:c>
      <x:c r="M4" s="1975" t="str">
        <x:v>責任者</x:v>
      </x:c>
      <x:c r="N4" s="1975" t="str">
        <x:v>機密区分</x:v>
      </x:c>
      <x:c r="O4" s="1975" t="str">
        <x:v>状態</x:v>
      </x:c>
      <x:c r="P4" s="1976" t="str">
        <x:v>備考</x:v>
      </x:c>
    </x:row>
    <x:row r="5">
      <x:c r="A5" s="1993" t="n">
        <x:v>1</x:v>
      </x:c>
      <x:c r="B5" s="1994" t="str">
        <x:v>営業担当からLP URLを受領</x:v>
      </x:c>
      <x:c r="C5" s="1994" t="str">
        <x:v>紹介元・URLを記録</x:v>
      </x:c>
      <x:c r="D5" s="1994" t="str">
        <x:v>なし</x:v>
      </x:c>
      <x:c r="E5" s="1994" t="str">
        <x:v>サービス説明</x:v>
      </x:c>
      <x:c r="F5" s="1994" t="str">
        <x:v>案内文作成</x:v>
      </x:c>
      <x:c r="G5" s="1994" t="str">
        <x:v>対象顧客・期待値の明確化</x:v>
      </x:c>
      <x:c r="H5" s="1994" t="str">
        <x:v>随時</x:v>
      </x:c>
      <x:c r="I5" s="1994" t="str">
        <x:v>メール／訪問時説明</x:v>
      </x:c>
      <x:c r="J5" s="1994" t="str">
        <x:v>営業記録</x:v>
      </x:c>
      <x:c r="K5" s="1994" t="str">
        <x:v>顧客が内容理解</x:v>
      </x:c>
      <x:c r="L5" s="1994" t="str">
        <x:v>口頭案内のみでも可</x:v>
      </x:c>
      <x:c r="M5" s="1994" t="str">
        <x:v>営業</x:v>
      </x:c>
      <x:c r="N5" s="1994" t="str">
        <x:v>通常営業秘密</x:v>
      </x:c>
      <x:c r="O5" s="1994" t="str">
        <x:v>運用</x:v>
      </x:c>
      <x:c r="P5" s="1995"/>
    </x:row>
    <x:row r="6">
      <x:c r="A6" s="1996" t="n">
        <x:v>2</x:v>
      </x:c>
      <x:c r="B6" s="1521" t="str">
        <x:v>LPで会社・工場情報を入力</x:v>
      </x:c>
      <x:c r="C6" s="1521" t="str">
        <x:v>診断セッション作成</x:v>
      </x:c>
      <x:c r="D6" s="1521" t="str">
        <x:v>受付通知</x:v>
      </x:c>
      <x:c r="E6" s="1521" t="str">
        <x:v>重複・誤入力確認</x:v>
      </x:c>
      <x:c r="F6" s="1521" t="str">
        <x:v>不足項目候補抽出</x:v>
      </x:c>
      <x:c r="G6" s="1521" t="str">
        <x:v>連絡先・同意・必須項目</x:v>
      </x:c>
      <x:c r="H6" s="1521" t="str">
        <x:v>即時</x:v>
      </x:c>
      <x:c r="I6" s="1521" t="str">
        <x:v>受付完了メール</x:v>
      </x:c>
      <x:c r="J6" s="1521" t="str">
        <x:v>診断台帳</x:v>
      </x:c>
      <x:c r="K6" s="1521" t="str">
        <x:v>受付番号発行</x:v>
      </x:c>
      <x:c r="L6" s="1521" t="str">
        <x:v>入力中断は再案内</x:v>
      </x:c>
      <x:c r="M6" s="1521" t="str">
        <x:v>システム/営業</x:v>
      </x:c>
      <x:c r="N6" s="1521" t="str">
        <x:v>秘密</x:v>
      </x:c>
      <x:c r="O6" s="1521" t="str">
        <x:v>運用</x:v>
      </x:c>
      <x:c r="P6" s="1997"/>
    </x:row>
    <x:row r="7">
      <x:c r="A7" s="1996" t="n">
        <x:v>3</x:v>
      </x:c>
      <x:c r="B7" s="1521" t="str">
        <x:v>質問回答・任意資料アップロード</x:v>
      </x:c>
      <x:c r="C7" s="1521" t="str">
        <x:v>回答・Evidenceを保存</x:v>
      </x:c>
      <x:c r="D7" s="1521" t="str">
        <x:v>完了通知</x:v>
      </x:c>
      <x:c r="E7" s="1521" t="str">
        <x:v>資料閲覧権限確認</x:v>
      </x:c>
      <x:c r="F7" s="1521" t="str">
        <x:v>矛盾・不足候補抽出</x:v>
      </x:c>
      <x:c r="G7" s="1521" t="str">
        <x:v>ファイル種別、機密性、ウイルス確認</x:v>
      </x:c>
      <x:c r="H7" s="1521" t="str">
        <x:v>当日</x:v>
      </x:c>
      <x:c r="I7" s="1521" t="str">
        <x:v>原則自動返信のみ</x:v>
      </x:c>
      <x:c r="J7" s="1521" t="str">
        <x:v>回答・Evidence台帳</x:v>
      </x:c>
      <x:c r="K7" s="1521" t="str">
        <x:v>回答受付完了</x:v>
      </x:c>
      <x:c r="L7" s="1521" t="str">
        <x:v>機密度高い資料は別経路</x:v>
      </x:c>
      <x:c r="M7" s="1521" t="str">
        <x:v>営業/情シス</x:v>
      </x:c>
      <x:c r="N7" s="1521" t="str">
        <x:v>秘密～厳秘</x:v>
      </x:c>
      <x:c r="O7" s="1521" t="str">
        <x:v>運用</x:v>
      </x:c>
      <x:c r="P7" s="1997"/>
    </x:row>
    <x:row r="8">
      <x:c r="A8" s="1996" t="n">
        <x:v>4</x:v>
      </x:c>
      <x:c r="B8" s="1521" t="str">
        <x:v>メールでA3レポートを要求</x:v>
      </x:c>
      <x:c r="C8" s="1521" t="str">
        <x:v>要求フラグ・日時を記録</x:v>
      </x:c>
      <x:c r="D8" s="1521" t="str">
        <x:v>営業・診断担当へ通知</x:v>
      </x:c>
      <x:c r="E8" s="1521" t="str">
        <x:v>対応優先度を設定</x:v>
      </x:c>
      <x:c r="F8" s="1521" t="str">
        <x:v>案件概要・ToDo整理</x:v>
      </x:c>
      <x:c r="G8" s="1521" t="str">
        <x:v>要求者本人・連絡先・用途</x:v>
      </x:c>
      <x:c r="H8" s="1521" t="str">
        <x:v>1営業日以内</x:v>
      </x:c>
      <x:c r="I8" s="1521" t="str">
        <x:v>受領連絡</x:v>
      </x:c>
      <x:c r="J8" s="1521" t="str">
        <x:v>案件台帳</x:v>
      </x:c>
      <x:c r="K8" s="1521" t="str">
        <x:v>担当者決定</x:v>
      </x:c>
      <x:c r="L8" s="1521" t="str">
        <x:v>電話要求も同様に記録</x:v>
      </x:c>
      <x:c r="M8" s="1521" t="str">
        <x:v>営業責任者</x:v>
      </x:c>
      <x:c r="N8" s="1521" t="str">
        <x:v>秘密</x:v>
      </x:c>
      <x:c r="O8" s="1521" t="str">
        <x:v>運用</x:v>
      </x:c>
      <x:c r="P8" s="1997"/>
    </x:row>
    <x:row r="9">
      <x:c r="A9" s="1996" t="n">
        <x:v>5</x:v>
      </x:c>
      <x:c r="B9" s="1521" t="str">
        <x:v>社内診断処理</x:v>
      </x:c>
      <x:c r="C9" s="1521" t="str">
        <x:v>5指標、Guardrail、TOP5、コメント生成</x:v>
      </x:c>
      <x:c r="D9" s="1521" t="str">
        <x:v>診断完了通知</x:v>
      </x:c>
      <x:c r="E9" s="1521" t="str">
        <x:v>Evidence・矛盾・表現レビュー</x:v>
      </x:c>
      <x:c r="F9" s="1521" t="str">
        <x:v>下書き・チェックリスト</x:v>
      </x:c>
      <x:c r="G9" s="1521" t="str">
        <x:v>L0～L3、強い表現、未知情報</x:v>
      </x:c>
      <x:c r="H9" s="1521" t="str">
        <x:v>2営業日以内</x:v>
      </x:c>
      <x:c r="I9" s="1521" t="str">
        <x:v>必要時追加質問</x:v>
      </x:c>
      <x:c r="J9" s="1521" t="str">
        <x:v>診断履歴</x:v>
      </x:c>
      <x:c r="K9" s="1521" t="str">
        <x:v>レビュー可能状態</x:v>
      </x:c>
      <x:c r="L9" s="1521" t="str">
        <x:v>不足時は顧客照会</x:v>
      </x:c>
      <x:c r="M9" s="1521" t="str">
        <x:v>診断担当</x:v>
      </x:c>
      <x:c r="N9" s="1521" t="str">
        <x:v>秘密</x:v>
      </x:c>
      <x:c r="O9" s="1521" t="str">
        <x:v>運用</x:v>
      </x:c>
      <x:c r="P9" s="1997"/>
    </x:row>
    <x:row r="10">
      <x:c r="A10" s="1996" t="n">
        <x:v>6</x:v>
      </x:c>
      <x:c r="B10" s="1521" t="str">
        <x:v>A3レポート最終確認</x:v>
      </x:c>
      <x:c r="C10" s="1521" t="str">
        <x:v>PDF生成・Version記録</x:v>
      </x:c>
      <x:c r="D10" s="1521" t="str">
        <x:v>承認依頼</x:v>
      </x:c>
      <x:c r="E10" s="1521" t="str">
        <x:v>最終承認</x:v>
      </x:c>
      <x:c r="F10" s="1521" t="str">
        <x:v>誤記・表現・体裁確認</x:v>
      </x:c>
      <x:c r="G10" s="1521" t="str">
        <x:v>顧客固有情報、免責、送付先</x:v>
      </x:c>
      <x:c r="H10" s="1521" t="str">
        <x:v>3営業日以内</x:v>
      </x:c>
      <x:c r="I10" s="1521" t="str">
        <x:v>送付予定連絡</x:v>
      </x:c>
      <x:c r="J10" s="1521" t="str">
        <x:v>承認履歴</x:v>
      </x:c>
      <x:c r="K10" s="1521" t="str">
        <x:v>発行承認</x:v>
      </x:c>
      <x:c r="L10" s="1521" t="str">
        <x:v>重大Guardrailは責任者確認</x:v>
      </x:c>
      <x:c r="M10" s="1521" t="str">
        <x:v>診断責任者</x:v>
      </x:c>
      <x:c r="N10" s="1521" t="str">
        <x:v>秘密</x:v>
      </x:c>
      <x:c r="O10" s="1521" t="str">
        <x:v>運用</x:v>
      </x:c>
      <x:c r="P10" s="1997"/>
    </x:row>
    <x:row r="11">
      <x:c r="A11" s="1996" t="n">
        <x:v>7</x:v>
      </x:c>
      <x:c r="B11" s="1521" t="str">
        <x:v>メールでA3送付</x:v>
      </x:c>
      <x:c r="C11" s="1521" t="str">
        <x:v>送付日時・ファイルを記録</x:v>
      </x:c>
      <x:c r="D11" s="1521" t="str">
        <x:v>営業へ完了通知</x:v>
      </x:c>
      <x:c r="E11" s="1521" t="str">
        <x:v>送付・説明予定設定</x:v>
      </x:c>
      <x:c r="F11" s="1521" t="str">
        <x:v>送付メール案</x:v>
      </x:c>
      <x:c r="G11" s="1521" t="str">
        <x:v>宛先・添付・誤送信防止</x:v>
      </x:c>
      <x:c r="H11" s="1521" t="str">
        <x:v>承認後当日</x:v>
      </x:c>
      <x:c r="I11" s="1521" t="str">
        <x:v>メール</x:v>
      </x:c>
      <x:c r="J11" s="1521" t="str">
        <x:v>送付履歴</x:v>
      </x:c>
      <x:c r="K11" s="1521" t="str">
        <x:v>顧客受領</x:v>
      </x:c>
      <x:c r="L11" s="1521" t="str">
        <x:v>機密度によりリンク送付</x:v>
      </x:c>
      <x:c r="M11" s="1521" t="str">
        <x:v>営業</x:v>
      </x:c>
      <x:c r="N11" s="1521" t="str">
        <x:v>秘密</x:v>
      </x:c>
      <x:c r="O11" s="1521" t="str">
        <x:v>運用</x:v>
      </x:c>
      <x:c r="P11" s="1997"/>
    </x:row>
    <x:row r="12">
      <x:c r="A12" s="1996" t="n">
        <x:v>8</x:v>
      </x:c>
      <x:c r="B12" s="1521" t="str">
        <x:v>電話または訪問で個別対応</x:v>
      </x:c>
      <x:c r="C12" s="1521" t="str">
        <x:v>活動記録を更新</x:v>
      </x:c>
      <x:c r="D12" s="1521" t="str">
        <x:v>フォロー期限通知</x:v>
      </x:c>
      <x:c r="E12" s="1521" t="str">
        <x:v>課題確認・次提案</x:v>
      </x:c>
      <x:c r="F12" s="1521" t="str">
        <x:v>面談メモ・次アクション整理</x:v>
      </x:c>
      <x:c r="G12" s="1521" t="str">
        <x:v>顧客反応、追加課題、案件化</x:v>
      </x:c>
      <x:c r="H12" s="1521" t="str">
        <x:v>原則5営業日以内</x:v>
      </x:c>
      <x:c r="I12" s="1521" t="str">
        <x:v>電話／訪問</x:v>
      </x:c>
      <x:c r="J12" s="1521" t="str">
        <x:v>営業記録</x:v>
      </x:c>
      <x:c r="K12" s="1521" t="str">
        <x:v>次アクション合意</x:v>
      </x:c>
      <x:c r="L12" s="1521" t="str">
        <x:v>反応なしは再連絡1回</x:v>
      </x:c>
      <x:c r="M12" s="1521" t="str">
        <x:v>営業</x:v>
      </x:c>
      <x:c r="N12" s="1521" t="str">
        <x:v>秘密</x:v>
      </x:c>
      <x:c r="O12" s="1521" t="str">
        <x:v>運用</x:v>
      </x:c>
      <x:c r="P12" s="1997"/>
    </x:row>
    <x:row r="13">
      <x:c r="A13" s="1998" t="n">
        <x:v>9</x:v>
      </x:c>
      <x:c r="B13" s="1999" t="str">
        <x:v>案件化・保留・終了</x:v>
      </x:c>
      <x:c r="C13" s="1999" t="str">
        <x:v>ステータス更新</x:v>
      </x:c>
      <x:c r="D13" s="1999" t="str">
        <x:v>月次集計</x:v>
      </x:c>
      <x:c r="E13" s="1999" t="str">
        <x:v>案件登録・クローズ</x:v>
      </x:c>
      <x:c r="F13" s="1999" t="str">
        <x:v>月次分析・改善候補</x:v>
      </x:c>
      <x:c r="G13" s="1999" t="str">
        <x:v>商談化理由、失注理由</x:v>
      </x:c>
      <x:c r="H13" s="1999" t="str">
        <x:v>月次</x:v>
      </x:c>
      <x:c r="I13" s="1999" t="str">
        <x:v>必要時</x:v>
      </x:c>
      <x:c r="J13" s="1999" t="str">
        <x:v>案件・KPI台帳</x:v>
      </x:c>
      <x:c r="K13" s="1999" t="str">
        <x:v>状態確定</x:v>
      </x:c>
      <x:c r="L13" s="1999" t="str">
        <x:v>保留は再接触日設定</x:v>
      </x:c>
      <x:c r="M13" s="1999" t="str">
        <x:v>営業責任者</x:v>
      </x:c>
      <x:c r="N13" s="1999" t="str">
        <x:v>秘密</x:v>
      </x:c>
      <x:c r="O13" s="1999" t="str">
        <x:v>運用</x:v>
      </x:c>
      <x:c r="P13" s="2000"/>
    </x:row>
  </x:sheetData>
  <x:mergeCells>
    <x:mergeCell ref="A1:P1"/>
    <x:mergeCell ref="A2:P2"/>
  </x:mergeCells>
  <x:dataValidations count="1">
    <x:dataValidation type="list" sqref="O5:O13">
      <x:formula1>"設計,試行,運用,見直し"</x:formula1>
    </x:dataValidation>
  </x:dataValidations>
  <x:pageMargins left="0.7" right="0.7" top="0.75" bottom="0.75" header="0.3" footer="0.3"/>
</x:worksheet>
</file>

<file path=xl/worksheets/sheet45.xml><?xml version="1.0" encoding="utf-8"?>
<x:worksheet xmlns:x="http://schemas.openxmlformats.org/spreadsheetml/2006/main">
  <x:sheetFormatPr defaultRowHeight="15"/>
  <x:cols>
    <x:col min="1" max="1" width="12" hidden="0" customWidth="1"/>
    <x:col min="2" max="2" width="18" hidden="0" customWidth="1"/>
    <x:col min="3" max="3" width="32" hidden="0" customWidth="1"/>
    <x:col min="4" max="4" width="22" hidden="0" customWidth="1"/>
    <x:col min="5" max="5" width="22" hidden="0" customWidth="1"/>
    <x:col min="6" max="6" width="28" hidden="0" customWidth="1"/>
    <x:col min="7" max="7" width="18" hidden="0" customWidth="1"/>
    <x:col min="8" max="8" width="20" hidden="0" customWidth="1"/>
    <x:col min="9" max="9" width="16" hidden="0" customWidth="1"/>
    <x:col min="10" max="10" width="16" hidden="0" customWidth="1"/>
    <x:col min="11" max="11" width="24" hidden="0" customWidth="1"/>
    <x:col min="12" max="12" width="32" hidden="0" customWidth="1"/>
    <x:col min="13" max="13" width="10" hidden="0" customWidth="1"/>
    <x:col min="14" max="14" width="14" hidden="0" customWidth="1"/>
    <x:col min="15" max="15" width="22" hidden="0" customWidth="1"/>
  </x:cols>
  <x:sheetData>
    <x:row r="1" ht="28" customHeight="1">
      <x:c r="A1" s="1959" t="str">
        <x:v>44_ノーコード構成</x:v>
      </x:c>
      <x:c r="B1" s="1959"/>
      <x:c r="C1" s="1959"/>
      <x:c r="D1" s="1959"/>
      <x:c r="E1" s="1959"/>
      <x:c r="F1" s="1959"/>
      <x:c r="G1" s="1959"/>
      <x:c r="H1" s="1959"/>
      <x:c r="I1" s="1959"/>
      <x:c r="J1" s="1959"/>
      <x:c r="K1" s="1959"/>
      <x:c r="L1" s="1959"/>
      <x:c r="M1" s="1959"/>
      <x:c r="N1" s="1959"/>
      <x:c r="O1" s="1959"/>
    </x:row>
    <x:row r="2" ht="36" customHeight="1">
      <x:c r="A2" s="1962" t="str">
        <x:v>既存社内環境を優先し、追加費用なしで開始する論理構成。製品名は情報システム確認後に確定。</x:v>
      </x:c>
      <x:c r="B2" s="1962"/>
      <x:c r="C2" s="1962"/>
      <x:c r="D2" s="1962"/>
      <x:c r="E2" s="1962"/>
      <x:c r="F2" s="1962"/>
      <x:c r="G2" s="1962"/>
      <x:c r="H2" s="1962"/>
      <x:c r="I2" s="1962"/>
      <x:c r="J2" s="1962"/>
      <x:c r="K2" s="1962"/>
      <x:c r="L2" s="1962"/>
      <x:c r="M2" s="1962"/>
      <x:c r="N2" s="1962"/>
      <x:c r="O2" s="1962"/>
    </x:row>
    <x:row r="4" ht="38" customHeight="1">
      <x:c r="A4" s="1974" t="str">
        <x:v>機能ID</x:v>
      </x:c>
      <x:c r="B4" s="1975" t="str">
        <x:v>機能</x:v>
      </x:c>
      <x:c r="C4" s="1975" t="str">
        <x:v>初期実装方針</x:v>
      </x:c>
      <x:c r="D4" s="1975" t="str">
        <x:v>第一候補</x:v>
      </x:c>
      <x:c r="E4" s="1975" t="str">
        <x:v>代替候補</x:v>
      </x:c>
      <x:c r="F4" s="1975" t="str">
        <x:v>追加費用条件</x:v>
      </x:c>
      <x:c r="G4" s="1975" t="str">
        <x:v>顧客公開範囲</x:v>
      </x:c>
      <x:c r="H4" s="1975" t="str">
        <x:v>社内権限</x:v>
      </x:c>
      <x:c r="I4" s="1975" t="str">
        <x:v>データ区分</x:v>
      </x:c>
      <x:c r="J4" s="1975" t="str">
        <x:v>自動化水準</x:v>
      </x:c>
      <x:c r="K4" s="1975" t="str">
        <x:v>AI連携</x:v>
      </x:c>
      <x:c r="L4" s="1975" t="str">
        <x:v>情報システム確認</x:v>
      </x:c>
      <x:c r="M4" s="1975" t="str">
        <x:v>Stage</x:v>
      </x:c>
      <x:c r="N4" s="1975" t="str">
        <x:v>実装状態</x:v>
      </x:c>
      <x:c r="O4" s="1976" t="str">
        <x:v>備考</x:v>
      </x:c>
    </x:row>
    <x:row r="5">
      <x:c r="A5" s="2051" t="str">
        <x:v>NC-001</x:v>
      </x:c>
      <x:c r="B5" s="2052" t="str">
        <x:v>LP・サービス説明</x:v>
      </x:c>
      <x:c r="C5" s="2052" t="str">
        <x:v>既存コーポレートWeb内に専用ページ</x:v>
      </x:c>
      <x:c r="D5" s="2052" t="str">
        <x:v>既存CMS</x:v>
      </x:c>
      <x:c r="E5" s="2052" t="str">
        <x:v>静的ページ</x:v>
      </x:c>
      <x:c r="F5" s="2052" t="str">
        <x:v>既存範囲を超える場合のみ</x:v>
      </x:c>
      <x:c r="G5" s="2052" t="str">
        <x:v>公開</x:v>
      </x:c>
      <x:c r="H5" s="2052" t="str">
        <x:v>Web担当</x:v>
      </x:c>
      <x:c r="I5" s="2052" t="str">
        <x:v>公開情報</x:v>
      </x:c>
      <x:c r="J5" s="2052" t="str">
        <x:v>手動更新</x:v>
      </x:c>
      <x:c r="K5" s="2052" t="str">
        <x:v>案内文生成</x:v>
      </x:c>
      <x:c r="L5" s="2052" t="str">
        <x:v>公開審査・SSL・ログ</x:v>
      </x:c>
      <x:c r="M5" s="2052" t="str">
        <x:v>2</x:v>
      </x:c>
      <x:c r="N5" s="2052" t="str">
        <x:v>未着手</x:v>
      </x:c>
      <x:c r="O5" s="2053" t="str"/>
    </x:row>
    <x:row r="6">
      <x:c r="A6" s="2054" t="str">
        <x:v>NC-002</x:v>
      </x:c>
      <x:c r="B6" s="1521" t="str">
        <x:v>診断フォーム</x:v>
      </x:c>
      <x:c r="C6" s="1521" t="str">
        <x:v>公開Webフォームは回答・連絡先・レポート希望のみ。ファイル添付は設けない</x:v>
      </x:c>
      <x:c r="D6" s="1521" t="str">
        <x:v>既存フォーム基盤</x:v>
      </x:c>
      <x:c r="E6" s="1521" t="str">
        <x:v>Microsoft Forms等</x:v>
      </x:c>
      <x:c r="F6" s="1521" t="str">
        <x:v>既存範囲を超える場合のみ再検討</x:v>
      </x:c>
      <x:c r="G6" s="1521" t="str">
        <x:v>公開入力</x:v>
      </x:c>
      <x:c r="H6" s="1521" t="str">
        <x:v>営業・診断担当</x:v>
      </x:c>
      <x:c r="I6" s="1521" t="str">
        <x:v>秘密</x:v>
      </x:c>
      <x:c r="J6" s="1521" t="str">
        <x:v>半自動</x:v>
      </x:c>
      <x:c r="K6" s="1521" t="str">
        <x:v>質問文・エラー文支援</x:v>
      </x:c>
      <x:c r="L6" s="1521" t="str">
        <x:v>外部回答、保存場所、自動返信</x:v>
      </x:c>
      <x:c r="M6" s="1521" t="str">
        <x:v>2</x:v>
      </x:c>
      <x:c r="N6" s="1521" t="str">
        <x:v>確定</x:v>
      </x:c>
      <x:c r="O6" s="2055" t="str">
        <x:v>資料提出は個別対応</x:v>
      </x:c>
    </x:row>
    <x:row r="7">
      <x:c r="A7" s="2054" t="str">
        <x:v>NC-003</x:v>
      </x:c>
      <x:c r="B7" s="1521" t="str">
        <x:v>回答保存</x:v>
      </x:c>
      <x:c r="C7" s="1521" t="str">
        <x:v>社内リストまたは台帳へ保存</x:v>
      </x:c>
      <x:c r="D7" s="1521" t="str">
        <x:v>SharePoint List等</x:v>
      </x:c>
      <x:c r="E7" s="1521" t="str">
        <x:v>Excel台帳</x:v>
      </x:c>
      <x:c r="F7" s="1521" t="str">
        <x:v>既存ライセンス内</x:v>
      </x:c>
      <x:c r="G7" s="1521" t="str">
        <x:v>非公開</x:v>
      </x:c>
      <x:c r="H7" s="1521" t="str">
        <x:v>限定メンバー</x:v>
      </x:c>
      <x:c r="I7" s="1521" t="str">
        <x:v>秘密</x:v>
      </x:c>
      <x:c r="J7" s="1521" t="str">
        <x:v>自動</x:v>
      </x:c>
      <x:c r="K7" s="1521" t="str">
        <x:v>分類・要約</x:v>
      </x:c>
      <x:c r="L7" s="1521" t="str">
        <x:v>権限、監査、バックアップ</x:v>
      </x:c>
      <x:c r="M7" s="1521" t="str">
        <x:v>1</x:v>
      </x:c>
      <x:c r="N7" s="1521" t="str">
        <x:v>未着手</x:v>
      </x:c>
      <x:c r="O7" s="2055" t="str"/>
    </x:row>
    <x:row r="8">
      <x:c r="A8" s="2054" t="str">
        <x:v>NC-004</x:v>
      </x:c>
      <x:c r="B8" s="1521" t="str">
        <x:v>Evidence保存</x:v>
      </x:c>
      <x:c r="C8" s="1521" t="str">
        <x:v>営業秘密として権限制御保管</x:v>
      </x:c>
      <x:c r="D8" s="1521" t="str">
        <x:v>SharePoint/社内ストレージ</x:v>
      </x:c>
      <x:c r="E8" s="1521" t="str">
        <x:v>営業案件フォルダ</x:v>
      </x:c>
      <x:c r="F8" s="1521" t="str">
        <x:v>容量・外部アップロード要件で追加費用時は別経路</x:v>
      </x:c>
      <x:c r="G8" s="1521" t="str">
        <x:v>アップロードのみ</x:v>
      </x:c>
      <x:c r="H8" s="1521" t="str">
        <x:v>案件関係者</x:v>
      </x:c>
      <x:c r="I8" s="1521" t="str">
        <x:v>秘密～厳秘</x:v>
      </x:c>
      <x:c r="J8" s="1521" t="str">
        <x:v>半自動</x:v>
      </x:c>
      <x:c r="K8" s="1521" t="str">
        <x:v>不足確認のみ</x:v>
      </x:c>
      <x:c r="L8" s="1521" t="str">
        <x:v>外部共有、マルウェア、保存期間</x:v>
      </x:c>
      <x:c r="M8" s="1521" t="str">
        <x:v>2</x:v>
      </x:c>
      <x:c r="N8" s="1521" t="str">
        <x:v>未着手</x:v>
      </x:c>
      <x:c r="O8" s="2055" t="str"/>
    </x:row>
    <x:row r="9">
      <x:c r="A9" s="2054" t="str">
        <x:v>NC-005</x:v>
      </x:c>
      <x:c r="B9" s="1521" t="str">
        <x:v>診断計算</x:v>
      </x:c>
      <x:c r="C9" s="1521" t="str">
        <x:v>Excelまたはローコード式で実装</x:v>
      </x:c>
      <x:c r="D9" s="1521" t="str">
        <x:v>Version1.1 Workbook</x:v>
      </x:c>
      <x:c r="E9" s="1521" t="str">
        <x:v>簡易スクリプト</x:v>
      </x:c>
      <x:c r="F9" s="1521" t="str">
        <x:v>なし</x:v>
      </x:c>
      <x:c r="G9" s="1521" t="str">
        <x:v>非公開</x:v>
      </x:c>
      <x:c r="H9" s="1521" t="str">
        <x:v>診断担当</x:v>
      </x:c>
      <x:c r="I9" s="1521" t="str">
        <x:v>秘密</x:v>
      </x:c>
      <x:c r="J9" s="1521" t="str">
        <x:v>自動</x:v>
      </x:c>
      <x:c r="K9" s="1521" t="str">
        <x:v>テスト作成・検証</x:v>
      </x:c>
      <x:c r="L9" s="1521" t="str">
        <x:v>計算保護、Version、監査</x:v>
      </x:c>
      <x:c r="M9" s="1521" t="str">
        <x:v>1</x:v>
      </x:c>
      <x:c r="N9" s="1521" t="str">
        <x:v>未着手</x:v>
      </x:c>
      <x:c r="O9" s="2055" t="str"/>
    </x:row>
    <x:row r="10">
      <x:c r="A10" s="2054" t="str">
        <x:v>NC-006</x:v>
      </x:c>
      <x:c r="B10" s="1521" t="str">
        <x:v>AI整文</x:v>
      </x:c>
      <x:c r="C10" s="1521" t="str">
        <x:v>承認済みコメント部品のみ入力</x:v>
      </x:c>
      <x:c r="D10" s="1521" t="str">
        <x:v>社内利用可能AI</x:v>
      </x:c>
      <x:c r="E10" s="1521" t="str">
        <x:v>手動貼付</x:v>
      </x:c>
      <x:c r="F10" s="1521" t="str">
        <x:v>既存AI利用範囲外は承認制</x:v>
      </x:c>
      <x:c r="G10" s="1521" t="str">
        <x:v>非公開</x:v>
      </x:c>
      <x:c r="H10" s="1521" t="str">
        <x:v>診断担当</x:v>
      </x:c>
      <x:c r="I10" s="1521" t="str">
        <x:v>必要最小限</x:v>
      </x:c>
      <x:c r="J10" s="1521" t="str">
        <x:v>半自動</x:v>
      </x:c>
      <x:c r="K10" s="1521" t="str">
        <x:v>文章整形・短縮・チェック</x:v>
      </x:c>
      <x:c r="L10" s="1521" t="str">
        <x:v>学習利用、ログ、投入禁止情報</x:v>
      </x:c>
      <x:c r="M10" s="1521" t="str">
        <x:v>1</x:v>
      </x:c>
      <x:c r="N10" s="1521" t="str">
        <x:v>未着手</x:v>
      </x:c>
      <x:c r="O10" s="2055" t="str"/>
    </x:row>
    <x:row r="11">
      <x:c r="A11" s="2054" t="str">
        <x:v>NC-007</x:v>
      </x:c>
      <x:c r="B11" s="1521" t="str">
        <x:v>A3生成</x:v>
      </x:c>
      <x:c r="C11" s="1521" t="str">
        <x:v>ExcelテンプレートからPDF化</x:v>
      </x:c>
      <x:c r="D11" s="1521" t="str">
        <x:v>18/19シート</x:v>
      </x:c>
      <x:c r="E11" s="1521" t="str">
        <x:v>Wordテンプレート</x:v>
      </x:c>
      <x:c r="F11" s="1521" t="str">
        <x:v>なし</x:v>
      </x:c>
      <x:c r="G11" s="1521" t="str">
        <x:v>送付時のみ</x:v>
      </x:c>
      <x:c r="H11" s="1521" t="str">
        <x:v>診断担当</x:v>
      </x:c>
      <x:c r="I11" s="1521" t="str">
        <x:v>秘密</x:v>
      </x:c>
      <x:c r="J11" s="1521" t="str">
        <x:v>半自動</x:v>
      </x:c>
      <x:c r="K11" s="1521" t="str">
        <x:v>文章長調整</x:v>
      </x:c>
      <x:c r="L11" s="1521" t="str">
        <x:v>PDFメタデータ・誤送信</x:v>
      </x:c>
      <x:c r="M11" s="1521" t="str">
        <x:v>1</x:v>
      </x:c>
      <x:c r="N11" s="1521" t="str">
        <x:v>未着手</x:v>
      </x:c>
      <x:c r="O11" s="2055" t="str"/>
    </x:row>
    <x:row r="12">
      <x:c r="A12" s="2054" t="str">
        <x:v>NC-008</x:v>
      </x:c>
      <x:c r="B12" s="1521" t="str">
        <x:v>通知・タスク</x:v>
      </x:c>
      <x:c r="C12" s="1521" t="str">
        <x:v>受付・要求・期限をメール通知</x:v>
      </x:c>
      <x:c r="D12" s="1521" t="str">
        <x:v>メール＋共有台帳</x:v>
      </x:c>
      <x:c r="E12" s="1521" t="str">
        <x:v>Power Automate等</x:v>
      </x:c>
      <x:c r="F12" s="1521" t="str">
        <x:v>既存範囲内</x:v>
      </x:c>
      <x:c r="G12" s="1521" t="str">
        <x:v>非公開</x:v>
      </x:c>
      <x:c r="H12" s="1521" t="str">
        <x:v>営業・診断担当</x:v>
      </x:c>
      <x:c r="I12" s="1521" t="str">
        <x:v>秘密</x:v>
      </x:c>
      <x:c r="J12" s="1521" t="str">
        <x:v>半自動</x:v>
      </x:c>
      <x:c r="K12" s="1521" t="str">
        <x:v>ToDo・フォロー案</x:v>
      </x:c>
      <x:c r="L12" s="1521" t="str">
        <x:v>共有先・誤通知</x:v>
      </x:c>
      <x:c r="M12" s="1521" t="str">
        <x:v>1</x:v>
      </x:c>
      <x:c r="N12" s="1521" t="str">
        <x:v>未着手</x:v>
      </x:c>
      <x:c r="O12" s="2055" t="str"/>
    </x:row>
    <x:row r="13">
      <x:c r="A13" s="2054" t="str">
        <x:v>NC-009</x:v>
      </x:c>
      <x:c r="B13" s="1521" t="str">
        <x:v>顧客送付</x:v>
      </x:c>
      <x:c r="C13" s="1521" t="str">
        <x:v>人の承認後にメールまたは安全なリンク</x:v>
      </x:c>
      <x:c r="D13" s="1521" t="str">
        <x:v>Outlook等</x:v>
      </x:c>
      <x:c r="E13" s="1521" t="str">
        <x:v>営業システム</x:v>
      </x:c>
      <x:c r="F13" s="1521" t="str">
        <x:v>なし</x:v>
      </x:c>
      <x:c r="G13" s="1521" t="str">
        <x:v>個別顧客</x:v>
      </x:c>
      <x:c r="H13" s="1521" t="str">
        <x:v>営業担当</x:v>
      </x:c>
      <x:c r="I13" s="1521" t="str">
        <x:v>秘密</x:v>
      </x:c>
      <x:c r="J13" s="1521" t="str">
        <x:v>手動承認</x:v>
      </x:c>
      <x:c r="K13" s="1521" t="str">
        <x:v>送付文案</x:v>
      </x:c>
      <x:c r="L13" s="1521" t="str">
        <x:v>宛先確認・送付ログ</x:v>
      </x:c>
      <x:c r="M13" s="1521" t="str">
        <x:v>1</x:v>
      </x:c>
      <x:c r="N13" s="1521" t="str">
        <x:v>未着手</x:v>
      </x:c>
      <x:c r="O13" s="2055" t="str"/>
    </x:row>
    <x:row r="14">
      <x:c r="A14" s="2056" t="str">
        <x:v>NC-010</x:v>
      </x:c>
      <x:c r="B14" s="2057" t="str">
        <x:v>分析・改善</x:v>
      </x:c>
      <x:c r="C14" s="2057" t="str">
        <x:v>月次KPIをExcelで集計</x:v>
      </x:c>
      <x:c r="D14" s="2057" t="str">
        <x:v>31_パイロットKPI</x:v>
      </x:c>
      <x:c r="E14" s="2057" t="str">
        <x:v>BIツール</x:v>
      </x:c>
      <x:c r="F14" s="2057" t="str">
        <x:v>必要性確認後</x:v>
      </x:c>
      <x:c r="G14" s="2057" t="str">
        <x:v>非公開</x:v>
      </x:c>
      <x:c r="H14" s="2057" t="str">
        <x:v>事業責任者</x:v>
      </x:c>
      <x:c r="I14" s="2057" t="str">
        <x:v>集計情報</x:v>
      </x:c>
      <x:c r="J14" s="2057" t="str">
        <x:v>半自動</x:v>
      </x:c>
      <x:c r="K14" s="2057" t="str">
        <x:v>改善案・傾向整理</x:v>
      </x:c>
      <x:c r="L14" s="2057" t="str">
        <x:v>匿名化・利用目的</x:v>
      </x:c>
      <x:c r="M14" s="2057" t="str">
        <x:v>3</x:v>
      </x:c>
      <x:c r="N14" s="2057" t="str">
        <x:v>未着手</x:v>
      </x:c>
      <x:c r="O14" s="2058" t="str"/>
    </x:row>
  </x:sheetData>
  <x:mergeCells>
    <x:mergeCell ref="A1:O1"/>
    <x:mergeCell ref="A2:O2"/>
  </x:mergeCells>
  <x:dataValidations count="1">
    <x:dataValidation type="list" sqref="N5:N14">
      <x:formula1>"未着手,確認中,実装中,試行中,運用,保留"</x:formula1>
    </x:dataValidation>
  </x:dataValidations>
  <x:pageMargins left="0.7" right="0.7" top="0.75" bottom="0.75" header="0.3" footer="0.3"/>
</x:worksheet>
</file>

<file path=xl/worksheets/sheet46.xml><?xml version="1.0" encoding="utf-8"?>
<x:worksheet xmlns:x="http://schemas.openxmlformats.org/spreadsheetml/2006/main">
  <x:sheetFormatPr defaultRowHeight="15"/>
  <x:cols>
    <x:col min="1" max="1" width="12" hidden="0" customWidth="1"/>
    <x:col min="2" max="2" width="28" hidden="0" customWidth="1"/>
    <x:col min="3" max="3" width="14" hidden="0" customWidth="1"/>
    <x:col min="4" max="4" width="30" hidden="0" customWidth="1"/>
    <x:col min="5" max="5" width="24" hidden="0" customWidth="1"/>
    <x:col min="6" max="6" width="22" hidden="0" customWidth="1"/>
    <x:col min="7" max="7" width="16" hidden="0" customWidth="1"/>
    <x:col min="8" max="8" width="30" hidden="0" customWidth="1"/>
    <x:col min="9" max="9" width="18" hidden="0" customWidth="1"/>
    <x:col min="10" max="10" width="24" hidden="0" customWidth="1"/>
    <x:col min="11" max="11" width="18" hidden="0" customWidth="1"/>
    <x:col min="12" max="12" width="22" hidden="0" customWidth="1"/>
    <x:col min="13" max="13" width="24" hidden="0" customWidth="1"/>
    <x:col min="14" max="14" width="28" hidden="0" customWidth="1"/>
    <x:col min="15" max="15" width="20" hidden="0" customWidth="1"/>
    <x:col min="16" max="16" width="22" hidden="0" customWidth="1"/>
  </x:cols>
  <x:sheetData>
    <x:row r="1" ht="28" customHeight="1">
      <x:c r="A1" s="1959" t="str">
        <x:v>45_秘密情報取扱</x:v>
      </x:c>
      <x:c r="B1" s="1959"/>
      <x:c r="C1" s="1959"/>
      <x:c r="D1" s="1959"/>
      <x:c r="E1" s="1959"/>
      <x:c r="F1" s="1959"/>
      <x:c r="G1" s="1959"/>
      <x:c r="H1" s="1959"/>
      <x:c r="I1" s="1959"/>
      <x:c r="J1" s="1959"/>
      <x:c r="K1" s="1959"/>
      <x:c r="L1" s="1959"/>
      <x:c r="M1" s="1959"/>
      <x:c r="N1" s="1959"/>
      <x:c r="O1" s="1959"/>
      <x:c r="P1" s="1959"/>
    </x:row>
    <x:row r="2" ht="36" customHeight="1">
      <x:c r="A2" s="1962" t="str">
        <x:v>アップロードされる顧客情報を通常営業と同じ秘密情報として扱うための運用基準。</x:v>
      </x:c>
      <x:c r="B2" s="1962"/>
      <x:c r="C2" s="1962"/>
      <x:c r="D2" s="1962"/>
      <x:c r="E2" s="1962"/>
      <x:c r="F2" s="1962"/>
      <x:c r="G2" s="1962"/>
      <x:c r="H2" s="1962"/>
      <x:c r="I2" s="1962"/>
      <x:c r="J2" s="1962"/>
      <x:c r="K2" s="1962"/>
      <x:c r="L2" s="1962"/>
      <x:c r="M2" s="1962"/>
      <x:c r="N2" s="1962"/>
      <x:c r="O2" s="1962"/>
      <x:c r="P2" s="1962"/>
    </x:row>
    <x:row r="4" ht="38" customHeight="1">
      <x:c r="A4" s="1974" t="str">
        <x:v>管理ID</x:v>
      </x:c>
      <x:c r="B4" s="1975" t="str">
        <x:v>対象情報</x:v>
      </x:c>
      <x:c r="C4" s="1975" t="str">
        <x:v>秘密区分</x:v>
      </x:c>
      <x:c r="D4" s="1975" t="str">
        <x:v>取得時の説明</x:v>
      </x:c>
      <x:c r="E4" s="1975" t="str">
        <x:v>保存先</x:v>
      </x:c>
      <x:c r="F4" s="1975" t="str">
        <x:v>閲覧者</x:v>
      </x:c>
      <x:c r="G4" s="1975" t="str">
        <x:v>AI投入可否</x:v>
      </x:c>
      <x:c r="H4" s="1975" t="str">
        <x:v>AI投入条件</x:v>
      </x:c>
      <x:c r="I4" s="1975" t="str">
        <x:v>外部共有</x:v>
      </x:c>
      <x:c r="J4" s="1975" t="str">
        <x:v>送付方法</x:v>
      </x:c>
      <x:c r="K4" s="1975" t="str">
        <x:v>保存期間候補</x:v>
      </x:c>
      <x:c r="L4" s="1975" t="str">
        <x:v>削除契機</x:v>
      </x:c>
      <x:c r="M4" s="1975" t="str">
        <x:v>ログ・証跡</x:v>
      </x:c>
      <x:c r="N4" s="1975" t="str">
        <x:v>事故時対応</x:v>
      </x:c>
      <x:c r="O4" s="1975" t="str">
        <x:v>責任者</x:v>
      </x:c>
      <x:c r="P4" s="1976" t="str">
        <x:v>備考</x:v>
      </x:c>
    </x:row>
    <x:row r="5">
      <x:c r="A5" s="1993" t="str">
        <x:v>SEC-001</x:v>
      </x:c>
      <x:c r="B5" s="1994" t="str">
        <x:v>会社名・担当者・連絡先</x:v>
      </x:c>
      <x:c r="C5" s="1994" t="str">
        <x:v>秘密</x:v>
      </x:c>
      <x:c r="D5" s="1994" t="str">
        <x:v>診断・連絡・提案に利用</x:v>
      </x:c>
      <x:c r="E5" s="1994" t="str">
        <x:v>営業案件台帳</x:v>
      </x:c>
      <x:c r="F5" s="1994" t="str">
        <x:v>営業・診断担当</x:v>
      </x:c>
      <x:c r="G5" s="1994" t="str">
        <x:v>条件付き</x:v>
      </x:c>
      <x:c r="H5" s="1994" t="str">
        <x:v>利用可能な社内AI、必要最小限</x:v>
      </x:c>
      <x:c r="I5" s="1994" t="str">
        <x:v>原則不可</x:v>
      </x:c>
      <x:c r="J5" s="1994" t="str">
        <x:v>社内メール・権限管理</x:v>
      </x:c>
      <x:c r="K5" s="1994" t="str">
        <x:v>営業情報規程に準拠</x:v>
      </x:c>
      <x:c r="L5" s="1994" t="str">
        <x:v>案件終了・規程</x:v>
      </x:c>
      <x:c r="M5" s="1994" t="str">
        <x:v>受付・閲覧・送付</x:v>
      </x:c>
      <x:c r="N5" s="1994" t="str">
        <x:v>情報システムへ即時報告</x:v>
      </x:c>
      <x:c r="O5" s="1994" t="str">
        <x:v>営業責任者</x:v>
      </x:c>
      <x:c r="P5" s="1995" t="str"/>
    </x:row>
    <x:row r="6">
      <x:c r="A6" s="1996" t="str">
        <x:v>SEC-002</x:v>
      </x:c>
      <x:c r="B6" s="1521" t="str">
        <x:v>設備型式・台数・年式</x:v>
      </x:c>
      <x:c r="C6" s="1521" t="str">
        <x:v>秘密</x:v>
      </x:c>
      <x:c r="D6" s="1521" t="str">
        <x:v>診断・提案に利用</x:v>
      </x:c>
      <x:c r="E6" s="1521" t="str">
        <x:v>案件フォルダ</x:v>
      </x:c>
      <x:c r="F6" s="1521" t="str">
        <x:v>案件関係者</x:v>
      </x:c>
      <x:c r="G6" s="1521" t="str">
        <x:v>条件付き</x:v>
      </x:c>
      <x:c r="H6" s="1521" t="str">
        <x:v>識別情報を必要に応じ最小化</x:v>
      </x:c>
      <x:c r="I6" s="1521" t="str">
        <x:v>顧客承認時のみ</x:v>
      </x:c>
      <x:c r="J6" s="1521" t="str">
        <x:v>A3・個別メール</x:v>
      </x:c>
      <x:c r="K6" s="1521" t="str">
        <x:v>営業情報規程に準拠</x:v>
      </x:c>
      <x:c r="L6" s="1521" t="str">
        <x:v>案件終了・規程</x:v>
      </x:c>
      <x:c r="M6" s="1521" t="str">
        <x:v>閲覧・出力</x:v>
      </x:c>
      <x:c r="N6" s="1521" t="str">
        <x:v>漏えい範囲確認・顧客対応</x:v>
      </x:c>
      <x:c r="O6" s="1521" t="str">
        <x:v>診断責任者</x:v>
      </x:c>
      <x:c r="P6" s="1997" t="str"/>
    </x:row>
    <x:row r="7">
      <x:c r="A7" s="1996" t="str">
        <x:v>SEC-003</x:v>
      </x:c>
      <x:c r="B7" s="1521" t="str">
        <x:v>設備写真・工場写真</x:v>
      </x:c>
      <x:c r="C7" s="1521" t="str">
        <x:v>秘密～厳秘</x:v>
      </x:c>
      <x:c r="D7" s="1521" t="str">
        <x:v>診断精度向上の任意資料</x:v>
      </x:c>
      <x:c r="E7" s="1521" t="str">
        <x:v>権限制御ストレージ</x:v>
      </x:c>
      <x:c r="F7" s="1521" t="str">
        <x:v>案件関係者</x:v>
      </x:c>
      <x:c r="G7" s="1521" t="str">
        <x:v>原則不可</x:v>
      </x:c>
      <x:c r="H7" s="1521" t="str">
        <x:v>明示承認した環境のみ</x:v>
      </x:c>
      <x:c r="I7" s="1521" t="str">
        <x:v>不可</x:v>
      </x:c>
      <x:c r="J7" s="1521" t="str">
        <x:v>安全なリンク推奨</x:v>
      </x:c>
      <x:c r="K7" s="1521" t="str">
        <x:v>営業情報規程に準拠</x:v>
      </x:c>
      <x:c r="L7" s="1521" t="str">
        <x:v>顧客要求・案件終了</x:v>
      </x:c>
      <x:c r="M7" s="1521" t="str">
        <x:v>アップロード・閲覧・削除</x:v>
      </x:c>
      <x:c r="N7" s="1521" t="str">
        <x:v>アクセス停止・証跡保全</x:v>
      </x:c>
      <x:c r="O7" s="1521" t="str">
        <x:v>営業/情シス</x:v>
      </x:c>
      <x:c r="P7" s="1997" t="str"/>
    </x:row>
    <x:row r="8">
      <x:c r="A8" s="1996" t="str">
        <x:v>SEC-004</x:v>
      </x:c>
      <x:c r="B8" s="1521" t="str">
        <x:v>図面・点検報告書・契約資料</x:v>
      </x:c>
      <x:c r="C8" s="1521" t="str">
        <x:v>厳秘</x:v>
      </x:c>
      <x:c r="D8" s="1521" t="str">
        <x:v>任意提出、機密資料として管理</x:v>
      </x:c>
      <x:c r="E8" s="1521" t="str">
        <x:v>限定フォルダ</x:v>
      </x:c>
      <x:c r="F8" s="1521" t="str">
        <x:v>必要最小限</x:v>
      </x:c>
      <x:c r="G8" s="1521" t="str">
        <x:v>不可</x:v>
      </x:c>
      <x:c r="H8" s="1521" t="str">
        <x:v>AI投入しない</x:v>
      </x:c>
      <x:c r="I8" s="1521" t="str">
        <x:v>不可</x:v>
      </x:c>
      <x:c r="J8" s="1521" t="str">
        <x:v>安全なリンク・別経路</x:v>
      </x:c>
      <x:c r="K8" s="1521" t="str">
        <x:v>案件条件に従う</x:v>
      </x:c>
      <x:c r="L8" s="1521" t="str">
        <x:v>顧客要求・契約条件</x:v>
      </x:c>
      <x:c r="M8" s="1521" t="str">
        <x:v>全操作ログ候補</x:v>
      </x:c>
      <x:c r="N8" s="1521" t="str">
        <x:v>即時封じ込め・責任者報告</x:v>
      </x:c>
      <x:c r="O8" s="1521" t="str">
        <x:v>情報システム</x:v>
      </x:c>
      <x:c r="P8" s="1997" t="str">
        <x:v>初期はフォーム添付非推奨</x:v>
      </x:c>
    </x:row>
    <x:row r="9">
      <x:c r="A9" s="1996" t="str">
        <x:v>SEC-005</x:v>
      </x:c>
      <x:c r="B9" s="1521" t="str">
        <x:v>診断回答・スコア・所見</x:v>
      </x:c>
      <x:c r="C9" s="1521" t="str">
        <x:v>秘密</x:v>
      </x:c>
      <x:c r="D9" s="1521" t="str">
        <x:v>診断・提案・改善に利用</x:v>
      </x:c>
      <x:c r="E9" s="1521" t="str">
        <x:v>診断台帳</x:v>
      </x:c>
      <x:c r="F9" s="1521" t="str">
        <x:v>営業・診断担当</x:v>
      </x:c>
      <x:c r="G9" s="1521" t="str">
        <x:v>条件付き</x:v>
      </x:c>
      <x:c r="H9" s="1521" t="str">
        <x:v>個人・会社識別を最小化</x:v>
      </x:c>
      <x:c r="I9" s="1521" t="str">
        <x:v>顧客向けA3のみ</x:v>
      </x:c>
      <x:c r="J9" s="1521" t="str">
        <x:v>承認済みPDF</x:v>
      </x:c>
      <x:c r="K9" s="1521" t="str">
        <x:v>営業情報規程に準拠</x:v>
      </x:c>
      <x:c r="L9" s="1521" t="str">
        <x:v>案件終了・規程</x:v>
      </x:c>
      <x:c r="M9" s="1521" t="str">
        <x:v>Version・承認・送付</x:v>
      </x:c>
      <x:c r="N9" s="1521" t="str">
        <x:v>誤判定時は訂正版発行</x:v>
      </x:c>
      <x:c r="O9" s="1521" t="str">
        <x:v>診断責任者</x:v>
      </x:c>
      <x:c r="P9" s="1997" t="str"/>
    </x:row>
    <x:row r="10">
      <x:c r="A10" s="1998" t="str">
        <x:v>SEC-006</x:v>
      </x:c>
      <x:c r="B10" s="1999" t="str">
        <x:v>A3レポート</x:v>
      </x:c>
      <x:c r="C10" s="1999" t="str">
        <x:v>秘密</x:v>
      </x:c>
      <x:c r="D10" s="1999" t="str">
        <x:v>依頼者へ個別提供</x:v>
      </x:c>
      <x:c r="E10" s="1999" t="str">
        <x:v>発行済みレポート保管</x:v>
      </x:c>
      <x:c r="F10" s="1999" t="str">
        <x:v>案件関係者</x:v>
      </x:c>
      <x:c r="G10" s="1999" t="str">
        <x:v>不可</x:v>
      </x:c>
      <x:c r="H10" s="1999" t="str">
        <x:v>再利用時は匿名化</x:v>
      </x:c>
      <x:c r="I10" s="1999" t="str">
        <x:v>依頼者・承認先のみ</x:v>
      </x:c>
      <x:c r="J10" s="1999" t="str">
        <x:v>宛先確認後メール/リンク</x:v>
      </x:c>
      <x:c r="K10" s="1999" t="str">
        <x:v>営業情報規程に準拠</x:v>
      </x:c>
      <x:c r="L10" s="1999" t="str">
        <x:v>顧客要求・規程</x:v>
      </x:c>
      <x:c r="M10" s="1999" t="str">
        <x:v>承認・送付履歴</x:v>
      </x:c>
      <x:c r="N10" s="1999" t="str">
        <x:v>誤送信時の回収・報告</x:v>
      </x:c>
      <x:c r="O10" s="1999" t="str">
        <x:v>営業責任者</x:v>
      </x:c>
      <x:c r="P10" s="2000" t="str"/>
    </x:row>
    <x:row r="13" ht="42" customHeight="1">
      <x:c r="A13" s="2064" t="str">
        <x:v>Version1.2運用注記：公開フォームにはファイル添付を設けず、顧客資料はメール・電話・訪問後に通常営業の方法で個別受領する。確認済みAIサービスへは、案件目的・権限・必要最小限・記録・削除を条件として投入可能。</x:v>
      </x:c>
      <x:c r="B13" s="2065"/>
      <x:c r="C13" s="2065"/>
      <x:c r="D13" s="2065"/>
      <x:c r="E13" s="2065"/>
      <x:c r="F13" s="2065"/>
      <x:c r="G13" s="2065"/>
      <x:c r="H13" s="2065"/>
      <x:c r="I13" s="2065"/>
      <x:c r="J13" s="2065"/>
      <x:c r="K13" s="2065"/>
      <x:c r="L13" s="2065"/>
      <x:c r="M13" s="2065"/>
      <x:c r="N13" s="2065"/>
      <x:c r="O13" s="2065"/>
      <x:c r="P13" s="2066"/>
    </x:row>
  </x:sheetData>
  <x:mergeCells>
    <x:mergeCell ref="A1:P1"/>
    <x:mergeCell ref="A2:P2"/>
    <x:mergeCell ref="A13:P13"/>
  </x:mergeCells>
  <x:dataValidations count="2">
    <x:dataValidation type="list" sqref="C5:C10">
      <x:formula1>"公開,社内,秘密,秘密～厳秘,厳秘"</x:formula1>
    </x:dataValidation>
    <x:dataValidation type="list" sqref="G5:G10">
      <x:formula1>"可,条件付き,原則不可,不可"</x:formula1>
    </x:dataValidation>
  </x:dataValidations>
  <x:pageMargins left="0.7" right="0.7" top="0.75" bottom="0.75" header="0.3" footer="0.3"/>
</x:worksheet>
</file>

<file path=xl/worksheets/sheet47.xml><?xml version="1.0" encoding="utf-8"?>
<x:worksheet xmlns:x="http://schemas.openxmlformats.org/spreadsheetml/2006/main">
  <x:sheetFormatPr defaultRowHeight="15"/>
  <x:cols>
    <x:col min="1" max="1" width="12" hidden="0" customWidth="1"/>
    <x:col min="2" max="2" width="22" hidden="0" customWidth="1"/>
    <x:col min="3" max="3" width="22" hidden="0" customWidth="1"/>
    <x:col min="4" max="4" width="28" hidden="0" customWidth="1"/>
    <x:col min="5" max="5" width="34" hidden="0" customWidth="1"/>
    <x:col min="6" max="6" width="28" hidden="0" customWidth="1"/>
    <x:col min="7" max="7" width="14" hidden="0" customWidth="1"/>
    <x:col min="8" max="8" width="20" hidden="0" customWidth="1"/>
    <x:col min="9" max="9" width="34" hidden="0" customWidth="1"/>
    <x:col min="10" max="10" width="24" hidden="0" customWidth="1"/>
    <x:col min="11" max="11" width="22" hidden="0" customWidth="1"/>
    <x:col min="12" max="12" width="22" hidden="0" customWidth="1"/>
    <x:col min="13" max="13" width="12" hidden="0" customWidth="1"/>
    <x:col min="14" max="14" width="18" hidden="0" customWidth="1"/>
    <x:col min="15" max="15" width="14" hidden="0" customWidth="1"/>
    <x:col min="16" max="16" width="22" hidden="0" customWidth="1"/>
  </x:cols>
  <x:sheetData>
    <x:row r="1" ht="28" customHeight="1">
      <x:c r="A1" s="1959" t="str">
        <x:v>46_AIエージェント運用</x:v>
      </x:c>
      <x:c r="B1" s="1959"/>
      <x:c r="C1" s="1959"/>
      <x:c r="D1" s="1959"/>
      <x:c r="E1" s="1959"/>
      <x:c r="F1" s="1959"/>
      <x:c r="G1" s="1959"/>
      <x:c r="H1" s="1959"/>
      <x:c r="I1" s="1959"/>
      <x:c r="J1" s="1959"/>
      <x:c r="K1" s="1959"/>
      <x:c r="L1" s="1959"/>
      <x:c r="M1" s="1959"/>
      <x:c r="N1" s="1959"/>
      <x:c r="O1" s="1959"/>
      <x:c r="P1" s="1959"/>
    </x:row>
    <x:row r="2" ht="36" customHeight="1">
      <x:c r="A2" s="1962" t="str">
        <x:v>人の承認を前提に、受付、診断下書き、確認、フォロー、改善をAIエージェントと協業する。</x:v>
      </x:c>
      <x:c r="B2" s="1962"/>
      <x:c r="C2" s="1962"/>
      <x:c r="D2" s="1962"/>
      <x:c r="E2" s="1962"/>
      <x:c r="F2" s="1962"/>
      <x:c r="G2" s="1962"/>
      <x:c r="H2" s="1962"/>
      <x:c r="I2" s="1962"/>
      <x:c r="J2" s="1962"/>
      <x:c r="K2" s="1962"/>
      <x:c r="L2" s="1962"/>
      <x:c r="M2" s="1962"/>
      <x:c r="N2" s="1962"/>
      <x:c r="O2" s="1962"/>
      <x:c r="P2" s="1962"/>
    </x:row>
    <x:row r="4" ht="38" customHeight="1">
      <x:c r="A4" s="1974" t="str">
        <x:v>Agent ID</x:v>
      </x:c>
      <x:c r="B4" s="1975" t="str">
        <x:v>エージェント役割</x:v>
      </x:c>
      <x:c r="C4" s="1975" t="str">
        <x:v>起動条件</x:v>
      </x:c>
      <x:c r="D4" s="1975" t="str">
        <x:v>入力</x:v>
      </x:c>
      <x:c r="E4" s="1975" t="str">
        <x:v>処理</x:v>
      </x:c>
      <x:c r="F4" s="1975" t="str">
        <x:v>出力</x:v>
      </x:c>
      <x:c r="G4" s="1975" t="str">
        <x:v>自動実行</x:v>
      </x:c>
      <x:c r="H4" s="1975" t="str">
        <x:v>人の承認</x:v>
      </x:c>
      <x:c r="I4" s="1975" t="str">
        <x:v>禁止事項</x:v>
      </x:c>
      <x:c r="J4" s="1975" t="str">
        <x:v>利用データ上限</x:v>
      </x:c>
      <x:c r="K4" s="1975" t="str">
        <x:v>記録</x:v>
      </x:c>
      <x:c r="L4" s="1975" t="str">
        <x:v>失敗時</x:v>
      </x:c>
      <x:c r="M4" s="1975" t="str">
        <x:v>導入Stage</x:v>
      </x:c>
      <x:c r="N4" s="1975" t="str">
        <x:v>責任者</x:v>
      </x:c>
      <x:c r="O4" s="1975" t="str">
        <x:v>状態</x:v>
      </x:c>
      <x:c r="P4" s="1976" t="str">
        <x:v>備考</x:v>
      </x:c>
    </x:row>
    <x:row r="5">
      <x:c r="A5" s="2051" t="str">
        <x:v>AG-001</x:v>
      </x:c>
      <x:c r="B5" s="2052" t="str">
        <x:v>受付整理</x:v>
      </x:c>
      <x:c r="C5" s="2052" t="str">
        <x:v>レポート要求メール受信</x:v>
      </x:c>
      <x:c r="D5" s="2052" t="str">
        <x:v>受付情報、診断ID</x:v>
      </x:c>
      <x:c r="E5" s="2052" t="str">
        <x:v>案件概要・担当・期限を整理</x:v>
      </x:c>
      <x:c r="F5" s="2052" t="str">
        <x:v>受付カード・ToDo</x:v>
      </x:c>
      <x:c r="G5" s="2052" t="str">
        <x:v>可</x:v>
      </x:c>
      <x:c r="H5" s="2052" t="str">
        <x:v>担当者確認</x:v>
      </x:c>
      <x:c r="I5" s="2052" t="str">
        <x:v>顧客への自動返信内容変更</x:v>
      </x:c>
      <x:c r="J5" s="2052" t="str">
        <x:v>受付に必要な情報のみ</x:v>
      </x:c>
      <x:c r="K5" s="2052" t="str">
        <x:v>処理ログ</x:v>
      </x:c>
      <x:c r="L5" s="2052" t="str">
        <x:v>手動登録</x:v>
      </x:c>
      <x:c r="M5" s="2052" t="str">
        <x:v>1</x:v>
      </x:c>
      <x:c r="N5" s="2052" t="str">
        <x:v>営業責任者</x:v>
      </x:c>
      <x:c r="O5" s="2052" t="str">
        <x:v>設計</x:v>
      </x:c>
      <x:c r="P5" s="2053" t="str"/>
    </x:row>
    <x:row r="6">
      <x:c r="A6" s="2054" t="str">
        <x:v>AG-002</x:v>
      </x:c>
      <x:c r="B6" s="1521" t="str">
        <x:v>回答品質確認</x:v>
      </x:c>
      <x:c r="C6" s="1521" t="str">
        <x:v>回答完了</x:v>
      </x:c>
      <x:c r="D6" s="1521" t="str">
        <x:v>回答、Evidenceメタデータ</x:v>
      </x:c>
      <x:c r="E6" s="1521" t="str">
        <x:v>未回答、矛盾、不足を抽出</x:v>
      </x:c>
      <x:c r="F6" s="1521" t="str">
        <x:v>確認リスト</x:v>
      </x:c>
      <x:c r="G6" s="1521" t="str">
        <x:v>可</x:v>
      </x:c>
      <x:c r="H6" s="1521" t="str">
        <x:v>診断担当承認</x:v>
      </x:c>
      <x:c r="I6" s="1521" t="str">
        <x:v>独自診断、Evidence内容の創作</x:v>
      </x:c>
      <x:c r="J6" s="1521" t="str">
        <x:v>回答および承認された顧客資料</x:v>
      </x:c>
      <x:c r="K6" s="1521" t="str">
        <x:v>使用ルール・結果</x:v>
      </x:c>
      <x:c r="L6" s="1521" t="str">
        <x:v>手動確認</x:v>
      </x:c>
      <x:c r="M6" s="1521" t="str">
        <x:v>1</x:v>
      </x:c>
      <x:c r="N6" s="1521" t="str">
        <x:v>診断責任者</x:v>
      </x:c>
      <x:c r="O6" s="1521" t="str">
        <x:v>設計</x:v>
      </x:c>
      <x:c r="P6" s="2055" t="str"/>
    </x:row>
    <x:row r="7">
      <x:c r="A7" s="2054" t="str">
        <x:v>AG-003</x:v>
      </x:c>
      <x:c r="B7" s="1521" t="str">
        <x:v>レポート下書き</x:v>
      </x:c>
      <x:c r="C7" s="1521" t="str">
        <x:v>ルール計算完了</x:v>
      </x:c>
      <x:c r="D7" s="1521" t="str">
        <x:v>KPI、Guardrail、TOP5、承認コメント</x:v>
      </x:c>
      <x:c r="E7" s="1521" t="str">
        <x:v>接続、短縮、重複整理</x:v>
      </x:c>
      <x:c r="F7" s="1521" t="str">
        <x:v>A3用文章案</x:v>
      </x:c>
      <x:c r="G7" s="1521" t="str">
        <x:v>可</x:v>
      </x:c>
      <x:c r="H7" s="1521" t="str">
        <x:v>正式発行前必須</x:v>
      </x:c>
      <x:c r="I7" s="1521" t="str">
        <x:v>順位・断定・原因・数値の変更</x:v>
      </x:c>
      <x:c r="J7" s="1521" t="str">
        <x:v>承認済み部品と必要なEvidence</x:v>
      </x:c>
      <x:c r="K7" s="1521" t="str">
        <x:v>入力・出力・Version</x:v>
      </x:c>
      <x:c r="L7" s="1521" t="str">
        <x:v>テンプレート原文使用</x:v>
      </x:c>
      <x:c r="M7" s="1521" t="str">
        <x:v>1</x:v>
      </x:c>
      <x:c r="N7" s="1521" t="str">
        <x:v>診断責任者</x:v>
      </x:c>
      <x:c r="O7" s="1521" t="str">
        <x:v>設計</x:v>
      </x:c>
      <x:c r="P7" s="2055" t="str"/>
    </x:row>
    <x:row r="8">
      <x:c r="A8" s="2054" t="str">
        <x:v>AG-004</x:v>
      </x:c>
      <x:c r="B8" s="1521" t="str">
        <x:v>発行チェック</x:v>
      </x:c>
      <x:c r="C8" s="1521" t="str">
        <x:v>PDF生成後</x:v>
      </x:c>
      <x:c r="D8" s="1521" t="str">
        <x:v>A3 PDF、送付先、案件情報</x:v>
      </x:c>
      <x:c r="E8" s="1521" t="str">
        <x:v>誤記・宛先・機密・レイアウト確認</x:v>
      </x:c>
      <x:c r="F8" s="1521" t="str">
        <x:v>チェック結果</x:v>
      </x:c>
      <x:c r="G8" s="1521" t="str">
        <x:v>可</x:v>
      </x:c>
      <x:c r="H8" s="1521" t="str">
        <x:v>営業・診断担当</x:v>
      </x:c>
      <x:c r="I8" s="1521" t="str">
        <x:v>自動送信、機密度変更</x:v>
      </x:c>
      <x:c r="J8" s="1521" t="str">
        <x:v>A3 PDFと送付情報</x:v>
      </x:c>
      <x:c r="K8" s="1521" t="str">
        <x:v>チェック履歴</x:v>
      </x:c>
      <x:c r="L8" s="1521" t="str">
        <x:v>人が全項目確認</x:v>
      </x:c>
      <x:c r="M8" s="1521" t="str">
        <x:v>1</x:v>
      </x:c>
      <x:c r="N8" s="1521" t="str">
        <x:v>営業責任者</x:v>
      </x:c>
      <x:c r="O8" s="1521" t="str">
        <x:v>設計</x:v>
      </x:c>
      <x:c r="P8" s="2055" t="str"/>
    </x:row>
    <x:row r="9">
      <x:c r="A9" s="2054" t="str">
        <x:v>AG-005</x:v>
      </x:c>
      <x:c r="B9" s="1521" t="str">
        <x:v>フォロー支援</x:v>
      </x:c>
      <x:c r="C9" s="1521" t="str">
        <x:v>A3送付後</x:v>
      </x:c>
      <x:c r="D9" s="1521" t="str">
        <x:v>診断要点、営業履歴</x:v>
      </x:c>
      <x:c r="E9" s="1521" t="str">
        <x:v>電話・訪問の確認事項を整理</x:v>
      </x:c>
      <x:c r="F9" s="1521" t="str">
        <x:v>フォロー台本・ToDo</x:v>
      </x:c>
      <x:c r="G9" s="1521" t="str">
        <x:v>可</x:v>
      </x:c>
      <x:c r="H9" s="1521" t="str">
        <x:v>営業担当</x:v>
      </x:c>
      <x:c r="I9" s="1521" t="str">
        <x:v>顧客への自動接触</x:v>
      </x:c>
      <x:c r="J9" s="1521" t="str">
        <x:v>案件に必要な顧客情報</x:v>
      </x:c>
      <x:c r="K9" s="1521" t="str">
        <x:v>利用履歴</x:v>
      </x:c>
      <x:c r="L9" s="1521" t="str">
        <x:v>手動作成</x:v>
      </x:c>
      <x:c r="M9" s="1521" t="str">
        <x:v>2</x:v>
      </x:c>
      <x:c r="N9" s="1521" t="str">
        <x:v>営業責任者</x:v>
      </x:c>
      <x:c r="O9" s="1521" t="str">
        <x:v>設計</x:v>
      </x:c>
      <x:c r="P9" s="2055" t="str"/>
    </x:row>
    <x:row r="10">
      <x:c r="A10" s="2056" t="str">
        <x:v>AG-006</x:v>
      </x:c>
      <x:c r="B10" s="2057" t="str">
        <x:v>月次改善</x:v>
      </x:c>
      <x:c r="C10" s="2057" t="str">
        <x:v>月次締め</x:v>
      </x:c>
      <x:c r="D10" s="2057" t="str">
        <x:v>匿名化KPI、修正履歴、反応</x:v>
      </x:c>
      <x:c r="E10" s="2057" t="str">
        <x:v>傾向・改善候補を整理</x:v>
      </x:c>
      <x:c r="F10" s="2057" t="str">
        <x:v>月次レビュー案</x:v>
      </x:c>
      <x:c r="G10" s="2057" t="str">
        <x:v>可</x:v>
      </x:c>
      <x:c r="H10" s="2057" t="str">
        <x:v>事業責任者</x:v>
      </x:c>
      <x:c r="I10" s="2057" t="str">
        <x:v>ロジック自動変更</x:v>
      </x:c>
      <x:c r="J10" s="2057" t="str">
        <x:v>匿名化KPIを原則。個別情報利用時は承認</x:v>
      </x:c>
      <x:c r="K10" s="2057" t="str">
        <x:v>改善提案履歴</x:v>
      </x:c>
      <x:c r="L10" s="2057" t="str">
        <x:v>手動集計</x:v>
      </x:c>
      <x:c r="M10" s="2057" t="str">
        <x:v>3</x:v>
      </x:c>
      <x:c r="N10" s="2057" t="str">
        <x:v>事業責任者</x:v>
      </x:c>
      <x:c r="O10" s="2057" t="str">
        <x:v>設計</x:v>
      </x:c>
      <x:c r="P10" s="2058" t="str"/>
    </x:row>
  </x:sheetData>
  <x:mergeCells>
    <x:mergeCell ref="A1:P1"/>
    <x:mergeCell ref="A2:P2"/>
  </x:mergeCells>
  <x:dataValidations count="2">
    <x:dataValidation type="list" sqref="G5:G10">
      <x:formula1>"可,条件付き,不可"</x:formula1>
    </x:dataValidation>
    <x:dataValidation type="list" sqref="O5:O10">
      <x:formula1>"設計,試行,運用,保留,廃止"</x:formula1>
    </x:dataValidation>
  </x:dataValidations>
  <x:pageMargins left="0.7" right="0.7" top="0.75" bottom="0.75" header="0.3" footer="0.3"/>
</x:worksheet>
</file>

<file path=xl/worksheets/sheet48.xml><?xml version="1.0" encoding="utf-8"?>
<x:worksheet xmlns:x="http://schemas.openxmlformats.org/spreadsheetml/2006/main">
  <x:sheetFormatPr defaultRowHeight="15"/>
  <x:cols>
    <x:col min="1" max="1" width="14" hidden="0" customWidth="1"/>
    <x:col min="2" max="2" width="14" hidden="0" customWidth="1"/>
    <x:col min="3" max="3" width="24" hidden="0" customWidth="1"/>
    <x:col min="4" max="4" width="40" hidden="0" customWidth="1"/>
    <x:col min="5" max="5" width="34" hidden="0" customWidth="1"/>
    <x:col min="6" max="6" width="34" hidden="0" customWidth="1"/>
    <x:col min="7" max="7" width="18" hidden="0" customWidth="1"/>
    <x:col min="8" max="8" width="30" hidden="0" customWidth="1"/>
    <x:col min="9" max="9" width="28" hidden="0" customWidth="1"/>
    <x:col min="10" max="10" width="16" hidden="0" customWidth="1"/>
    <x:col min="11" max="11" width="12" hidden="0" customWidth="1"/>
    <x:col min="12" max="12" width="14" hidden="0" customWidth="1"/>
    <x:col min="13" max="13" width="14" hidden="0" customWidth="1"/>
    <x:col min="14" max="14" width="22" hidden="0" customWidth="1"/>
  </x:cols>
  <x:sheetData>
    <x:row r="1" ht="28" customHeight="1">
      <x:c r="A1" s="1959" t="str">
        <x:v>47_内製実装ロードマップ</x:v>
      </x:c>
      <x:c r="B1" s="1959"/>
      <x:c r="C1" s="1959"/>
      <x:c r="D1" s="1959"/>
      <x:c r="E1" s="1959"/>
      <x:c r="F1" s="1959"/>
      <x:c r="G1" s="1959"/>
      <x:c r="H1" s="1959"/>
      <x:c r="I1" s="1959"/>
      <x:c r="J1" s="1959"/>
      <x:c r="K1" s="1959"/>
      <x:c r="L1" s="1959"/>
      <x:c r="M1" s="1959"/>
      <x:c r="N1" s="1959"/>
    </x:row>
    <x:row r="2" ht="36" customHeight="1">
      <x:c r="A2" s="1962" t="str">
        <x:v>追加外部コストなしで、社内入力版から限定公開Web、半自動化、AIエージェント運用へ進む。</x:v>
      </x:c>
      <x:c r="B2" s="1962"/>
      <x:c r="C2" s="1962"/>
      <x:c r="D2" s="1962"/>
      <x:c r="E2" s="1962"/>
      <x:c r="F2" s="1962"/>
      <x:c r="G2" s="1962"/>
      <x:c r="H2" s="1962"/>
      <x:c r="I2" s="1962"/>
      <x:c r="J2" s="1962"/>
      <x:c r="K2" s="1962"/>
      <x:c r="L2" s="1962"/>
      <x:c r="M2" s="1962"/>
      <x:c r="N2" s="1962"/>
    </x:row>
    <x:row r="4" ht="38" customHeight="1">
      <x:c r="A4" s="1974" t="str">
        <x:v>Stage</x:v>
      </x:c>
      <x:c r="B4" s="1975" t="str">
        <x:v>期間目安</x:v>
      </x:c>
      <x:c r="C4" s="1975" t="str">
        <x:v>目的</x:v>
      </x:c>
      <x:c r="D4" s="1975" t="str">
        <x:v>必須機能</x:v>
      </x:c>
      <x:c r="E4" s="1975" t="str">
        <x:v>手作業で許容する部分</x:v>
      </x:c>
      <x:c r="F4" s="1975" t="str">
        <x:v>完成条件</x:v>
      </x:c>
      <x:c r="G4" s="1975" t="str">
        <x:v>主担当</x:v>
      </x:c>
      <x:c r="H4" s="1975" t="str">
        <x:v>情報システム作業</x:v>
      </x:c>
      <x:c r="I4" s="1975" t="str">
        <x:v>AI協業</x:v>
      </x:c>
      <x:c r="J4" s="1975" t="str">
        <x:v>追加費用</x:v>
      </x:c>
      <x:c r="K4" s="1975" t="str">
        <x:v>Gate</x:v>
      </x:c>
      <x:c r="L4" s="1975" t="str">
        <x:v>状態</x:v>
      </x:c>
      <x:c r="M4" s="1975" t="str">
        <x:v>開始日</x:v>
      </x:c>
      <x:c r="N4" s="1976" t="str">
        <x:v>備考</x:v>
      </x:c>
    </x:row>
    <x:row r="5">
      <x:c r="A5" s="2286" t="str">
        <x:v>Stage 0</x:v>
      </x:c>
      <x:c r="B5" s="2287" t="str">
        <x:v>1～2週</x:v>
      </x:c>
      <x:c r="C5" s="2287" t="str">
        <x:v>現行環境確認・方針確定</x:v>
      </x:c>
      <x:c r="D5" s="2287" t="str">
        <x:v>51のWeb、M365、Copilot、AI、Excel、情報管理を確認</x:v>
      </x:c>
      <x:c r="E5" s="2287" t="str">
        <x:v>確認作業は面談・メールで可</x:v>
      </x:c>
      <x:c r="F5" s="2287" t="str">
        <x:v>S項目回答、追加費用0円または承認済み</x:v>
      </x:c>
      <x:c r="G5" s="2287" t="str">
        <x:v>事業責任者</x:v>
      </x:c>
      <x:c r="H5" s="2287" t="str">
        <x:v>権限・保存・外部受付確認</x:v>
      </x:c>
      <x:c r="I5" s="2287" t="str">
        <x:v>確認票整理・代替案</x:v>
      </x:c>
      <x:c r="J5" s="2287" t="str">
        <x:v>0円</x:v>
      </x:c>
      <x:c r="K5" s="2287" t="str">
        <x:v>GT-I0</x:v>
      </x:c>
      <x:c r="L5" s="2287" t="str">
        <x:v>確認開始</x:v>
      </x:c>
      <x:c r="M5" s="2287" t="str"/>
      <x:c r="N5" s="2288" t="str">
        <x:v>51を正本</x:v>
      </x:c>
    </x:row>
    <x:row r="6">
      <x:c r="A6" s="2289" t="str">
        <x:v>Stage 1A</x:v>
      </x:c>
      <x:c r="B6" s="1521" t="str">
        <x:v>2～4週</x:v>
      </x:c>
      <x:c r="C6" s="1521" t="str">
        <x:v>独立LP・受付基盤を先行構築</x:v>
      </x:c>
      <x:c r="D6" s="1521" t="str">
        <x:v>サブドメイン、LP、公開フォーム、相互リンク、受付停止表示</x:v>
      </x:c>
      <x:c r="E6" s="1521" t="str">
        <x:v>診断回答の社内転記、受付通知の一部手動</x:v>
      </x:c>
      <x:c r="F6" s="1521" t="str">
        <x:v>独立LPが完成し、受付停止状態でテスト送信可能</x:v>
      </x:c>
      <x:c r="G6" s="1521" t="str">
        <x:v>営業/LP担当</x:v>
      </x:c>
      <x:c r="H6" s="1521" t="str">
        <x:v>DNS・SSL・公開設定・ログ・停止制御</x:v>
      </x:c>
      <x:c r="I6" s="1521" t="str">
        <x:v>文言・フォーム・エラー確認</x:v>
      </x:c>
      <x:c r="J6" s="1521" t="str">
        <x:v>0円を原則</x:v>
      </x:c>
      <x:c r="K6" s="1521" t="str">
        <x:v>GT-I1A</x:v>
      </x:c>
      <x:c r="L6" s="1521" t="str">
        <x:v>未着手</x:v>
      </x:c>
      <x:c r="M6" s="1521" t="str"/>
      <x:c r="N6" s="2290" t="str">
        <x:v>既存公式サイト改修はリンク追加のみ</x:v>
      </x:c>
    </x:row>
    <x:row r="7">
      <x:c r="A7" s="2289" t="str">
        <x:v>Stage 1B</x:v>
      </x:c>
      <x:c r="B7" s="1521" t="str">
        <x:v>2～4週</x:v>
      </x:c>
      <x:c r="C7" s="1521" t="str">
        <x:v>社内診断・A3発行MVPを完成</x:v>
      </x:c>
      <x:c r="D7" s="1521" t="str">
        <x:v>52～54の社内入力、採点、AI下書き、A3、承認、送付台帳</x:v>
      </x:c>
      <x:c r="E7" s="1521" t="str">
        <x:v>資料受領、PDF送付、営業フォロー</x:v>
      </x:c>
      <x:c r="F7" s="1521" t="str">
        <x:v>55のS項目全合格、模擬3件完了</x:v>
      </x:c>
      <x:c r="G7" s="1521" t="str">
        <x:v>診断担当</x:v>
      </x:c>
      <x:c r="H7" s="1521" t="str">
        <x:v>共有先・権限・バックアップ</x:v>
      </x:c>
      <x:c r="I7" s="1521" t="str">
        <x:v>式・テンプレート・試験支援</x:v>
      </x:c>
      <x:c r="J7" s="1521" t="str">
        <x:v>0円</x:v>
      </x:c>
      <x:c r="K7" s="1521" t="str">
        <x:v>GT-I1B</x:v>
      </x:c>
      <x:c r="L7" s="1521" t="str">
        <x:v>未着手</x:v>
      </x:c>
      <x:c r="M7" s="1521" t="str"/>
      <x:c r="N7" s="2290" t="str">
        <x:v>Stage1Aと並行可</x:v>
      </x:c>
    </x:row>
    <x:row r="8">
      <x:c r="A8" s="2289" t="str">
        <x:v>Stage 1C</x:v>
      </x:c>
      <x:c r="B8" s="1521" t="str">
        <x:v>1～2週</x:v>
      </x:c>
      <x:c r="C8" s="1521" t="str">
        <x:v>受付開始前の総合確認</x:v>
      </x:c>
      <x:c r="D8" s="1521" t="str">
        <x:v>公開Webから受付、台帳、診断、A3、送付まで通し試験</x:v>
      </x:c>
      <x:c r="E8" s="1521" t="str">
        <x:v>顧客連絡は模擬・社内テスト</x:v>
      </x:c>
      <x:c r="F8" s="1521" t="str">
        <x:v>受付停止解除条件を全て満たす</x:v>
      </x:c>
      <x:c r="G8" s="1521" t="str">
        <x:v>事業責任者</x:v>
      </x:c>
      <x:c r="H8" s="1521" t="str">
        <x:v>公開設定・障害時停止手順</x:v>
      </x:c>
      <x:c r="I8" s="1521" t="str">
        <x:v>通し試験・チェック支援</x:v>
      </x:c>
      <x:c r="J8" s="1521" t="str">
        <x:v>0円</x:v>
      </x:c>
      <x:c r="K8" s="1521" t="str">
        <x:v>GT-I1C</x:v>
      </x:c>
      <x:c r="L8" s="1521" t="str">
        <x:v>未着手</x:v>
      </x:c>
      <x:c r="M8" s="1521" t="str"/>
      <x:c r="N8" s="2290" t="str">
        <x:v>模擬案件3件をWeb起点で実施</x:v>
      </x:c>
    </x:row>
    <x:row r="9">
      <x:c r="A9" s="2291" t="str">
        <x:v>Stage 2</x:v>
      </x:c>
      <x:c r="B9" s="2292" t="str">
        <x:v>3か月</x:v>
      </x:c>
      <x:c r="C9" s="2292" t="str">
        <x:v>限定公開・パイロット運用</x:v>
      </x:c>
      <x:c r="D9" s="2292" t="str">
        <x:v>営業からURLを個別案内し、実顧客の受付を開始</x:v>
      </x:c>
      <x:c r="E9" s="2292" t="str">
        <x:v>最終確認、個別返信、電話・訪問</x:v>
      </x:c>
      <x:c r="F9" s="2292" t="str">
        <x:v>品質・CV・原価を測定し継続判断</x:v>
      </x:c>
      <x:c r="G9" s="2292" t="str">
        <x:v>事業責任者</x:v>
      </x:c>
      <x:c r="H9" s="2292" t="str">
        <x:v>監視・バックアップ</x:v>
      </x:c>
      <x:c r="I9" s="2292" t="str">
        <x:v>AG-001～005試行</x:v>
      </x:c>
      <x:c r="J9" s="2292" t="str">
        <x:v>0円を原則</x:v>
      </x:c>
      <x:c r="K9" s="2292" t="str">
        <x:v>GT-I2</x:v>
      </x:c>
      <x:c r="L9" s="2292" t="str">
        <x:v>未着手</x:v>
      </x:c>
      <x:c r="M9" s="2292" t="str"/>
      <x:c r="N9" s="2293" t="str">
        <x:v>積極告知なし</x:v>
      </x:c>
    </x:row>
  </x:sheetData>
  <x:mergeCells>
    <x:mergeCell ref="A1:N1"/>
    <x:mergeCell ref="A2:N2"/>
  </x:mergeCells>
  <x:dataValidations count="1">
    <x:dataValidation type="list" sqref="L5:L9">
      <x:formula1>"未着手,確認中,実装中,試行中,完了,保留"</x:formula1>
    </x:dataValidation>
  </x:dataValidations>
  <x:pageMargins left="0.7" right="0.7" top="0.75" bottom="0.75" header="0.3" footer="0.3"/>
</x:worksheet>
</file>

<file path=xl/worksheets/sheet49.xml><?xml version="1.0" encoding="utf-8"?>
<x:worksheet xmlns:x="http://schemas.openxmlformats.org/spreadsheetml/2006/main">
  <x:sheetFormatPr defaultRowHeight="15"/>
  <x:cols>
    <x:col min="1" max="1" width="12" hidden="0" customWidth="1"/>
    <x:col min="2" max="2" width="18" hidden="0" customWidth="1"/>
    <x:col min="3" max="3" width="34" hidden="0" customWidth="1"/>
    <x:col min="4" max="4" width="38" hidden="0" customWidth="1"/>
    <x:col min="5" max="5" width="24" hidden="0" customWidth="1"/>
    <x:col min="6" max="6" width="28" hidden="0" customWidth="1"/>
    <x:col min="7" max="7" width="24" hidden="0" customWidth="1"/>
    <x:col min="8" max="8" width="34" hidden="0" customWidth="1"/>
    <x:col min="9" max="9" width="18" hidden="0" customWidth="1"/>
    <x:col min="10" max="10" width="26" hidden="0" customWidth="1"/>
    <x:col min="11" max="11" width="24" hidden="0" customWidth="1"/>
    <x:col min="12" max="12" width="24" hidden="0" customWidth="1"/>
    <x:col min="13" max="13" width="30" hidden="0" customWidth="1"/>
    <x:col min="14" max="14" width="12" hidden="0" customWidth="1"/>
    <x:col min="15" max="15" width="14" hidden="0" customWidth="1"/>
    <x:col min="16" max="16" width="22" hidden="0" customWidth="1"/>
  </x:cols>
  <x:sheetData>
    <x:row r="1" ht="28" customHeight="1">
      <x:c r="A1" s="2017" t="str">
        <x:v>48_フォーム・資料分離設計</x:v>
      </x:c>
      <x:c r="B1" s="2017"/>
      <x:c r="C1" s="2017"/>
      <x:c r="D1" s="2017"/>
      <x:c r="E1" s="2017"/>
      <x:c r="F1" s="2017"/>
      <x:c r="G1" s="2017"/>
      <x:c r="H1" s="2017"/>
      <x:c r="I1" s="2017"/>
      <x:c r="J1" s="2017"/>
      <x:c r="K1" s="2017"/>
      <x:c r="L1" s="2017"/>
      <x:c r="M1" s="2017"/>
      <x:c r="N1" s="2017"/>
      <x:c r="O1" s="2017"/>
      <x:c r="P1" s="2017"/>
    </x:row>
    <x:row r="2" ht="36" customHeight="1">
      <x:c r="A2" s="2020" t="str">
        <x:v>公開フォームは診断回答と連絡先に限定し、顧客資料はメール・電話・訪問後の個別経路で受領する。</x:v>
      </x:c>
      <x:c r="B2" s="2020"/>
      <x:c r="C2" s="2020"/>
      <x:c r="D2" s="2020"/>
      <x:c r="E2" s="2020"/>
      <x:c r="F2" s="2020"/>
      <x:c r="G2" s="2020"/>
      <x:c r="H2" s="2020"/>
      <x:c r="I2" s="2020"/>
      <x:c r="J2" s="2020"/>
      <x:c r="K2" s="2020"/>
      <x:c r="L2" s="2020"/>
      <x:c r="M2" s="2020"/>
      <x:c r="N2" s="2020"/>
      <x:c r="O2" s="2020"/>
      <x:c r="P2" s="2020"/>
    </x:row>
    <x:row r="4" ht="38" customHeight="1">
      <x:c r="A4" s="2032" t="str">
        <x:v>設計ID</x:v>
      </x:c>
      <x:c r="B4" s="2033" t="str">
        <x:v>工程</x:v>
      </x:c>
      <x:c r="C4" s="2033" t="str">
        <x:v>公開フォームで扱う情報</x:v>
      </x:c>
      <x:c r="D4" s="2033" t="str">
        <x:v>公開フォームで扱わない情報</x:v>
      </x:c>
      <x:c r="E4" s="2033" t="str">
        <x:v>資料受領の契機</x:v>
      </x:c>
      <x:c r="F4" s="2033" t="str">
        <x:v>資料受領方法</x:v>
      </x:c>
      <x:c r="G4" s="2033" t="str">
        <x:v>社内保存先</x:v>
      </x:c>
      <x:c r="H4" s="2033" t="str">
        <x:v>顧客説明</x:v>
      </x:c>
      <x:c r="I4" s="2033" t="str">
        <x:v>受付担当</x:v>
      </x:c>
      <x:c r="J4" s="2033" t="str">
        <x:v>AI利用</x:v>
      </x:c>
      <x:c r="K4" s="2033" t="str">
        <x:v>完了条件</x:v>
      </x:c>
      <x:c r="L4" s="2033" t="str">
        <x:v>例外</x:v>
      </x:c>
      <x:c r="M4" s="2033" t="str">
        <x:v>情報システム確認</x:v>
      </x:c>
      <x:c r="N4" s="2033" t="str">
        <x:v>Stage</x:v>
      </x:c>
      <x:c r="O4" s="2033" t="str">
        <x:v>状態</x:v>
      </x:c>
      <x:c r="P4" s="2034" t="str">
        <x:v>備考</x:v>
      </x:c>
    </x:row>
    <x:row r="5">
      <x:c r="A5" s="2051" t="str">
        <x:v>SEP-001</x:v>
      </x:c>
      <x:c r="B5" s="2052" t="str">
        <x:v>LP・診断受付</x:v>
      </x:c>
      <x:c r="C5" s="2052" t="str">
        <x:v>会社名、工場名、担当者、連絡先、質問回答、レポート希望</x:v>
      </x:c>
      <x:c r="D5" s="2052" t="str">
        <x:v>設備図面、点検報告書、契約書、工場写真等のファイル</x:v>
      </x:c>
      <x:c r="E5" s="2052" t="str">
        <x:v>原則なし</x:v>
      </x:c>
      <x:c r="F5" s="2052" t="str">
        <x:v>なし</x:v>
      </x:c>
      <x:c r="G5" s="2052" t="str">
        <x:v>回答台帳</x:v>
      </x:c>
      <x:c r="H5" s="2052" t="str">
        <x:v>資料添付は後日個別に案内する旨を明記</x:v>
      </x:c>
      <x:c r="I5" s="2052" t="str">
        <x:v>Web/営業</x:v>
      </x:c>
      <x:c r="J5" s="2052" t="str">
        <x:v>回答内容のみ条件付き</x:v>
      </x:c>
      <x:c r="K5" s="2052" t="str">
        <x:v>送信完了・受付番号発行</x:v>
      </x:c>
      <x:c r="L5" s="2052" t="str">
        <x:v>電話での受付も可</x:v>
      </x:c>
      <x:c r="M5" s="2052" t="str">
        <x:v>外部回答・保存・通知</x:v>
      </x:c>
      <x:c r="N5" s="2052" t="str">
        <x:v>2</x:v>
      </x:c>
      <x:c r="O5" s="2052" t="str">
        <x:v>確定</x:v>
      </x:c>
      <x:c r="P5" s="2053" t="str"/>
    </x:row>
    <x:row r="6">
      <x:c r="A6" s="2054" t="str">
        <x:v>SEP-002</x:v>
      </x:c>
      <x:c r="B6" s="1521" t="str">
        <x:v>レポート要求受付</x:v>
      </x:c>
      <x:c r="C6" s="1521" t="str">
        <x:v>レポート希望、用途、希望連絡方法</x:v>
      </x:c>
      <x:c r="D6" s="1521" t="str">
        <x:v>顧客資料</x:v>
      </x:c>
      <x:c r="E6" s="1521" t="str">
        <x:v>メール要求受信後</x:v>
      </x:c>
      <x:c r="F6" s="1521" t="str">
        <x:v>メール、電話、訪問で必要性確認</x:v>
      </x:c>
      <x:c r="G6" s="1521" t="str">
        <x:v>案件台帳</x:v>
      </x:c>
      <x:c r="H6" s="1521" t="str">
        <x:v>資料は必要な場合のみ個別に依頼</x:v>
      </x:c>
      <x:c r="I6" s="1521" t="str">
        <x:v>営業</x:v>
      </x:c>
      <x:c r="J6" s="1521" t="str">
        <x:v>受付整理のみ</x:v>
      </x:c>
      <x:c r="K6" s="1521" t="str">
        <x:v>担当者・期限決定</x:v>
      </x:c>
      <x:c r="L6" s="1521" t="str">
        <x:v>営業担当が直接受領可</x:v>
      </x:c>
      <x:c r="M6" s="1521" t="str">
        <x:v>共有メール・記録先</x:v>
      </x:c>
      <x:c r="N6" s="1521" t="str">
        <x:v>1/2</x:v>
      </x:c>
      <x:c r="O6" s="1521" t="str">
        <x:v>確定</x:v>
      </x:c>
      <x:c r="P6" s="2055" t="str"/>
    </x:row>
    <x:row r="7">
      <x:c r="A7" s="2054" t="str">
        <x:v>SEP-003</x:v>
      </x:c>
      <x:c r="B7" s="1521" t="str">
        <x:v>資料依頼</x:v>
      </x:c>
      <x:c r="C7" s="1521" t="str">
        <x:v>なし</x:v>
      </x:c>
      <x:c r="D7" s="1521" t="str">
        <x:v>設備写真、型式一覧、図面、点検資料</x:v>
      </x:c>
      <x:c r="E7" s="1521" t="str">
        <x:v>診断担当が必要性を判断</x:v>
      </x:c>
      <x:c r="F7" s="1521" t="str">
        <x:v>通常営業で使用する安全な方法</x:v>
      </x:c>
      <x:c r="G7" s="1521" t="str">
        <x:v>案件別フォルダ</x:v>
      </x:c>
      <x:c r="H7" s="1521" t="str">
        <x:v>任意提出、利用目的、取扱いを個別説明</x:v>
      </x:c>
      <x:c r="I7" s="1521" t="str">
        <x:v>営業/診断担当</x:v>
      </x:c>
      <x:c r="J7" s="1521" t="str">
        <x:v>依頼文・不足項目整理</x:v>
      </x:c>
      <x:c r="K7" s="1521" t="str">
        <x:v>顧客が提出方法を理解</x:v>
      </x:c>
      <x:c r="L7" s="1521" t="str">
        <x:v>厳秘資料は訪問または指定方法</x:v>
      </x:c>
      <x:c r="M7" s="1521" t="str">
        <x:v>保存先・権限・受領方法</x:v>
      </x:c>
      <x:c r="N7" s="1521" t="str">
        <x:v>1/2</x:v>
      </x:c>
      <x:c r="O7" s="1521" t="str">
        <x:v>確定</x:v>
      </x:c>
      <x:c r="P7" s="2055" t="str"/>
    </x:row>
    <x:row r="8">
      <x:c r="A8" s="2054" t="str">
        <x:v>SEP-004</x:v>
      </x:c>
      <x:c r="B8" s="1521" t="str">
        <x:v>資料受領</x:v>
      </x:c>
      <x:c r="C8" s="1521" t="str">
        <x:v>なし</x:v>
      </x:c>
      <x:c r="D8" s="1521" t="str">
        <x:v>顧客個別資料全般</x:v>
      </x:c>
      <x:c r="E8" s="1521" t="str">
        <x:v>顧客から個別提出</x:v>
      </x:c>
      <x:c r="F8" s="1521" t="str">
        <x:v>メール添付、共有リンク、訪問時受領等</x:v>
      </x:c>
      <x:c r="G8" s="1521" t="str">
        <x:v>通常営業の案件フォルダ</x:v>
      </x:c>
      <x:c r="H8" s="1521" t="str">
        <x:v>通常営業と同じ秘密情報として管理</x:v>
      </x:c>
      <x:c r="I8" s="1521" t="str">
        <x:v>営業</x:v>
      </x:c>
      <x:c r="J8" s="1521" t="str">
        <x:v>AI投入可否を資料単位で確認</x:v>
      </x:c>
      <x:c r="K8" s="1521" t="str">
        <x:v>保存・権限・案件紐付け完了</x:v>
      </x:c>
      <x:c r="L8" s="1521" t="str">
        <x:v>媒体受領時は台帳記録</x:v>
      </x:c>
      <x:c r="M8" s="1521" t="str">
        <x:v>ウイルス対策・ログ</x:v>
      </x:c>
      <x:c r="N8" s="1521" t="str">
        <x:v>1/2</x:v>
      </x:c>
      <x:c r="O8" s="1521" t="str">
        <x:v>確定</x:v>
      </x:c>
      <x:c r="P8" s="2055" t="str"/>
    </x:row>
    <x:row r="9">
      <x:c r="A9" s="2054" t="str">
        <x:v>SEP-005</x:v>
      </x:c>
      <x:c r="B9" s="1521" t="str">
        <x:v>診断・A3作成</x:v>
      </x:c>
      <x:c r="C9" s="1521" t="str">
        <x:v>フォーム回答</x:v>
      </x:c>
      <x:c r="D9" s="1521" t="str">
        <x:v>必要資料のみ社内参照</x:v>
      </x:c>
      <x:c r="E9" s="1521" t="str">
        <x:v>診断処理時</x:v>
      </x:c>
      <x:c r="F9" s="1521" t="str">
        <x:v>社内参照</x:v>
      </x:c>
      <x:c r="G9" s="1521" t="str">
        <x:v>診断作業領域</x:v>
      </x:c>
      <x:c r="H9" s="1521" t="str">
        <x:v>A3へ必要最小限のみ反映</x:v>
      </x:c>
      <x:c r="I9" s="1521" t="str">
        <x:v>診断担当</x:v>
      </x:c>
      <x:c r="J9" s="1521" t="str">
        <x:v>許可済みAIへ必要範囲を投入可</x:v>
      </x:c>
      <x:c r="K9" s="1521" t="str">
        <x:v>レビュー可能なA3完成</x:v>
      </x:c>
      <x:c r="L9" s="1521" t="str">
        <x:v>資料不足はL1/L2表現</x:v>
      </x:c>
      <x:c r="M9" s="1521" t="str">
        <x:v>AIサービス条件・承認</x:v>
      </x:c>
      <x:c r="N9" s="1521" t="str">
        <x:v>1</x:v>
      </x:c>
      <x:c r="O9" s="1521" t="str">
        <x:v>確定</x:v>
      </x:c>
      <x:c r="P9" s="2055" t="str"/>
    </x:row>
    <x:row r="10">
      <x:c r="A10" s="2056" t="str">
        <x:v>SEP-006</x:v>
      </x:c>
      <x:c r="B10" s="2057" t="str">
        <x:v>発行・フォロー</x:v>
      </x:c>
      <x:c r="C10" s="2057" t="str">
        <x:v>なし</x:v>
      </x:c>
      <x:c r="D10" s="2057" t="str">
        <x:v>A3、追加資料</x:v>
      </x:c>
      <x:c r="E10" s="2057" t="str">
        <x:v>承認後</x:v>
      </x:c>
      <x:c r="F10" s="2057" t="str">
        <x:v>個別メール、電話、訪問</x:v>
      </x:c>
      <x:c r="G10" s="2057" t="str">
        <x:v>送付・営業履歴</x:v>
      </x:c>
      <x:c r="H10" s="2057" t="str">
        <x:v>個別対応で説明・提案へ接続</x:v>
      </x:c>
      <x:c r="I10" s="2057" t="str">
        <x:v>営業</x:v>
      </x:c>
      <x:c r="J10" s="2057" t="str">
        <x:v>送付文案・フォロー案</x:v>
      </x:c>
      <x:c r="K10" s="2057" t="str">
        <x:v>顧客受領・次アクション</x:v>
      </x:c>
      <x:c r="L10" s="2057" t="str">
        <x:v>誤送信時は事故対応</x:v>
      </x:c>
      <x:c r="M10" s="2057" t="str">
        <x:v>送付ログ・権限</x:v>
      </x:c>
      <x:c r="N10" s="2057" t="str">
        <x:v>1</x:v>
      </x:c>
      <x:c r="O10" s="2057" t="str">
        <x:v>確定</x:v>
      </x:c>
      <x:c r="P10" s="2058" t="str"/>
    </x:row>
  </x:sheetData>
  <x:mergeCells>
    <x:mergeCell ref="A1:P1"/>
    <x:mergeCell ref="A2:P2"/>
  </x:mergeCells>
  <x:dataValidations count="1">
    <x:dataValidation type="list" sqref="O5:O10">
      <x:formula1>"確定,確認中,試行,見直し"</x:formula1>
    </x:dataValidation>
  </x:dataValidations>
  <x:pageMargins left="0.7" right="0.7" top="0.75" bottom="0.75" header="0.3" footer="0.3"/>
</x:worksheet>
</file>

<file path=xl/worksheets/sheet50.xml><?xml version="1.0" encoding="utf-8"?>
<x:worksheet xmlns:x="http://schemas.openxmlformats.org/spreadsheetml/2006/main">
  <x:sheetFormatPr defaultRowHeight="15"/>
  <x:cols>
    <x:col min="1" max="1" width="12" hidden="0" customWidth="1"/>
    <x:col min="2" max="2" width="32" hidden="0" customWidth="1"/>
    <x:col min="3" max="3" width="14" hidden="0" customWidth="1"/>
    <x:col min="4" max="4" width="34" hidden="0" customWidth="1"/>
    <x:col min="5" max="5" width="32" hidden="0" customWidth="1"/>
    <x:col min="6" max="6" width="24" hidden="0" customWidth="1"/>
    <x:col min="7" max="7" width="18" hidden="0" customWidth="1"/>
    <x:col min="8" max="8" width="16" hidden="0" customWidth="1"/>
    <x:col min="9" max="9" width="16" hidden="0" customWidth="1"/>
    <x:col min="10" max="10" width="28" hidden="0" customWidth="1"/>
    <x:col min="11" max="11" width="32" hidden="0" customWidth="1"/>
    <x:col min="12" max="12" width="22" hidden="0" customWidth="1"/>
    <x:col min="13" max="13" width="20" hidden="0" customWidth="1"/>
    <x:col min="14" max="14" width="14" hidden="0" customWidth="1"/>
    <x:col min="15" max="15" width="14" hidden="0" customWidth="1"/>
    <x:col min="16" max="16" width="22" hidden="0" customWidth="1"/>
  </x:cols>
  <x:sheetData>
    <x:row r="1" ht="28" customHeight="1">
      <x:c r="A1" s="2017" t="str">
        <x:v>49_AI利用条件確認</x:v>
      </x:c>
      <x:c r="B1" s="2017"/>
      <x:c r="C1" s="2017"/>
      <x:c r="D1" s="2017"/>
      <x:c r="E1" s="2017"/>
      <x:c r="F1" s="2017"/>
      <x:c r="G1" s="2017"/>
      <x:c r="H1" s="2017"/>
      <x:c r="I1" s="2017"/>
      <x:c r="J1" s="2017"/>
      <x:c r="K1" s="2017"/>
      <x:c r="L1" s="2017"/>
      <x:c r="M1" s="2017"/>
      <x:c r="N1" s="2017"/>
      <x:c r="O1" s="2017"/>
      <x:c r="P1" s="2017"/>
    </x:row>
    <x:row r="2" ht="36" customHeight="1">
      <x:c r="A2" s="2020" t="str">
        <x:v>ナレナビその他の有料AIチャットで顧客資料を扱う際の確認済み条件と運用制御。</x:v>
      </x:c>
      <x:c r="B2" s="2020"/>
      <x:c r="C2" s="2020"/>
      <x:c r="D2" s="2020"/>
      <x:c r="E2" s="2020"/>
      <x:c r="F2" s="2020"/>
      <x:c r="G2" s="2020"/>
      <x:c r="H2" s="2020"/>
      <x:c r="I2" s="2020"/>
      <x:c r="J2" s="2020"/>
      <x:c r="K2" s="2020"/>
      <x:c r="L2" s="2020"/>
      <x:c r="M2" s="2020"/>
      <x:c r="N2" s="2020"/>
      <x:c r="O2" s="2020"/>
      <x:c r="P2" s="2020"/>
    </x:row>
    <x:row r="4" ht="38" customHeight="1">
      <x:c r="A4" s="2032" t="str">
        <x:v>確認ID</x:v>
      </x:c>
      <x:c r="B4" s="2033" t="str">
        <x:v>確認項目</x:v>
      </x:c>
      <x:c r="C4" s="2033" t="str">
        <x:v>確認状況</x:v>
      </x:c>
      <x:c r="D4" s="2033" t="str">
        <x:v>運用上の意味</x:v>
      </x:c>
      <x:c r="E4" s="2033" t="str">
        <x:v>必須統制</x:v>
      </x:c>
      <x:c r="F4" s="2033" t="str">
        <x:v>証跡候補</x:v>
      </x:c>
      <x:c r="G4" s="2033" t="str">
        <x:v>利用者</x:v>
      </x:c>
      <x:c r="H4" s="2033" t="str">
        <x:v>管理者確認</x:v>
      </x:c>
      <x:c r="I4" s="2033" t="str">
        <x:v>資料投入可否</x:v>
      </x:c>
      <x:c r="J4" s="2033" t="str">
        <x:v>対象データ</x:v>
      </x:c>
      <x:c r="K4" s="2033" t="str">
        <x:v>禁止・制限</x:v>
      </x:c>
      <x:c r="L4" s="2033" t="str">
        <x:v>見直し条件</x:v>
      </x:c>
      <x:c r="M4" s="2033" t="str">
        <x:v>責任者</x:v>
      </x:c>
      <x:c r="N4" s="2033" t="str">
        <x:v>確認日</x:v>
      </x:c>
      <x:c r="O4" s="2033" t="str">
        <x:v>状態</x:v>
      </x:c>
      <x:c r="P4" s="2034" t="str">
        <x:v>備考</x:v>
      </x:c>
    </x:row>
    <x:row r="5">
      <x:c r="A5" s="2051" t="str">
        <x:v>AI-C01</x:v>
      </x:c>
      <x:c r="B5" s="2052" t="str">
        <x:v>入力データがAI学習に使用されるか</x:v>
      </x:c>
      <x:c r="C5" s="2052" t="str">
        <x:v>対応済み</x:v>
      </x:c>
      <x:c r="D5" s="2052" t="str">
        <x:v>学習利用条件を確認した上で顧客資料を投入できる</x:v>
      </x:c>
      <x:c r="E5" s="2052" t="str">
        <x:v>サービス設定・契約条件を維持</x:v>
      </x:c>
      <x:c r="F5" s="2052" t="str">
        <x:v>契約・設定画面・規約</x:v>
      </x:c>
      <x:c r="G5" s="2052" t="str">
        <x:v>承認利用者</x:v>
      </x:c>
      <x:c r="H5" s="2052" t="str">
        <x:v>要</x:v>
      </x:c>
      <x:c r="I5" s="2052" t="str">
        <x:v>条件付き可</x:v>
      </x:c>
      <x:c r="J5" s="2052" t="str">
        <x:v>営業秘密・個人情報を含む資料</x:v>
      </x:c>
      <x:c r="K5" s="2052" t="str">
        <x:v>学習利用設定変更時は停止</x:v>
      </x:c>
      <x:c r="L5" s="2052" t="str">
        <x:v>契約・仕様変更</x:v>
      </x:c>
      <x:c r="M5" s="2052" t="str">
        <x:v>情報システム</x:v>
      </x:c>
      <x:c r="N5" s="2052" t="str"/>
      <x:c r="O5" s="2052" t="str">
        <x:v>確認済</x:v>
      </x:c>
      <x:c r="P5" s="2053" t="str"/>
    </x:row>
    <x:row r="6">
      <x:c r="A6" s="2054" t="str">
        <x:v>AI-C02</x:v>
      </x:c>
      <x:c r="B6" s="1521" t="str">
        <x:v>保存される期間</x:v>
      </x:c>
      <x:c r="C6" s="1521" t="str">
        <x:v>対応済み</x:v>
      </x:c>
      <x:c r="D6" s="1521" t="str">
        <x:v>保存期間と削除方法を把握して運用できる</x:v>
      </x:c>
      <x:c r="E6" s="1521" t="str">
        <x:v>案件・社内規程と整合</x:v>
      </x:c>
      <x:c r="F6" s="1521" t="str">
        <x:v>管理画面・規約</x:v>
      </x:c>
      <x:c r="G6" s="1521" t="str">
        <x:v>承認利用者</x:v>
      </x:c>
      <x:c r="H6" s="1521" t="str">
        <x:v>要</x:v>
      </x:c>
      <x:c r="I6" s="1521" t="str">
        <x:v>条件付き可</x:v>
      </x:c>
      <x:c r="J6" s="1521" t="str">
        <x:v>顧客資料・会話履歴</x:v>
      </x:c>
      <x:c r="K6" s="1521" t="str">
        <x:v>無期限保管を避ける</x:v>
      </x:c>
      <x:c r="L6" s="1521" t="str">
        <x:v>保存仕様変更</x:v>
      </x:c>
      <x:c r="M6" s="1521" t="str">
        <x:v>情報システム</x:v>
      </x:c>
      <x:c r="N6" s="1521" t="str"/>
      <x:c r="O6" s="1521" t="str">
        <x:v>確認済</x:v>
      </x:c>
      <x:c r="P6" s="2055" t="str"/>
    </x:row>
    <x:row r="7">
      <x:c r="A7" s="2054" t="str">
        <x:v>AI-C03</x:v>
      </x:c>
      <x:c r="B7" s="1521" t="str">
        <x:v>管理者が履歴を確認できるか</x:v>
      </x:c>
      <x:c r="C7" s="1521" t="str">
        <x:v>対応済み</x:v>
      </x:c>
      <x:c r="D7" s="1521" t="str">
        <x:v>監査・事故調査・利用状況確認が可能</x:v>
      </x:c>
      <x:c r="E7" s="1521" t="str">
        <x:v>管理者権限と確認手順</x:v>
      </x:c>
      <x:c r="F7" s="1521" t="str">
        <x:v>管理画面・監査ログ</x:v>
      </x:c>
      <x:c r="G7" s="1521" t="str">
        <x:v>承認利用者</x:v>
      </x:c>
      <x:c r="H7" s="1521" t="str">
        <x:v>要</x:v>
      </x:c>
      <x:c r="I7" s="1521" t="str">
        <x:v>可</x:v>
      </x:c>
      <x:c r="J7" s="1521" t="str">
        <x:v>全利用履歴</x:v>
      </x:c>
      <x:c r="K7" s="1521" t="str">
        <x:v>個人アカウントのみの利用禁止</x:v>
      </x:c>
      <x:c r="L7" s="1521" t="str">
        <x:v>権限変更</x:v>
      </x:c>
      <x:c r="M7" s="1521" t="str">
        <x:v>情報システム</x:v>
      </x:c>
      <x:c r="N7" s="1521" t="str"/>
      <x:c r="O7" s="1521" t="str">
        <x:v>確認済</x:v>
      </x:c>
      <x:c r="P7" s="2055" t="str"/>
    </x:row>
    <x:row r="8">
      <x:c r="A8" s="2054" t="str">
        <x:v>AI-C04</x:v>
      </x:c>
      <x:c r="B8" s="1521" t="str">
        <x:v>利用者権限を制御できるか</x:v>
      </x:c>
      <x:c r="C8" s="1521" t="str">
        <x:v>対応済み</x:v>
      </x:c>
      <x:c r="D8" s="1521" t="str">
        <x:v>顧客情報を扱う利用者を限定できる</x:v>
      </x:c>
      <x:c r="E8" s="1521" t="str">
        <x:v>利用者名簿・最小権限</x:v>
      </x:c>
      <x:c r="F8" s="1521" t="str">
        <x:v>権限台帳</x:v>
      </x:c>
      <x:c r="G8" s="1521" t="str">
        <x:v>限定利用者</x:v>
      </x:c>
      <x:c r="H8" s="1521" t="str">
        <x:v>要</x:v>
      </x:c>
      <x:c r="I8" s="1521" t="str">
        <x:v>可</x:v>
      </x:c>
      <x:c r="J8" s="1521" t="str">
        <x:v>顧客資料</x:v>
      </x:c>
      <x:c r="K8" s="1521" t="str">
        <x:v>未承認者の投入禁止</x:v>
      </x:c>
      <x:c r="L8" s="1521" t="str">
        <x:v>組織・担当変更</x:v>
      </x:c>
      <x:c r="M8" s="1521" t="str">
        <x:v>情報システム</x:v>
      </x:c>
      <x:c r="N8" s="1521" t="str"/>
      <x:c r="O8" s="1521" t="str">
        <x:v>確認済</x:v>
      </x:c>
      <x:c r="P8" s="2055" t="str"/>
    </x:row>
    <x:row r="9">
      <x:c r="A9" s="2054" t="str">
        <x:v>AI-C05</x:v>
      </x:c>
      <x:c r="B9" s="1521" t="str">
        <x:v>ファイルを投入できるか</x:v>
      </x:c>
      <x:c r="C9" s="1521" t="str">
        <x:v>対応済み</x:v>
      </x:c>
      <x:c r="D9" s="1521" t="str">
        <x:v>必要資料をAIで確認・整理できる</x:v>
      </x:c>
      <x:c r="E9" s="1521" t="str">
        <x:v>ファイル種別・容量・案件識別</x:v>
      </x:c>
      <x:c r="F9" s="1521" t="str">
        <x:v>投入履歴</x:v>
      </x:c>
      <x:c r="G9" s="1521" t="str">
        <x:v>限定利用者</x:v>
      </x:c>
      <x:c r="H9" s="1521" t="str">
        <x:v>要</x:v>
      </x:c>
      <x:c r="I9" s="1521" t="str">
        <x:v>可</x:v>
      </x:c>
      <x:c r="J9" s="1521" t="str">
        <x:v>写真、図面、報告書等</x:v>
      </x:c>
      <x:c r="K9" s="1521" t="str">
        <x:v>必要性のない一括投入禁止</x:v>
      </x:c>
      <x:c r="L9" s="1521" t="str">
        <x:v>機能・容量変更</x:v>
      </x:c>
      <x:c r="M9" s="1521" t="str">
        <x:v>診断責任者</x:v>
      </x:c>
      <x:c r="N9" s="1521" t="str"/>
      <x:c r="O9" s="1521" t="str">
        <x:v>確認済</x:v>
      </x:c>
      <x:c r="P9" s="2055" t="str"/>
    </x:row>
    <x:row r="10">
      <x:c r="A10" s="2054" t="str">
        <x:v>AI-C06</x:v>
      </x:c>
      <x:c r="B10" s="1521" t="str">
        <x:v>削除できるか</x:v>
      </x:c>
      <x:c r="C10" s="1521" t="str">
        <x:v>対応済み</x:v>
      </x:c>
      <x:c r="D10" s="1521" t="str">
        <x:v>顧客要求・案件終了・誤投入時に削除可能</x:v>
      </x:c>
      <x:c r="E10" s="1521" t="str">
        <x:v>削除権限・手順・証跡</x:v>
      </x:c>
      <x:c r="F10" s="1521" t="str">
        <x:v>削除ログ・画面</x:v>
      </x:c>
      <x:c r="G10" s="1521" t="str">
        <x:v>限定利用者</x:v>
      </x:c>
      <x:c r="H10" s="1521" t="str">
        <x:v>要</x:v>
      </x:c>
      <x:c r="I10" s="1521" t="str">
        <x:v>可</x:v>
      </x:c>
      <x:c r="J10" s="1521" t="str">
        <x:v>ファイル・会話</x:v>
      </x:c>
      <x:c r="K10" s="1521" t="str">
        <x:v>削除不能環境への投入禁止</x:v>
      </x:c>
      <x:c r="L10" s="1521" t="str">
        <x:v>削除仕様変更</x:v>
      </x:c>
      <x:c r="M10" s="1521" t="str">
        <x:v>情報システム</x:v>
      </x:c>
      <x:c r="N10" s="1521" t="str"/>
      <x:c r="O10" s="1521" t="str">
        <x:v>確認済</x:v>
      </x:c>
      <x:c r="P10" s="2055" t="str"/>
    </x:row>
    <x:row r="11">
      <x:c r="A11" s="2056" t="str">
        <x:v>AI-C07</x:v>
      </x:c>
      <x:c r="B11" s="2057" t="str">
        <x:v>個人情報・営業秘密の利用が社内規程上認められるか</x:v>
      </x:c>
      <x:c r="C11" s="2057" t="str">
        <x:v>対応済み</x:v>
      </x:c>
      <x:c r="D11" s="2057" t="str">
        <x:v>通常営業秘密としてAI利用可能</x:v>
      </x:c>
      <x:c r="E11" s="2057" t="str">
        <x:v>社内規程・利用目的・必要最小限</x:v>
      </x:c>
      <x:c r="F11" s="2057" t="str">
        <x:v>社内承認・利用規程</x:v>
      </x:c>
      <x:c r="G11" s="2057" t="str">
        <x:v>承認利用者</x:v>
      </x:c>
      <x:c r="H11" s="2057" t="str">
        <x:v>要</x:v>
      </x:c>
      <x:c r="I11" s="2057" t="str">
        <x:v>条件付き可</x:v>
      </x:c>
      <x:c r="J11" s="2057" t="str">
        <x:v>顧客個別情報</x:v>
      </x:c>
      <x:c r="K11" s="2057" t="str">
        <x:v>目的外利用・公開共有禁止</x:v>
      </x:c>
      <x:c r="L11" s="2057" t="str">
        <x:v>社内規程変更</x:v>
      </x:c>
      <x:c r="M11" s="2057" t="str">
        <x:v>管理責任者</x:v>
      </x:c>
      <x:c r="N11" s="2057" t="str"/>
      <x:c r="O11" s="2057" t="str">
        <x:v>確認済</x:v>
      </x:c>
      <x:c r="P11" s="2058" t="str"/>
    </x:row>
  </x:sheetData>
  <x:mergeCells>
    <x:mergeCell ref="A1:P1"/>
    <x:mergeCell ref="A2:P2"/>
  </x:mergeCells>
  <x:dataValidations count="2">
    <x:dataValidation type="list" sqref="I5:I11">
      <x:formula1>"可,条件付き可,不可,未確認"</x:formula1>
    </x:dataValidation>
    <x:dataValidation type="list" sqref="O5:O11">
      <x:formula1>"確認済,条件付き,再確認必要,停止"</x:formula1>
    </x:dataValidation>
  </x:dataValidations>
  <x:pageMargins left="0.7" right="0.7" top="0.75" bottom="0.75" header="0.3" footer="0.3"/>
</x:worksheet>
</file>

<file path=xl/worksheets/sheet51.xml><?xml version="1.0" encoding="utf-8"?>
<x:worksheet xmlns:x="http://schemas.openxmlformats.org/spreadsheetml/2006/main">
  <x:sheetFormatPr defaultRowHeight="15"/>
  <x:cols>
    <x:col min="1" max="1" width="12" hidden="0" customWidth="1"/>
    <x:col min="2" max="2" width="24" hidden="0" customWidth="1"/>
    <x:col min="3" max="3" width="16" hidden="0" customWidth="1"/>
    <x:col min="4" max="4" width="30" hidden="0" customWidth="1"/>
    <x:col min="5" max="5" width="28" hidden="0" customWidth="1"/>
    <x:col min="6" max="6" width="24" hidden="0" customWidth="1"/>
    <x:col min="7" max="7" width="18" hidden="0" customWidth="1"/>
    <x:col min="8" max="8" width="22" hidden="0" customWidth="1"/>
    <x:col min="9" max="9" width="26" hidden="0" customWidth="1"/>
    <x:col min="10" max="10" width="24" hidden="0" customWidth="1"/>
    <x:col min="11" max="11" width="28" hidden="0" customWidth="1"/>
    <x:col min="12" max="12" width="32" hidden="0" customWidth="1"/>
    <x:col min="13" max="13" width="18" hidden="0" customWidth="1"/>
    <x:col min="14" max="14" width="26" hidden="0" customWidth="1"/>
    <x:col min="15" max="15" width="14" hidden="0" customWidth="1"/>
    <x:col min="16" max="16" width="22" hidden="0" customWidth="1"/>
  </x:cols>
  <x:sheetData>
    <x:row r="1" ht="28" customHeight="1">
      <x:c r="A1" s="2017" t="str">
        <x:v>50_AI資料投入ルール</x:v>
      </x:c>
      <x:c r="B1" s="2017"/>
      <x:c r="C1" s="2017"/>
      <x:c r="D1" s="2017"/>
      <x:c r="E1" s="2017"/>
      <x:c r="F1" s="2017"/>
      <x:c r="G1" s="2017"/>
      <x:c r="H1" s="2017"/>
      <x:c r="I1" s="2017"/>
      <x:c r="J1" s="2017"/>
      <x:c r="K1" s="2017"/>
      <x:c r="L1" s="2017"/>
      <x:c r="M1" s="2017"/>
      <x:c r="N1" s="2017"/>
      <x:c r="O1" s="2017"/>
      <x:c r="P1" s="2017"/>
    </x:row>
    <x:row r="2" ht="36" customHeight="1">
      <x:c r="A2" s="2020" t="str">
        <x:v>顧客資料をAIへ投入可能としつつ、目的・必要性・権限・記録・削除を案件単位で管理する。</x:v>
      </x:c>
      <x:c r="B2" s="2020"/>
      <x:c r="C2" s="2020"/>
      <x:c r="D2" s="2020"/>
      <x:c r="E2" s="2020"/>
      <x:c r="F2" s="2020"/>
      <x:c r="G2" s="2020"/>
      <x:c r="H2" s="2020"/>
      <x:c r="I2" s="2020"/>
      <x:c r="J2" s="2020"/>
      <x:c r="K2" s="2020"/>
      <x:c r="L2" s="2020"/>
      <x:c r="M2" s="2020"/>
      <x:c r="N2" s="2020"/>
      <x:c r="O2" s="2020"/>
      <x:c r="P2" s="2020"/>
    </x:row>
    <x:row r="4" ht="38" customHeight="1">
      <x:c r="A4" s="2032" t="str">
        <x:v>ルールID</x:v>
      </x:c>
      <x:c r="B4" s="2033" t="str">
        <x:v>資料区分</x:v>
      </x:c>
      <x:c r="C4" s="2033" t="str">
        <x:v>AI投入</x:v>
      </x:c>
      <x:c r="D4" s="2033" t="str">
        <x:v>投入目的</x:v>
      </x:c>
      <x:c r="E4" s="2033" t="str">
        <x:v>事前確認</x:v>
      </x:c>
      <x:c r="F4" s="2033" t="str">
        <x:v>必要最小化</x:v>
      </x:c>
      <x:c r="G4" s="2033" t="str">
        <x:v>投入者</x:v>
      </x:c>
      <x:c r="H4" s="2033" t="str">
        <x:v>レビュー者</x:v>
      </x:c>
      <x:c r="I4" s="2033" t="str">
        <x:v>出力利用</x:v>
      </x:c>
      <x:c r="J4" s="2033" t="str">
        <x:v>保存・削除</x:v>
      </x:c>
      <x:c r="K4" s="2033" t="str">
        <x:v>記録項目</x:v>
      </x:c>
      <x:c r="L4" s="2033" t="str">
        <x:v>禁止事項</x:v>
      </x:c>
      <x:c r="M4" s="2033" t="str">
        <x:v>例外承認</x:v>
      </x:c>
      <x:c r="N4" s="2033" t="str">
        <x:v>事故時対応</x:v>
      </x:c>
      <x:c r="O4" s="2033" t="str">
        <x:v>状態</x:v>
      </x:c>
      <x:c r="P4" s="2034" t="str">
        <x:v>備考</x:v>
      </x:c>
    </x:row>
    <x:row r="5">
      <x:c r="A5" s="2051" t="str">
        <x:v>AIR-001</x:v>
      </x:c>
      <x:c r="B5" s="2052" t="str">
        <x:v>フォーム回答・診断結果</x:v>
      </x:c>
      <x:c r="C5" s="2052" t="str">
        <x:v>可</x:v>
      </x:c>
      <x:c r="D5" s="2052" t="str">
        <x:v>不足確認、文章整形、フォロー準備</x:v>
      </x:c>
      <x:c r="E5" s="2052" t="str">
        <x:v>案件・目的・利用AI</x:v>
      </x:c>
      <x:c r="F5" s="2052" t="str">
        <x:v>必要項目のみ</x:v>
      </x:c>
      <x:c r="G5" s="2052" t="str">
        <x:v>診断担当</x:v>
      </x:c>
      <x:c r="H5" s="2052" t="str">
        <x:v>診断責任者</x:v>
      </x:c>
      <x:c r="I5" s="2052" t="str">
        <x:v>A3下書き・確認事項</x:v>
      </x:c>
      <x:c r="J5" s="2052" t="str">
        <x:v>案件終了・規程に従い削除</x:v>
      </x:c>
      <x:c r="K5" s="2052" t="str">
        <x:v>案件ID、利用者、日時、目的、資料</x:v>
      </x:c>
      <x:c r="L5" s="2052" t="str">
        <x:v>独自判断・数値創作</x:v>
      </x:c>
      <x:c r="M5" s="2052" t="str">
        <x:v>不要</x:v>
      </x:c>
      <x:c r="N5" s="2052" t="str">
        <x:v>出力停止・履歴確認</x:v>
      </x:c>
      <x:c r="O5" s="2052" t="str">
        <x:v>確定</x:v>
      </x:c>
      <x:c r="P5" s="2053" t="str"/>
    </x:row>
    <x:row r="6">
      <x:c r="A6" s="2054" t="str">
        <x:v>AIR-002</x:v>
      </x:c>
      <x:c r="B6" s="1521" t="str">
        <x:v>設備型式・台数・年式</x:v>
      </x:c>
      <x:c r="C6" s="1521" t="str">
        <x:v>可</x:v>
      </x:c>
      <x:c r="D6" s="1521" t="str">
        <x:v>設備状況整理、質問候補作成</x:v>
      </x:c>
      <x:c r="E6" s="1521" t="str">
        <x:v>顧客資料、利用目的</x:v>
      </x:c>
      <x:c r="F6" s="1521" t="str">
        <x:v>顧客名等を必要に応じ最小化</x:v>
      </x:c>
      <x:c r="G6" s="1521" t="str">
        <x:v>診断担当</x:v>
      </x:c>
      <x:c r="H6" s="1521" t="str">
        <x:v>診断責任者</x:v>
      </x:c>
      <x:c r="I6" s="1521" t="str">
        <x:v>所見下書きの参考</x:v>
      </x:c>
      <x:c r="J6" s="1521" t="str">
        <x:v>案件規程に従う</x:v>
      </x:c>
      <x:c r="K6" s="1521" t="str">
        <x:v>資料名、案件ID、目的</x:v>
      </x:c>
      <x:c r="L6" s="1521" t="str">
        <x:v>未確認情報の断定</x:v>
      </x:c>
      <x:c r="M6" s="1521" t="str">
        <x:v>必要時</x:v>
      </x:c>
      <x:c r="N6" s="1521" t="str">
        <x:v>訂正・削除</x:v>
      </x:c>
      <x:c r="O6" s="1521" t="str">
        <x:v>確定</x:v>
      </x:c>
      <x:c r="P6" s="2055" t="str"/>
    </x:row>
    <x:row r="7">
      <x:c r="A7" s="2054" t="str">
        <x:v>AIR-003</x:v>
      </x:c>
      <x:c r="B7" s="1521" t="str">
        <x:v>設備写真・工場写真</x:v>
      </x:c>
      <x:c r="C7" s="1521" t="str">
        <x:v>条件付き可</x:v>
      </x:c>
      <x:c r="D7" s="1521" t="str">
        <x:v>状態確認、部位整理</x:v>
      </x:c>
      <x:c r="E7" s="1521" t="str">
        <x:v>必要性、機密度、利用AI</x:v>
      </x:c>
      <x:c r="F7" s="1521" t="str">
        <x:v>不要部分を除外</x:v>
      </x:c>
      <x:c r="G7" s="1521" t="str">
        <x:v>承認利用者</x:v>
      </x:c>
      <x:c r="H7" s="1521" t="str">
        <x:v>診断責任者</x:v>
      </x:c>
      <x:c r="I7" s="1521" t="str">
        <x:v>確認事項・説明補助</x:v>
      </x:c>
      <x:c r="J7" s="1521" t="str">
        <x:v>利用後削除候補</x:v>
      </x:c>
      <x:c r="K7" s="1521" t="str">
        <x:v>ファイル名、目的、出力</x:v>
      </x:c>
      <x:c r="L7" s="1521" t="str">
        <x:v>人物・機密箇所の無目的投入</x:v>
      </x:c>
      <x:c r="M7" s="1521" t="str">
        <x:v>高機密時</x:v>
      </x:c>
      <x:c r="N7" s="1521" t="str">
        <x:v>利用停止・削除</x:v>
      </x:c>
      <x:c r="O7" s="1521" t="str">
        <x:v>確定</x:v>
      </x:c>
      <x:c r="P7" s="2055" t="str"/>
    </x:row>
    <x:row r="8">
      <x:c r="A8" s="2054" t="str">
        <x:v>AIR-004</x:v>
      </x:c>
      <x:c r="B8" s="1521" t="str">
        <x:v>図面・点検報告書</x:v>
      </x:c>
      <x:c r="C8" s="1521" t="str">
        <x:v>条件付き可</x:v>
      </x:c>
      <x:c r="D8" s="1521" t="str">
        <x:v>仕様・履歴の抽出、Evidence確認</x:v>
      </x:c>
      <x:c r="E8" s="1521" t="str">
        <x:v>顧客条件、秘密区分、利用AI</x:v>
      </x:c>
      <x:c r="F8" s="1521" t="str">
        <x:v>必要ページ・範囲のみ</x:v>
      </x:c>
      <x:c r="G8" s="1521" t="str">
        <x:v>承認利用者</x:v>
      </x:c>
      <x:c r="H8" s="1521" t="str">
        <x:v>診断責任者/情シス</x:v>
      </x:c>
      <x:c r="I8" s="1521" t="str">
        <x:v>根拠整理・不足確認</x:v>
      </x:c>
      <x:c r="J8" s="1521" t="str">
        <x:v>利用後削除または案件規程</x:v>
      </x:c>
      <x:c r="K8" s="1521" t="str">
        <x:v>資料名、ページ、目的、結果</x:v>
      </x:c>
      <x:c r="L8" s="1521" t="str">
        <x:v>全文一括投入、目的外利用</x:v>
      </x:c>
      <x:c r="M8" s="1521" t="str">
        <x:v>厳秘時必須</x:v>
      </x:c>
      <x:c r="N8" s="1521" t="str">
        <x:v>アクセス停止・証跡保全</x:v>
      </x:c>
      <x:c r="O8" s="1521" t="str">
        <x:v>確定</x:v>
      </x:c>
      <x:c r="P8" s="2055" t="str"/>
    </x:row>
    <x:row r="9">
      <x:c r="A9" s="2054" t="str">
        <x:v>AIR-005</x:v>
      </x:c>
      <x:c r="B9" s="1521" t="str">
        <x:v>契約・価格・個別取引条件</x:v>
      </x:c>
      <x:c r="C9" s="1521" t="str">
        <x:v>原則不可</x:v>
      </x:c>
      <x:c r="D9" s="1521" t="str">
        <x:v>通常は診断に不要</x:v>
      </x:c>
      <x:c r="E9" s="1521" t="str">
        <x:v>例外目的と責任者承認</x:v>
      </x:c>
      <x:c r="F9" s="1521" t="str">
        <x:v>対象箇所のみ</x:v>
      </x:c>
      <x:c r="G9" s="1521" t="str">
        <x:v>限定利用者</x:v>
      </x:c>
      <x:c r="H9" s="1521" t="str">
        <x:v>管理責任者</x:v>
      </x:c>
      <x:c r="I9" s="1521" t="str">
        <x:v>例外的な整理のみ</x:v>
      </x:c>
      <x:c r="J9" s="1521" t="str">
        <x:v>直ちに削除候補</x:v>
      </x:c>
      <x:c r="K9" s="1521" t="str">
        <x:v>承認者、理由、範囲</x:v>
      </x:c>
      <x:c r="L9" s="1521" t="str">
        <x:v>無承認投入</x:v>
      </x:c>
      <x:c r="M9" s="1521" t="str">
        <x:v>必須</x:v>
      </x:c>
      <x:c r="N9" s="1521" t="str">
        <x:v>削除・報告</x:v>
      </x:c>
      <x:c r="O9" s="1521" t="str">
        <x:v>確定</x:v>
      </x:c>
      <x:c r="P9" s="2055" t="str"/>
    </x:row>
    <x:row r="10">
      <x:c r="A10" s="2056" t="str">
        <x:v>AIR-006</x:v>
      </x:c>
      <x:c r="B10" s="2057" t="str">
        <x:v>A3レポート案</x:v>
      </x:c>
      <x:c r="C10" s="2057" t="str">
        <x:v>可</x:v>
      </x:c>
      <x:c r="D10" s="2057" t="str">
        <x:v>誤記、文章量、整合性確認</x:v>
      </x:c>
      <x:c r="E10" s="2057" t="str">
        <x:v>Version・送付前状態</x:v>
      </x:c>
      <x:c r="F10" s="2057" t="str">
        <x:v>顧客識別は必要範囲</x:v>
      </x:c>
      <x:c r="G10" s="2057" t="str">
        <x:v>診断担当</x:v>
      </x:c>
      <x:c r="H10" s="2057" t="str">
        <x:v>最終承認者</x:v>
      </x:c>
      <x:c r="I10" s="2057" t="str">
        <x:v>承認前レビュー</x:v>
      </x:c>
      <x:c r="J10" s="2057" t="str">
        <x:v>発行後規程に従う</x:v>
      </x:c>
      <x:c r="K10" s="2057" t="str">
        <x:v>Version、確認結果</x:v>
      </x:c>
      <x:c r="L10" s="2057" t="str">
        <x:v>AIによる自動発行</x:v>
      </x:c>
      <x:c r="M10" s="2057" t="str">
        <x:v>不要</x:v>
      </x:c>
      <x:c r="N10" s="2057" t="str">
        <x:v>訂正版作成</x:v>
      </x:c>
      <x:c r="O10" s="2057" t="str">
        <x:v>確定</x:v>
      </x:c>
      <x:c r="P10" s="2058" t="str"/>
    </x:row>
  </x:sheetData>
  <x:mergeCells>
    <x:mergeCell ref="A1:P1"/>
    <x:mergeCell ref="A2:P2"/>
  </x:mergeCells>
  <x:dataValidations count="2">
    <x:dataValidation type="list" sqref="C5:C10">
      <x:formula1>"可,条件付き可,原則不可,不可"</x:formula1>
    </x:dataValidation>
    <x:dataValidation type="list" sqref="O5:O10">
      <x:formula1>"確定,試行,見直し,停止"</x:formula1>
    </x:dataValidation>
  </x:dataValidations>
  <x:pageMargins left="0.7" right="0.7" top="0.75" bottom="0.75" header="0.3" footer="0.3"/>
</x:worksheet>
</file>

<file path=xl/worksheets/sheet52.xml><?xml version="1.0" encoding="utf-8"?>
<x:worksheet xmlns:x="http://schemas.openxmlformats.org/spreadsheetml/2006/main">
  <x:sheetFormatPr defaultRowHeight="15"/>
  <x:cols>
    <x:col min="1" max="1" width="12" hidden="0" customWidth="1"/>
    <x:col min="2" max="2" width="14" hidden="0" customWidth="1"/>
    <x:col min="3" max="3" width="36" hidden="0" customWidth="1"/>
    <x:col min="4" max="4" width="30" hidden="0" customWidth="1"/>
    <x:col min="5" max="5" width="30" hidden="0" customWidth="1"/>
    <x:col min="6" max="6" width="34" hidden="0" customWidth="1"/>
    <x:col min="7" max="7" width="12" hidden="0" customWidth="1"/>
    <x:col min="8" max="8" width="30" hidden="0" customWidth="1"/>
    <x:col min="9" max="9" width="14" hidden="0" customWidth="1"/>
    <x:col min="10" max="10" width="20" hidden="0" customWidth="1"/>
    <x:col min="11" max="11" width="24" hidden="0" customWidth="1"/>
    <x:col min="12" max="12" width="14" hidden="0" customWidth="1"/>
    <x:col min="13" max="13" width="12" hidden="0" customWidth="1"/>
    <x:col min="14" max="14" width="30" hidden="0" customWidth="1"/>
    <x:col min="15" max="15" width="14" hidden="0" customWidth="1"/>
    <x:col min="16" max="16" width="22" hidden="0" customWidth="1"/>
  </x:cols>
  <x:sheetData>
    <x:row r="1" ht="28" customHeight="1">
      <x:c r="A1" s="2080" t="str">
        <x:v>51_Stage0情シス確認票</x:v>
      </x:c>
      <x:c r="B1" s="2080"/>
      <x:c r="C1" s="2080"/>
      <x:c r="D1" s="2080"/>
      <x:c r="E1" s="2080"/>
      <x:c r="F1" s="2080"/>
      <x:c r="G1" s="2080"/>
      <x:c r="H1" s="2080"/>
      <x:c r="I1" s="2080"/>
      <x:c r="J1" s="2080"/>
      <x:c r="K1" s="2080"/>
      <x:c r="L1" s="2080"/>
      <x:c r="M1" s="2080"/>
      <x:c r="N1" s="2080"/>
      <x:c r="O1" s="2080"/>
      <x:c r="P1" s="2080"/>
    </x:row>
    <x:row r="2" ht="36" customHeight="1">
      <x:c r="A2" s="2083" t="str">
        <x:v>63の事業側仮決定案を前提とし、Web、Microsoft 365、AI、Excel、情報管理の周辺条件を補足確認する。</x:v>
      </x:c>
      <x:c r="B2" s="2083"/>
      <x:c r="C2" s="2083"/>
      <x:c r="D2" s="2083"/>
      <x:c r="E2" s="2083"/>
      <x:c r="F2" s="2083"/>
      <x:c r="G2" s="2083"/>
      <x:c r="H2" s="2083"/>
      <x:c r="I2" s="2083"/>
      <x:c r="J2" s="2083"/>
      <x:c r="K2" s="2083"/>
      <x:c r="L2" s="2083"/>
      <x:c r="M2" s="2083"/>
      <x:c r="N2" s="2083"/>
      <x:c r="O2" s="2083"/>
      <x:c r="P2" s="2083"/>
    </x:row>
    <x:row r="4" ht="38" customHeight="1">
      <x:c r="A4" s="2095" t="str">
        <x:v>確認ID</x:v>
      </x:c>
      <x:c r="B4" s="2096" t="str">
        <x:v>大分類</x:v>
      </x:c>
      <x:c r="C4" s="2096" t="str">
        <x:v>確認項目</x:v>
      </x:c>
      <x:c r="D4" s="2096" t="str">
        <x:v>確認の目的</x:v>
      </x:c>
      <x:c r="E4" s="2096" t="str">
        <x:v>想定初期方針</x:v>
      </x:c>
      <x:c r="F4" s="2096" t="str">
        <x:v>情シス回答</x:v>
      </x:c>
      <x:c r="G4" s="2096" t="str">
        <x:v>可否</x:v>
      </x:c>
      <x:c r="H4" s="2096" t="str">
        <x:v>条件・制約</x:v>
      </x:c>
      <x:c r="I4" s="2096" t="str">
        <x:v>追加費用</x:v>
      </x:c>
      <x:c r="J4" s="2096" t="str">
        <x:v>設定・作業担当</x:v>
      </x:c>
      <x:c r="K4" s="2096" t="str">
        <x:v>確認証跡</x:v>
      </x:c>
      <x:c r="L4" s="2096" t="str">
        <x:v>期限</x:v>
      </x:c>
      <x:c r="M4" s="2096" t="str">
        <x:v>優先度</x:v>
      </x:c>
      <x:c r="N4" s="2096" t="str">
        <x:v>未確認時の暫定運用</x:v>
      </x:c>
      <x:c r="O4" s="2096" t="str">
        <x:v>状態</x:v>
      </x:c>
      <x:c r="P4" s="2097" t="str">
        <x:v>備考</x:v>
      </x:c>
    </x:row>
    <x:row r="5">
      <x:c r="A5" s="2286" t="str">
        <x:v>IT-001</x:v>
      </x:c>
      <x:c r="B5" s="2287" t="str">
        <x:v>独立LP</x:v>
      </x:c>
      <x:c r="C5" s="2287" t="str">
        <x:v>energy-doctor.sawa-em.co.jpを発行できるか</x:v>
      </x:c>
      <x:c r="D5" s="2287" t="str">
        <x:v>公開入口の確保</x:v>
      </x:c>
      <x:c r="E5" s="2287" t="str">
        <x:v>独立サブドメインで開始</x:v>
      </x:c>
      <x:c r="F5" s="2287" t="str"/>
      <x:c r="G5" s="2287" t="str"/>
      <x:c r="H5" s="2287" t="str"/>
      <x:c r="I5" s="2294" t="n">
        <x:v>0</x:v>
      </x:c>
      <x:c r="J5" s="2287" t="str">
        <x:v>情シス/DNS管理者</x:v>
      </x:c>
      <x:c r="K5" s="2287" t="str">
        <x:v>DNS設定</x:v>
      </x:c>
      <x:c r="L5" s="2287" t="str"/>
      <x:c r="M5" s="2287" t="str">
        <x:v>S</x:v>
      </x:c>
      <x:c r="N5" s="2287" t="str">
        <x:v>別URLで仮公開</x:v>
      </x:c>
      <x:c r="O5" s="2287" t="str">
        <x:v>未確認</x:v>
      </x:c>
      <x:c r="P5" s="2288" t="str"/>
    </x:row>
    <x:row r="6">
      <x:c r="A6" s="2289" t="str">
        <x:v>IT-002</x:v>
      </x:c>
      <x:c r="B6" s="1521" t="str">
        <x:v>独立LP</x:v>
      </x:c>
      <x:c r="C6" s="1521" t="str">
        <x:v>LP単独の公開基盤を既存契約内で用意できるか</x:v>
      </x:c>
      <x:c r="D6" s="1521" t="str">
        <x:v>既存サイト改修を待たず開始</x:v>
      </x:c>
      <x:c r="E6" s="1521" t="str">
        <x:v>社内変更可能な基盤を優先</x:v>
      </x:c>
      <x:c r="F6" s="1521" t="str"/>
      <x:c r="G6" s="1521" t="str"/>
      <x:c r="H6" s="1521" t="str"/>
      <x:c r="I6" s="1594" t="n">
        <x:v>0</x:v>
      </x:c>
      <x:c r="J6" s="1521" t="str">
        <x:v>情シス/Web担当</x:v>
      </x:c>
      <x:c r="K6" s="1521" t="str">
        <x:v>管理画面・契約</x:v>
      </x:c>
      <x:c r="L6" s="1521" t="str"/>
      <x:c r="M6" s="1521" t="str">
        <x:v>S</x:v>
      </x:c>
      <x:c r="N6" s="1521" t="str">
        <x:v>静的LPまたは既存公開サービス</x:v>
      </x:c>
      <x:c r="O6" s="1521" t="str">
        <x:v>未確認</x:v>
      </x:c>
      <x:c r="P6" s="2290" t="str"/>
    </x:row>
    <x:row r="7">
      <x:c r="A7" s="2289" t="str">
        <x:v>IT-003</x:v>
      </x:c>
      <x:c r="B7" s="1521" t="str">
        <x:v>独立LP</x:v>
      </x:c>
      <x:c r="C7" s="1521" t="str">
        <x:v>ファイル添付なしの公開フォームを実装できるか</x:v>
      </x:c>
      <x:c r="D7" s="1521" t="str">
        <x:v>診断回答受付</x:v>
      </x:c>
      <x:c r="E7" s="1521" t="str">
        <x:v>LP配下または連携フォーム</x:v>
      </x:c>
      <x:c r="F7" s="1521" t="str"/>
      <x:c r="G7" s="1521" t="str"/>
      <x:c r="H7" s="1521" t="str"/>
      <x:c r="I7" s="1594" t="n">
        <x:v>0</x:v>
      </x:c>
      <x:c r="J7" s="1521" t="str">
        <x:v>Web/情シス</x:v>
      </x:c>
      <x:c r="K7" s="1521" t="str">
        <x:v>フォーム設定</x:v>
      </x:c>
      <x:c r="L7" s="1521" t="str"/>
      <x:c r="M7" s="1521" t="str">
        <x:v>S</x:v>
      </x:c>
      <x:c r="N7" s="1521" t="str">
        <x:v>Microsoft Forms等へリンク</x:v>
      </x:c>
      <x:c r="O7" s="1521" t="str">
        <x:v>未確認</x:v>
      </x:c>
      <x:c r="P7" s="2290" t="str"/>
    </x:row>
    <x:row r="8">
      <x:c r="A8" s="2289" t="str">
        <x:v>IT-004</x:v>
      </x:c>
      <x:c r="B8" s="1521" t="str">
        <x:v>独立LP</x:v>
      </x:c>
      <x:c r="C8" s="1521" t="str">
        <x:v>期間外・社内テスト・受付開始・一時停止を切替できるか</x:v>
      </x:c>
      <x:c r="D8" s="1521" t="str">
        <x:v>Gate管理と障害停止</x:v>
      </x:c>
      <x:c r="E8" s="1521" t="str">
        <x:v>受付状態を即時切替</x:v>
      </x:c>
      <x:c r="F8" s="1521" t="str"/>
      <x:c r="G8" s="1521" t="str"/>
      <x:c r="H8" s="1521" t="str"/>
      <x:c r="I8" s="1594" t="n">
        <x:v>0</x:v>
      </x:c>
      <x:c r="J8" s="1521" t="str">
        <x:v>Web/情シス</x:v>
      </x:c>
      <x:c r="K8" s="1521" t="str">
        <x:v>切替テスト</x:v>
      </x:c>
      <x:c r="L8" s="1521" t="str"/>
      <x:c r="M8" s="1521" t="str">
        <x:v>S</x:v>
      </x:c>
      <x:c r="N8" s="1521" t="str">
        <x:v>CTAとフォームを手動停止</x:v>
      </x:c>
      <x:c r="O8" s="1521" t="str">
        <x:v>未確認</x:v>
      </x:c>
      <x:c r="P8" s="2290" t="str"/>
    </x:row>
    <x:row r="9">
      <x:c r="A9" s="2289" t="str">
        <x:v>IT-005</x:v>
      </x:c>
      <x:c r="B9" s="1521" t="str">
        <x:v>相互リンク</x:v>
      </x:c>
      <x:c r="C9" s="1521" t="str">
        <x:v>既存公式サイトから関連サイトとしてリンク追加できるか</x:v>
      </x:c>
      <x:c r="D9" s="1521" t="str">
        <x:v>公式性の担保</x:v>
      </x:c>
      <x:c r="E9" s="1521" t="str">
        <x:v>サービス欄等に1リンク追加</x:v>
      </x:c>
      <x:c r="F9" s="1521" t="str"/>
      <x:c r="G9" s="1521" t="str"/>
      <x:c r="H9" s="1521" t="str"/>
      <x:c r="I9" s="1594" t="n">
        <x:v>0</x:v>
      </x:c>
      <x:c r="J9" s="1521" t="str">
        <x:v>既存Web担当</x:v>
      </x:c>
      <x:c r="K9" s="1521" t="str">
        <x:v>公開画面</x:v>
      </x:c>
      <x:c r="L9" s="1521" t="str"/>
      <x:c r="M9" s="1521" t="str">
        <x:v>S</x:v>
      </x:c>
      <x:c r="N9" s="1521" t="str">
        <x:v>営業メール・QRからのみ案内</x:v>
      </x:c>
      <x:c r="O9" s="1521" t="str">
        <x:v>未確認</x:v>
      </x:c>
      <x:c r="P9" s="2290" t="str"/>
    </x:row>
    <x:row r="10">
      <x:c r="A10" s="2289" t="str">
        <x:v>IT-006</x:v>
      </x:c>
      <x:c r="B10" s="1521" t="str">
        <x:v>相互リンク</x:v>
      </x:c>
      <x:c r="C10" s="1521" t="str">
        <x:v>LPから既存公式サイトの会社概要等へリンクできるか</x:v>
      </x:c>
      <x:c r="D10" s="1521" t="str">
        <x:v>運営主体・信頼性の明示</x:v>
      </x:c>
      <x:c r="E10" s="1521" t="str">
        <x:v>会社概要、問い合わせ、ポリシーへリンク</x:v>
      </x:c>
      <x:c r="F10" s="1521" t="str"/>
      <x:c r="G10" s="1521" t="str"/>
      <x:c r="H10" s="1521" t="str"/>
      <x:c r="I10" s="1594" t="n">
        <x:v>0</x:v>
      </x:c>
      <x:c r="J10" s="1521" t="str">
        <x:v>LP担当</x:v>
      </x:c>
      <x:c r="K10" s="1521" t="str">
        <x:v>公開画面</x:v>
      </x:c>
      <x:c r="L10" s="1521" t="str"/>
      <x:c r="M10" s="1521" t="str">
        <x:v>S</x:v>
      </x:c>
      <x:c r="N10" s="1521" t="str">
        <x:v>LP内に最低限の会社情報掲載</x:v>
      </x:c>
      <x:c r="O10" s="1521" t="str">
        <x:v>未確認</x:v>
      </x:c>
      <x:c r="P10" s="2290" t="str"/>
    </x:row>
    <x:row r="11">
      <x:c r="A11" s="2289" t="str">
        <x:v>IT-007</x:v>
      </x:c>
      <x:c r="B11" s="1521" t="str">
        <x:v>M365</x:v>
      </x:c>
      <x:c r="C11" s="1521" t="str">
        <x:v>Microsoft 365契約プラン</x:v>
      </x:c>
      <x:c r="D11" s="1521" t="str">
        <x:v>利用可能機能の特定</x:v>
      </x:c>
      <x:c r="E11" s="1521" t="str">
        <x:v>既存契約内で構成</x:v>
      </x:c>
      <x:c r="F11" s="1521" t="str"/>
      <x:c r="G11" s="1521" t="str"/>
      <x:c r="H11" s="1521" t="str"/>
      <x:c r="I11" s="1594" t="n">
        <x:v>0</x:v>
      </x:c>
      <x:c r="J11" s="1521" t="str">
        <x:v>情シス</x:v>
      </x:c>
      <x:c r="K11" s="1521" t="str">
        <x:v>契約情報</x:v>
      </x:c>
      <x:c r="L11" s="1521" t="str"/>
      <x:c r="M11" s="1521" t="str">
        <x:v>S</x:v>
      </x:c>
      <x:c r="N11" s="1521" t="str">
        <x:v>Excel・Outlook中心</x:v>
      </x:c>
      <x:c r="O11" s="1521" t="str">
        <x:v>未確認</x:v>
      </x:c>
      <x:c r="P11" s="2290" t="str"/>
    </x:row>
    <x:row r="12">
      <x:c r="A12" s="2289" t="str">
        <x:v>IT-008</x:v>
      </x:c>
      <x:c r="B12" s="1521" t="str">
        <x:v>M365</x:v>
      </x:c>
      <x:c r="C12" s="1521" t="str">
        <x:v>Microsoft Formsの外部回答可否</x:v>
      </x:c>
      <x:c r="D12" s="1521" t="str">
        <x:v>代替フォーム候補</x:v>
      </x:c>
      <x:c r="E12" s="1521" t="str">
        <x:v>ファイル添付なしで利用</x:v>
      </x:c>
      <x:c r="F12" s="1521" t="str"/>
      <x:c r="G12" s="1521" t="str"/>
      <x:c r="H12" s="1521" t="str"/>
      <x:c r="I12" s="1594" t="n">
        <x:v>0</x:v>
      </x:c>
      <x:c r="J12" s="1521" t="str">
        <x:v>情シス</x:v>
      </x:c>
      <x:c r="K12" s="1521" t="str">
        <x:v>テストフォーム</x:v>
      </x:c>
      <x:c r="L12" s="1521" t="str"/>
      <x:c r="M12" s="1521" t="str">
        <x:v>A</x:v>
      </x:c>
      <x:c r="N12" s="1521" t="str">
        <x:v>既存Webフォームを使用</x:v>
      </x:c>
      <x:c r="O12" s="1521" t="str">
        <x:v>未確認</x:v>
      </x:c>
      <x:c r="P12" s="2290" t="str"/>
    </x:row>
    <x:row r="13">
      <x:c r="A13" s="2289" t="str">
        <x:v>IT-009</x:v>
      </x:c>
      <x:c r="B13" s="1521" t="str">
        <x:v>M365</x:v>
      </x:c>
      <x:c r="C13" s="1521" t="str">
        <x:v>SharePoint List利用可否</x:v>
      </x:c>
      <x:c r="D13" s="1521" t="str">
        <x:v>回答・案件台帳</x:v>
      </x:c>
      <x:c r="E13" s="1521" t="str">
        <x:v>診断台帳として利用候補</x:v>
      </x:c>
      <x:c r="F13" s="1521" t="str"/>
      <x:c r="G13" s="1521" t="str"/>
      <x:c r="H13" s="1521" t="str"/>
      <x:c r="I13" s="1594" t="n">
        <x:v>0</x:v>
      </x:c>
      <x:c r="J13" s="1521" t="str">
        <x:v>情シス</x:v>
      </x:c>
      <x:c r="K13" s="1521" t="str">
        <x:v>サイト・権限</x:v>
      </x:c>
      <x:c r="L13" s="1521" t="str"/>
      <x:c r="M13" s="1521" t="str">
        <x:v>A</x:v>
      </x:c>
      <x:c r="N13" s="1521" t="str">
        <x:v>共有Excel台帳</x:v>
      </x:c>
      <x:c r="O13" s="1521" t="str">
        <x:v>未確認</x:v>
      </x:c>
      <x:c r="P13" s="2290" t="str"/>
    </x:row>
    <x:row r="14">
      <x:c r="A14" s="2289" t="str">
        <x:v>IT-010</x:v>
      </x:c>
      <x:c r="B14" s="1521" t="str">
        <x:v>M365</x:v>
      </x:c>
      <x:c r="C14" s="1521" t="str">
        <x:v>SharePoint/Teams案件フォルダの権限設定</x:v>
      </x:c>
      <x:c r="D14" s="1521" t="str">
        <x:v>秘密情報保管</x:v>
      </x:c>
      <x:c r="E14" s="1521" t="str">
        <x:v>案件関係者のみに限定</x:v>
      </x:c>
      <x:c r="F14" s="1521" t="str"/>
      <x:c r="G14" s="1521" t="str"/>
      <x:c r="H14" s="1521" t="str"/>
      <x:c r="I14" s="1594" t="n">
        <x:v>0</x:v>
      </x:c>
      <x:c r="J14" s="1521" t="str">
        <x:v>情シス</x:v>
      </x:c>
      <x:c r="K14" s="1521" t="str">
        <x:v>権限設定・台帳</x:v>
      </x:c>
      <x:c r="L14" s="1521" t="str"/>
      <x:c r="M14" s="1521" t="str">
        <x:v>S</x:v>
      </x:c>
      <x:c r="N14" s="1521" t="str">
        <x:v>既存営業案件フォルダ</x:v>
      </x:c>
      <x:c r="O14" s="1521" t="str">
        <x:v>未確認</x:v>
      </x:c>
      <x:c r="P14" s="2290" t="str"/>
    </x:row>
    <x:row r="15">
      <x:c r="A15" s="2289" t="str">
        <x:v>IT-011</x:v>
      </x:c>
      <x:c r="B15" s="1521" t="str">
        <x:v>M365</x:v>
      </x:c>
      <x:c r="C15" s="1521" t="str">
        <x:v>Power Automateの利用可否・コネクタ範囲</x:v>
      </x:c>
      <x:c r="D15" s="1521" t="str">
        <x:v>通知・台帳登録の自動化</x:v>
      </x:c>
      <x:c r="E15" s="1521" t="str">
        <x:v>標準コネクタ範囲で利用</x:v>
      </x:c>
      <x:c r="F15" s="1521" t="str"/>
      <x:c r="G15" s="1521" t="str"/>
      <x:c r="H15" s="1521" t="str"/>
      <x:c r="I15" s="1594" t="n">
        <x:v>0</x:v>
      </x:c>
      <x:c r="J15" s="1521" t="str">
        <x:v>情シス</x:v>
      </x:c>
      <x:c r="K15" s="1521" t="str">
        <x:v>ライセンス・フロー</x:v>
      </x:c>
      <x:c r="L15" s="1521" t="str"/>
      <x:c r="M15" s="1521" t="str">
        <x:v>A</x:v>
      </x:c>
      <x:c r="N15" s="1521" t="str">
        <x:v>メール受信後に手動登録</x:v>
      </x:c>
      <x:c r="O15" s="1521" t="str">
        <x:v>未確認</x:v>
      </x:c>
      <x:c r="P15" s="2290" t="str"/>
    </x:row>
    <x:row r="16">
      <x:c r="A16" s="2289" t="str">
        <x:v>IT-012</x:v>
      </x:c>
      <x:c r="B16" s="1521" t="str">
        <x:v>M365</x:v>
      </x:c>
      <x:c r="C16" s="1521" t="str">
        <x:v>共有メールボックスまたは専用受付アドレス作成可否</x:v>
      </x:c>
      <x:c r="D16" s="1521" t="str">
        <x:v>受付の属人化防止</x:v>
      </x:c>
      <x:c r="E16" s="1521" t="str">
        <x:v>energy-doctor等の受付アドレス候補</x:v>
      </x:c>
      <x:c r="F16" s="1521" t="str"/>
      <x:c r="G16" s="1521" t="str"/>
      <x:c r="H16" s="1521" t="str"/>
      <x:c r="I16" s="1594" t="n">
        <x:v>0</x:v>
      </x:c>
      <x:c r="J16" s="1521" t="str">
        <x:v>情シス</x:v>
      </x:c>
      <x:c r="K16" s="1521" t="str">
        <x:v>メール設定</x:v>
      </x:c>
      <x:c r="L16" s="1521" t="str"/>
      <x:c r="M16" s="1521" t="str">
        <x:v>A</x:v>
      </x:c>
      <x:c r="N16" s="1521" t="str">
        <x:v>代表・担当者メールで受付</x:v>
      </x:c>
      <x:c r="O16" s="1521" t="str">
        <x:v>未確認</x:v>
      </x:c>
      <x:c r="P16" s="2290" t="str"/>
    </x:row>
    <x:row r="17">
      <x:c r="A17" s="2289" t="str">
        <x:v>IT-013</x:v>
      </x:c>
      <x:c r="B17" s="1521" t="str">
        <x:v>M365</x:v>
      </x:c>
      <x:c r="C17" s="1521" t="str">
        <x:v>Copilotの種類・利用可能者・顧客情報利用条件</x:v>
      </x:c>
      <x:c r="D17" s="1521" t="str">
        <x:v>M365内AI支援</x:v>
      </x:c>
      <x:c r="E17" s="1521" t="str">
        <x:v>承認利用者のみ利用</x:v>
      </x:c>
      <x:c r="F17" s="1521" t="str"/>
      <x:c r="G17" s="1521" t="str"/>
      <x:c r="H17" s="1521" t="str"/>
      <x:c r="I17" s="1594" t="n">
        <x:v>0</x:v>
      </x:c>
      <x:c r="J17" s="1521" t="str">
        <x:v>情シス</x:v>
      </x:c>
      <x:c r="K17" s="1521" t="str">
        <x:v>ライセンス・利用規程</x:v>
      </x:c>
      <x:c r="L17" s="1521" t="str"/>
      <x:c r="M17" s="1521" t="str">
        <x:v>S</x:v>
      </x:c>
      <x:c r="N17" s="1521" t="str">
        <x:v>ナレナビ・有料AIチャットを使用</x:v>
      </x:c>
      <x:c r="O17" s="1521" t="str">
        <x:v>未確認</x:v>
      </x:c>
      <x:c r="P17" s="2290" t="str"/>
    </x:row>
    <x:row r="18">
      <x:c r="A18" s="2289" t="str">
        <x:v>IT-014</x:v>
      </x:c>
      <x:c r="B18" s="1521" t="str">
        <x:v>AI</x:v>
      </x:c>
      <x:c r="C18" s="1521" t="str">
        <x:v>ナレナビの管理者・利用者権限設定</x:v>
      </x:c>
      <x:c r="D18" s="1521" t="str">
        <x:v>AI利用統制</x:v>
      </x:c>
      <x:c r="E18" s="1521" t="str">
        <x:v>診断担当者に限定</x:v>
      </x:c>
      <x:c r="F18" s="1521" t="str"/>
      <x:c r="G18" s="1521" t="str"/>
      <x:c r="H18" s="1521" t="str"/>
      <x:c r="I18" s="1594" t="n">
        <x:v>0</x:v>
      </x:c>
      <x:c r="J18" s="1521" t="str">
        <x:v>AI管理者</x:v>
      </x:c>
      <x:c r="K18" s="1521" t="str">
        <x:v>権限画面</x:v>
      </x:c>
      <x:c r="L18" s="1521" t="str"/>
      <x:c r="M18" s="1521" t="str">
        <x:v>S</x:v>
      </x:c>
      <x:c r="N18" s="1521" t="str">
        <x:v>承認利用者を名簿管理</x:v>
      </x:c>
      <x:c r="O18" s="1521" t="str">
        <x:v>未確認</x:v>
      </x:c>
      <x:c r="P18" s="2290" t="str"/>
    </x:row>
    <x:row r="19">
      <x:c r="A19" s="2289" t="str">
        <x:v>IT-015</x:v>
      </x:c>
      <x:c r="B19" s="1521" t="str">
        <x:v>AI</x:v>
      </x:c>
      <x:c r="C19" s="1521" t="str">
        <x:v>ナレナビ・有料AIチャットの履歴・削除・監査方法</x:v>
      </x:c>
      <x:c r="D19" s="1521" t="str">
        <x:v>証跡と事故対応</x:v>
      </x:c>
      <x:c r="E19" s="1521" t="str">
        <x:v>案件IDを付けて利用</x:v>
      </x:c>
      <x:c r="F19" s="1521" t="str"/>
      <x:c r="G19" s="1521" t="str"/>
      <x:c r="H19" s="1521" t="str"/>
      <x:c r="I19" s="1594" t="n">
        <x:v>0</x:v>
      </x:c>
      <x:c r="J19" s="1521" t="str">
        <x:v>AI管理者</x:v>
      </x:c>
      <x:c r="K19" s="1521" t="str">
        <x:v>管理画面・手順</x:v>
      </x:c>
      <x:c r="L19" s="1521" t="str"/>
      <x:c r="M19" s="1521" t="str">
        <x:v>S</x:v>
      </x:c>
      <x:c r="N19" s="1521" t="str">
        <x:v>利用台帳へ手動記録</x:v>
      </x:c>
      <x:c r="O19" s="1521" t="str">
        <x:v>未確認</x:v>
      </x:c>
      <x:c r="P19" s="2290" t="str"/>
    </x:row>
    <x:row r="20">
      <x:c r="A20" s="2289" t="str">
        <x:v>IT-016</x:v>
      </x:c>
      <x:c r="B20" s="1521" t="str">
        <x:v>AI</x:v>
      </x:c>
      <x:c r="C20" s="1521" t="str">
        <x:v>ファイル投入時の容量・形式・安全対策</x:v>
      </x:c>
      <x:c r="D20" s="1521" t="str">
        <x:v>顧客資料利用</x:v>
      </x:c>
      <x:c r="E20" s="1521" t="str">
        <x:v>必要ページ・必要ファイルのみ</x:v>
      </x:c>
      <x:c r="F20" s="1521" t="str"/>
      <x:c r="G20" s="1521" t="str"/>
      <x:c r="H20" s="1521" t="str"/>
      <x:c r="I20" s="1594" t="n">
        <x:v>0</x:v>
      </x:c>
      <x:c r="J20" s="1521" t="str">
        <x:v>AI管理者/情シス</x:v>
      </x:c>
      <x:c r="K20" s="1521" t="str">
        <x:v>仕様・テスト</x:v>
      </x:c>
      <x:c r="L20" s="1521" t="str"/>
      <x:c r="M20" s="1521" t="str">
        <x:v>A</x:v>
      </x:c>
      <x:c r="N20" s="1521" t="str">
        <x:v>テキスト化した必要箇所のみ</x:v>
      </x:c>
      <x:c r="O20" s="1521" t="str">
        <x:v>未確認</x:v>
      </x:c>
      <x:c r="P20" s="2290" t="str"/>
    </x:row>
    <x:row r="21">
      <x:c r="A21" s="2289" t="str">
        <x:v>IT-017</x:v>
      </x:c>
      <x:c r="B21" s="1521" t="str">
        <x:v>Excel</x:v>
      </x:c>
      <x:c r="C21" s="1521" t="str">
        <x:v>共有Excelでマクロ・Power Query・外部リンクを使用できるか</x:v>
      </x:c>
      <x:c r="D21" s="1521" t="str">
        <x:v>診断エンジン実装方式</x:v>
      </x:c>
      <x:c r="E21" s="1521" t="str">
        <x:v>まず数式中心、マクロなし</x:v>
      </x:c>
      <x:c r="F21" s="1521" t="str"/>
      <x:c r="G21" s="1521" t="str"/>
      <x:c r="H21" s="1521" t="str"/>
      <x:c r="I21" s="1594" t="n">
        <x:v>0</x:v>
      </x:c>
      <x:c r="J21" s="1521" t="str">
        <x:v>情シス</x:v>
      </x:c>
      <x:c r="K21" s="1521" t="str">
        <x:v>セキュリティ設定</x:v>
      </x:c>
      <x:c r="L21" s="1521" t="str"/>
      <x:c r="M21" s="1521" t="str">
        <x:v>S</x:v>
      </x:c>
      <x:c r="N21" s="1521" t="str">
        <x:v>ローカル正本＋PDF出力</x:v>
      </x:c>
      <x:c r="O21" s="1521" t="str">
        <x:v>未確認</x:v>
      </x:c>
      <x:c r="P21" s="2290" t="str"/>
    </x:row>
    <x:row r="22">
      <x:c r="A22" s="2289" t="str">
        <x:v>IT-018</x:v>
      </x:c>
      <x:c r="B22" s="1521" t="str">
        <x:v>Excel</x:v>
      </x:c>
      <x:c r="C22" s="1521" t="str">
        <x:v>ExcelからPDF出力した際のフォント・レイアウト</x:v>
      </x:c>
      <x:c r="D22" s="1521" t="str">
        <x:v>A3品質</x:v>
      </x:c>
      <x:c r="E22" s="1521" t="str">
        <x:v>18・19シートのA3を基準</x:v>
      </x:c>
      <x:c r="F22" s="1521" t="str"/>
      <x:c r="G22" s="1521" t="str"/>
      <x:c r="H22" s="1521" t="str"/>
      <x:c r="I22" s="1594" t="n">
        <x:v>0</x:v>
      </x:c>
      <x:c r="J22" s="1521" t="str">
        <x:v>診断担当/情シス</x:v>
      </x:c>
      <x:c r="K22" s="1521" t="str">
        <x:v>テストPDF</x:v>
      </x:c>
      <x:c r="L22" s="1521" t="str"/>
      <x:c r="M22" s="1521" t="str">
        <x:v>S</x:v>
      </x:c>
      <x:c r="N22" s="1521" t="str">
        <x:v>手動調整して出力</x:v>
      </x:c>
      <x:c r="O22" s="1521" t="str">
        <x:v>未確認</x:v>
      </x:c>
      <x:c r="P22" s="2290" t="str"/>
    </x:row>
    <x:row r="23">
      <x:c r="A23" s="2289" t="str">
        <x:v>IT-019</x:v>
      </x:c>
      <x:c r="B23" s="1521" t="str">
        <x:v>情報管理</x:v>
      </x:c>
      <x:c r="C23" s="1521" t="str">
        <x:v>顧客秘密情報の保存期間・削除・バックアップ規程</x:v>
      </x:c>
      <x:c r="D23" s="1521" t="str">
        <x:v>通常営業との整合</x:v>
      </x:c>
      <x:c r="E23" s="1521" t="str">
        <x:v>既存営業情報規程に準拠</x:v>
      </x:c>
      <x:c r="F23" s="1521" t="str"/>
      <x:c r="G23" s="1521" t="str"/>
      <x:c r="H23" s="1521" t="str"/>
      <x:c r="I23" s="1594" t="n">
        <x:v>0</x:v>
      </x:c>
      <x:c r="J23" s="1521" t="str">
        <x:v>情シス/管理</x:v>
      </x:c>
      <x:c r="K23" s="1521" t="str">
        <x:v>社内規程</x:v>
      </x:c>
      <x:c r="L23" s="1521" t="str"/>
      <x:c r="M23" s="1521" t="str">
        <x:v>S</x:v>
      </x:c>
      <x:c r="N23" s="1521" t="str">
        <x:v>案件フォルダ規程に従う</x:v>
      </x:c>
      <x:c r="O23" s="1521" t="str">
        <x:v>未確認</x:v>
      </x:c>
      <x:c r="P23" s="2290" t="str"/>
    </x:row>
    <x:row r="24">
      <x:c r="A24" s="2291" t="str">
        <x:v>IT-020</x:v>
      </x:c>
      <x:c r="B24" s="2292" t="str">
        <x:v>運用</x:v>
      </x:c>
      <x:c r="C24" s="2292" t="str">
        <x:v>障害・誤送信・誤投入時の連絡経路</x:v>
      </x:c>
      <x:c r="D24" s="2292" t="str">
        <x:v>事故対応</x:v>
      </x:c>
      <x:c r="E24" s="2292" t="str">
        <x:v>既存インシデント手順を適用</x:v>
      </x:c>
      <x:c r="F24" s="2292" t="str"/>
      <x:c r="G24" s="2292" t="str"/>
      <x:c r="H24" s="2292" t="str"/>
      <x:c r="I24" s="2295" t="n">
        <x:v>0</x:v>
      </x:c>
      <x:c r="J24" s="2292" t="str">
        <x:v>情シス/管理</x:v>
      </x:c>
      <x:c r="K24" s="2292" t="str">
        <x:v>連絡網・手順</x:v>
      </x:c>
      <x:c r="L24" s="2292" t="str"/>
      <x:c r="M24" s="2292" t="str">
        <x:v>S</x:v>
      </x:c>
      <x:c r="N24" s="2292" t="str">
        <x:v>責任者へ即時連絡</x:v>
      </x:c>
      <x:c r="O24" s="2292" t="str">
        <x:v>未確認</x:v>
      </x:c>
      <x:c r="P24" s="2293" t="str"/>
    </x:row>
    <x:row r="27" ht="38" customHeight="1">
      <x:c r="A27" s="2095" t="str">
        <x:v>Stage0集計</x:v>
      </x:c>
      <x:c r="B27" s="2096" t="str">
        <x:v>件数</x:v>
      </x:c>
      <x:c r="C27" s="2097" t="str">
        <x:v>説明</x:v>
      </x:c>
      <x:c r="D27"/>
      <x:c r="E27"/>
      <x:c r="F27"/>
      <x:c r="G27"/>
      <x:c r="H27"/>
    </x:row>
    <x:row r="28">
      <x:c r="A28" s="2114" t="str">
        <x:v>確認項目数</x:v>
      </x:c>
      <x:c r="B28" s="2115" t="n">
        <x:f>COUNTA(A5:A24)</x:f>
        <x:v>20</x:v>
      </x:c>
      <x:c r="C28" s="2116" t="str">
        <x:v>全確認項目</x:v>
      </x:c>
      <x:c r="D28"/>
      <x:c r="E28"/>
      <x:c r="F28"/>
      <x:c r="G28"/>
      <x:c r="H28"/>
    </x:row>
    <x:row r="29">
      <x:c r="A29" s="2117" t="str">
        <x:v>可・条件付き可</x:v>
      </x:c>
      <x:c r="B29" s="1521" t="n">
        <x:f>COUNTIF(G5:G24,"可")+COUNTIF(G5:G24,"条件付き可")</x:f>
        <x:v>0</x:v>
      </x:c>
      <x:c r="C29" s="2118" t="str">
        <x:v>既存環境で実施可能</x:v>
      </x:c>
      <x:c r="D29"/>
      <x:c r="E29"/>
      <x:c r="F29"/>
      <x:c r="G29"/>
      <x:c r="H29"/>
    </x:row>
    <x:row r="30">
      <x:c r="A30" s="2117" t="str">
        <x:v>不可</x:v>
      </x:c>
      <x:c r="B30" s="1521" t="n">
        <x:f>COUNTIF(G5:G24,"不可")</x:f>
        <x:v>0</x:v>
      </x:c>
      <x:c r="C30" s="2118" t="str">
        <x:v>代替運用または方針変更</x:v>
      </x:c>
      <x:c r="D30"/>
      <x:c r="E30"/>
      <x:c r="F30"/>
      <x:c r="G30"/>
      <x:c r="H30"/>
    </x:row>
    <x:row r="31">
      <x:c r="A31" s="2117" t="str">
        <x:v>未確認</x:v>
      </x:c>
      <x:c r="B31" s="1521" t="n">
        <x:f>COUNTIF(G5:G24,"未確認")+COUNTBLANK(G5:G24)</x:f>
        <x:v>20</x:v>
      </x:c>
      <x:c r="C31" s="2118" t="str">
        <x:v>情シス回答待ち</x:v>
      </x:c>
      <x:c r="D31"/>
      <x:c r="E31"/>
      <x:c r="F31"/>
      <x:c r="G31"/>
      <x:c r="H31"/>
    </x:row>
    <x:row r="32">
      <x:c r="A32" s="2119" t="str">
        <x:v>追加費用合計</x:v>
      </x:c>
      <x:c r="B32" s="2123" t="n">
        <x:f>SUM(I5:I24)</x:f>
        <x:v>0</x:v>
      </x:c>
      <x:c r="C32" s="2121" t="str">
        <x:v>原則0円。金額発生時は個別承認</x:v>
      </x:c>
      <x:c r="D32"/>
      <x:c r="E32"/>
      <x:c r="F32"/>
      <x:c r="G32"/>
      <x:c r="H32"/>
    </x:row>
  </x:sheetData>
  <x:mergeCells>
    <x:mergeCell ref="A1:P1"/>
    <x:mergeCell ref="A2:P2"/>
  </x:mergeCells>
  <x:dataValidations count="3">
    <x:dataValidation type="list" sqref="G5:G24">
      <x:formula1>"可,条件付き可,不可,未確認"</x:formula1>
    </x:dataValidation>
    <x:dataValidation type="list" sqref="M5:M24">
      <x:formula1>"S,A,B,C"</x:formula1>
    </x:dataValidation>
    <x:dataValidation type="list" sqref="O5:O24">
      <x:formula1>"未確認,確認中,回答済,要追加確認,確定"</x:formula1>
    </x:dataValidation>
  </x:dataValidations>
  <x:pageMargins left="0.7" right="0.7" top="0.75" bottom="0.75" header="0.3" footer="0.3"/>
</x:worksheet>
</file>

<file path=xl/worksheets/sheet53.xml><?xml version="1.0" encoding="utf-8"?>
<x:worksheet xmlns:x="http://schemas.openxmlformats.org/spreadsheetml/2006/main">
  <x:sheetFormatPr defaultRowHeight="15"/>
  <x:cols>
    <x:col min="1" max="1" width="12" hidden="0" customWidth="1"/>
    <x:col min="2" max="2" width="24" hidden="0" customWidth="1"/>
    <x:col min="3" max="3" width="18" hidden="0" customWidth="1"/>
    <x:col min="4" max="4" width="28" hidden="0" customWidth="1"/>
    <x:col min="5" max="5" width="38" hidden="0" customWidth="1"/>
    <x:col min="6" max="6" width="26" hidden="0" customWidth="1"/>
    <x:col min="7" max="7" width="24" hidden="0" customWidth="1"/>
    <x:col min="8" max="8" width="14" hidden="0" customWidth="1"/>
    <x:col min="9" max="9" width="12" hidden="0" customWidth="1"/>
    <x:col min="10" max="10" width="22" hidden="0" customWidth="1"/>
    <x:col min="11" max="11" width="34" hidden="0" customWidth="1"/>
    <x:col min="12" max="12" width="24" hidden="0" customWidth="1"/>
    <x:col min="13" max="13" width="18" hidden="0" customWidth="1"/>
    <x:col min="14" max="14" width="14" hidden="0" customWidth="1"/>
    <x:col min="15" max="15" width="14" hidden="0" customWidth="1"/>
    <x:col min="16" max="16" width="22" hidden="0" customWidth="1"/>
  </x:cols>
  <x:sheetData>
    <x:row r="1" ht="28" customHeight="1">
      <x:c r="A1" s="2080" t="str">
        <x:v>52_Stage1実装仕様</x:v>
      </x:c>
      <x:c r="B1" s="2080"/>
      <x:c r="C1" s="2080"/>
      <x:c r="D1" s="2080"/>
      <x:c r="E1" s="2080"/>
      <x:c r="F1" s="2080"/>
      <x:c r="G1" s="2080"/>
      <x:c r="H1" s="2080"/>
      <x:c r="I1" s="2080"/>
      <x:c r="J1" s="2080"/>
      <x:c r="K1" s="2080"/>
      <x:c r="L1" s="2080"/>
      <x:c r="M1" s="2080"/>
      <x:c r="N1" s="2080"/>
      <x:c r="O1" s="2080"/>
      <x:c r="P1" s="2080"/>
    </x:row>
    <x:row r="2" ht="36" customHeight="1">
      <x:c r="A2" s="2083" t="str">
        <x:v>顧客公開前に、社内担当者が回答入力から診断・A3発行まで実行できる最小構成を実装する。</x:v>
      </x:c>
      <x:c r="B2" s="2083"/>
      <x:c r="C2" s="2083"/>
      <x:c r="D2" s="2083"/>
      <x:c r="E2" s="2083"/>
      <x:c r="F2" s="2083"/>
      <x:c r="G2" s="2083"/>
      <x:c r="H2" s="2083"/>
      <x:c r="I2" s="2083"/>
      <x:c r="J2" s="2083"/>
      <x:c r="K2" s="2083"/>
      <x:c r="L2" s="2083"/>
      <x:c r="M2" s="2083"/>
      <x:c r="N2" s="2083"/>
      <x:c r="O2" s="2083"/>
      <x:c r="P2" s="2083"/>
    </x:row>
    <x:row r="4" ht="38" customHeight="1">
      <x:c r="A4" s="2095" t="str">
        <x:v>仕様ID</x:v>
      </x:c>
      <x:c r="B4" s="2096" t="str">
        <x:v>機能</x:v>
      </x:c>
      <x:c r="C4" s="2096" t="str">
        <x:v>利用者</x:v>
      </x:c>
      <x:c r="D4" s="2096" t="str">
        <x:v>入力</x:v>
      </x:c>
      <x:c r="E4" s="2096" t="str">
        <x:v>処理・ルール</x:v>
      </x:c>
      <x:c r="F4" s="2096" t="str">
        <x:v>出力</x:v>
      </x:c>
      <x:c r="G4" s="2096" t="str">
        <x:v>実装方法候補</x:v>
      </x:c>
      <x:c r="H4" s="2096" t="str">
        <x:v>自動/手動</x:v>
      </x:c>
      <x:c r="I4" s="2096" t="str">
        <x:v>必須</x:v>
      </x:c>
      <x:c r="J4" s="2096" t="str">
        <x:v>関連シート</x:v>
      </x:c>
      <x:c r="K4" s="2096" t="str">
        <x:v>受入条件</x:v>
      </x:c>
      <x:c r="L4" s="2096" t="str">
        <x:v>エラー時</x:v>
      </x:c>
      <x:c r="M4" s="2096" t="str">
        <x:v>責任者</x:v>
      </x:c>
      <x:c r="N4" s="2096" t="str">
        <x:v>実装状態</x:v>
      </x:c>
      <x:c r="O4" s="2096" t="str">
        <x:v>確認日</x:v>
      </x:c>
      <x:c r="P4" s="2097" t="str">
        <x:v>備考</x:v>
      </x:c>
    </x:row>
    <x:row r="5">
      <x:c r="A5" s="2141" t="str">
        <x:v>MVP-001</x:v>
      </x:c>
      <x:c r="B5" s="2142" t="str">
        <x:v>案件・診断ID発行</x:v>
      </x:c>
      <x:c r="C5" s="2142" t="str">
        <x:v>営業/診断担当</x:v>
      </x:c>
      <x:c r="D5" s="2142" t="str">
        <x:v>会社名、工場名、担当者、受付日</x:v>
      </x:c>
      <x:c r="E5" s="2142" t="str">
        <x:v>一意IDを採番しVersionと紐付け</x:v>
      </x:c>
      <x:c r="F5" s="2142" t="str">
        <x:v>診断台帳1行</x:v>
      </x:c>
      <x:c r="G5" s="2142" t="str">
        <x:v>Excel/SharePoint</x:v>
      </x:c>
      <x:c r="H5" s="2142" t="str">
        <x:v>手動または半自動</x:v>
      </x:c>
      <x:c r="I5" s="2142" t="str">
        <x:v>必須</x:v>
      </x:c>
      <x:c r="J5" s="2142" t="str">
        <x:v>53/54</x:v>
      </x:c>
      <x:c r="K5" s="2142" t="str">
        <x:v>重複しないID、案件検索可能</x:v>
      </x:c>
      <x:c r="L5" s="2142" t="str">
        <x:v>手動採番</x:v>
      </x:c>
      <x:c r="M5" s="2142" t="str">
        <x:v>運用担当</x:v>
      </x:c>
      <x:c r="N5" s="2142" t="str">
        <x:v>未着手</x:v>
      </x:c>
      <x:c r="O5" s="2142" t="str"/>
      <x:c r="P5" s="2143" t="str"/>
    </x:row>
    <x:row r="6">
      <x:c r="A6" s="2144" t="str">
        <x:v>MVP-002</x:v>
      </x:c>
      <x:c r="B6" s="1521" t="str">
        <x:v>社内回答入力</x:v>
      </x:c>
      <x:c r="C6" s="1521" t="str">
        <x:v>診断担当</x:v>
      </x:c>
      <x:c r="D6" s="1521" t="str">
        <x:v>01・02の質問回答</x:v>
      </x:c>
      <x:c r="E6" s="1521" t="str">
        <x:v>必須・不明・選択値を検証</x:v>
      </x:c>
      <x:c r="F6" s="1521" t="str">
        <x:v>回答レコード</x:v>
      </x:c>
      <x:c r="G6" s="1521" t="str">
        <x:v>Excel入力シート</x:v>
      </x:c>
      <x:c r="H6" s="1521" t="str">
        <x:v>手動入力＋検証</x:v>
      </x:c>
      <x:c r="I6" s="1521" t="str">
        <x:v>必須</x:v>
      </x:c>
      <x:c r="J6" s="1521" t="str">
        <x:v>01/02/21</x:v>
      </x:c>
      <x:c r="K6" s="1521" t="str">
        <x:v>全必須項目を入力できる</x:v>
      </x:c>
      <x:c r="L6" s="1521" t="str">
        <x:v>入力エラー表示</x:v>
      </x:c>
      <x:c r="M6" s="1521" t="str">
        <x:v>診断担当</x:v>
      </x:c>
      <x:c r="N6" s="1521" t="str">
        <x:v>未着手</x:v>
      </x:c>
      <x:c r="O6" s="1521" t="str"/>
      <x:c r="P6" s="2145" t="str"/>
    </x:row>
    <x:row r="7">
      <x:c r="A7" s="2144" t="str">
        <x:v>MVP-003</x:v>
      </x:c>
      <x:c r="B7" s="1521" t="str">
        <x:v>回答整合性確認</x:v>
      </x:c>
      <x:c r="C7" s="1521" t="str">
        <x:v>診断担当/AI</x:v>
      </x:c>
      <x:c r="D7" s="1521" t="str">
        <x:v>回答、資料メタデータ</x:v>
      </x:c>
      <x:c r="E7" s="1521" t="str">
        <x:v>06の矛盾ルール、L0候補抽出</x:v>
      </x:c>
      <x:c r="F7" s="1521" t="str">
        <x:v>確認リスト</x:v>
      </x:c>
      <x:c r="G7" s="1521" t="str">
        <x:v>Excel式＋AI補助</x:v>
      </x:c>
      <x:c r="H7" s="1521" t="str">
        <x:v>半自動</x:v>
      </x:c>
      <x:c r="I7" s="1521" t="str">
        <x:v>必須</x:v>
      </x:c>
      <x:c r="J7" s="1521" t="str">
        <x:v>06/14/50</x:v>
      </x:c>
      <x:c r="K7" s="1521" t="str">
        <x:v>TC-Aと矛盾ケース一致</x:v>
      </x:c>
      <x:c r="L7" s="1521" t="str">
        <x:v>L0時は発行停止</x:v>
      </x:c>
      <x:c r="M7" s="1521" t="str">
        <x:v>診断責任者</x:v>
      </x:c>
      <x:c r="N7" s="1521" t="str">
        <x:v>未着手</x:v>
      </x:c>
      <x:c r="O7" s="1521" t="str"/>
      <x:c r="P7" s="2145" t="str"/>
    </x:row>
    <x:row r="8">
      <x:c r="A8" s="2144" t="str">
        <x:v>MVP-004</x:v>
      </x:c>
      <x:c r="B8" s="1521" t="str">
        <x:v>EDI算定</x:v>
      </x:c>
      <x:c r="C8" s="1521" t="str">
        <x:v>診断担当</x:v>
      </x:c>
      <x:c r="D8" s="1521" t="str">
        <x:v>対象回答</x:v>
      </x:c>
      <x:c r="E8" s="1521" t="str">
        <x:v>13の正式式・帯</x:v>
      </x:c>
      <x:c r="F8" s="1521" t="str">
        <x:v>EDI点、帯、内訳</x:v>
      </x:c>
      <x:c r="G8" s="1521" t="str">
        <x:v>Excel数式</x:v>
      </x:c>
      <x:c r="H8" s="1521" t="str">
        <x:v>自動</x:v>
      </x:c>
      <x:c r="I8" s="1521" t="str">
        <x:v>必須</x:v>
      </x:c>
      <x:c r="J8" s="1521" t="str">
        <x:v>03/13</x:v>
      </x:c>
      <x:c r="K8" s="1521" t="str">
        <x:v>設計値と一致</x:v>
      </x:c>
      <x:c r="L8" s="1521" t="str">
        <x:v>計算不能は未算定</x:v>
      </x:c>
      <x:c r="M8" s="1521" t="str">
        <x:v>診断責任者</x:v>
      </x:c>
      <x:c r="N8" s="1521" t="str">
        <x:v>未着手</x:v>
      </x:c>
      <x:c r="O8" s="1521" t="str"/>
      <x:c r="P8" s="2145" t="str"/>
    </x:row>
    <x:row r="9">
      <x:c r="A9" s="2144" t="str">
        <x:v>MVP-005</x:v>
      </x:c>
      <x:c r="B9" s="1521" t="str">
        <x:v>DRI算定</x:v>
      </x:c>
      <x:c r="C9" s="1521" t="str">
        <x:v>診断担当</x:v>
      </x:c>
      <x:c r="D9" s="1521" t="str">
        <x:v>回答、Evidence</x:v>
      </x:c>
      <x:c r="E9" s="1521" t="str">
        <x:v>13の正式式・帯</x:v>
      </x:c>
      <x:c r="F9" s="1521" t="str">
        <x:v>DRI点、帯、内訳</x:v>
      </x:c>
      <x:c r="G9" s="1521" t="str">
        <x:v>Excel数式</x:v>
      </x:c>
      <x:c r="H9" s="1521" t="str">
        <x:v>自動</x:v>
      </x:c>
      <x:c r="I9" s="1521" t="str">
        <x:v>必須</x:v>
      </x:c>
      <x:c r="J9" s="1521" t="str">
        <x:v>03/05/13</x:v>
      </x:c>
      <x:c r="K9" s="1521" t="str">
        <x:v>設計値と一致</x:v>
      </x:c>
      <x:c r="L9" s="1521" t="str">
        <x:v>Evidence不足表示</x:v>
      </x:c>
      <x:c r="M9" s="1521" t="str">
        <x:v>診断責任者</x:v>
      </x:c>
      <x:c r="N9" s="1521" t="str">
        <x:v>未着手</x:v>
      </x:c>
      <x:c r="O9" s="1521" t="str"/>
      <x:c r="P9" s="2145" t="str"/>
    </x:row>
    <x:row r="10">
      <x:c r="A10" s="2144" t="str">
        <x:v>MVP-006</x:v>
      </x:c>
      <x:c r="B10" s="1521" t="str">
        <x:v>EPI算定</x:v>
      </x:c>
      <x:c r="C10" s="1521" t="str">
        <x:v>診断担当</x:v>
      </x:c>
      <x:c r="D10" s="1521" t="str">
        <x:v>回答、期限</x:v>
      </x:c>
      <x:c r="E10" s="1521" t="str">
        <x:v>13の正式式・帯・期限加点</x:v>
      </x:c>
      <x:c r="F10" s="1521" t="str">
        <x:v>EPI点、帯、内訳</x:v>
      </x:c>
      <x:c r="G10" s="1521" t="str">
        <x:v>Excel数式</x:v>
      </x:c>
      <x:c r="H10" s="1521" t="str">
        <x:v>自動</x:v>
      </x:c>
      <x:c r="I10" s="1521" t="str">
        <x:v>必須</x:v>
      </x:c>
      <x:c r="J10" s="1521" t="str">
        <x:v>03/13</x:v>
      </x:c>
      <x:c r="K10" s="1521" t="str">
        <x:v>設計値と一致</x:v>
      </x:c>
      <x:c r="L10" s="1521" t="str">
        <x:v>期限未入力は加点なし</x:v>
      </x:c>
      <x:c r="M10" s="1521" t="str">
        <x:v>診断責任者</x:v>
      </x:c>
      <x:c r="N10" s="1521" t="str">
        <x:v>未着手</x:v>
      </x:c>
      <x:c r="O10" s="1521" t="str"/>
      <x:c r="P10" s="2145" t="str"/>
    </x:row>
    <x:row r="11">
      <x:c r="A11" s="2144" t="str">
        <x:v>MVP-007</x:v>
      </x:c>
      <x:c r="B11" s="1521" t="str">
        <x:v>信頼度・充足率</x:v>
      </x:c>
      <x:c r="C11" s="1521" t="str">
        <x:v>診断担当</x:v>
      </x:c>
      <x:c r="D11" s="1521" t="str">
        <x:v>回答、Evidence、整合性</x:v>
      </x:c>
      <x:c r="E11" s="1521" t="str">
        <x:v>14のCONF/COMP式</x:v>
      </x:c>
      <x:c r="F11" s="1521" t="str">
        <x:v>点数、帯、Level</x:v>
      </x:c>
      <x:c r="G11" s="1521" t="str">
        <x:v>Excel数式</x:v>
      </x:c>
      <x:c r="H11" s="1521" t="str">
        <x:v>自動</x:v>
      </x:c>
      <x:c r="I11" s="1521" t="str">
        <x:v>必須</x:v>
      </x:c>
      <x:c r="J11" s="1521" t="str">
        <x:v>05/06/14</x:v>
      </x:c>
      <x:c r="K11" s="1521" t="str">
        <x:v>TC-A・不足ケース一致</x:v>
      </x:c>
      <x:c r="L11" s="1521" t="str">
        <x:v>不足項目を表示</x:v>
      </x:c>
      <x:c r="M11" s="1521" t="str">
        <x:v>診断責任者</x:v>
      </x:c>
      <x:c r="N11" s="1521" t="str">
        <x:v>未着手</x:v>
      </x:c>
      <x:c r="O11" s="1521" t="str"/>
      <x:c r="P11" s="2145" t="str"/>
    </x:row>
    <x:row r="12">
      <x:c r="A12" s="2144" t="str">
        <x:v>MVP-008</x:v>
      </x:c>
      <x:c r="B12" s="1521" t="str">
        <x:v>Guardrail判定</x:v>
      </x:c>
      <x:c r="C12" s="1521" t="str">
        <x:v>診断担当</x:v>
      </x:c>
      <x:c r="D12" s="1521" t="str">
        <x:v>回答、Evidence、L0</x:v>
      </x:c>
      <x:c r="E12" s="1521" t="str">
        <x:v>04・13の発動・順位</x:v>
      </x:c>
      <x:c r="F12" s="1521" t="str">
        <x:v>上位3件、根拠、断定Level</x:v>
      </x:c>
      <x:c r="G12" s="1521" t="str">
        <x:v>Excel数式/表参照</x:v>
      </x:c>
      <x:c r="H12" s="1521" t="str">
        <x:v>自動</x:v>
      </x:c>
      <x:c r="I12" s="1521" t="str">
        <x:v>必須</x:v>
      </x:c>
      <x:c r="J12" s="1521" t="str">
        <x:v>04/13</x:v>
      </x:c>
      <x:c r="K12" s="1521" t="str">
        <x:v>AT-003～005合格</x:v>
      </x:c>
      <x:c r="L12" s="1521" t="str">
        <x:v>L0は使用停止</x:v>
      </x:c>
      <x:c r="M12" s="1521" t="str">
        <x:v>診断責任者</x:v>
      </x:c>
      <x:c r="N12" s="1521" t="str">
        <x:v>未着手</x:v>
      </x:c>
      <x:c r="O12" s="1521" t="str"/>
      <x:c r="P12" s="2145" t="str"/>
    </x:row>
    <x:row r="13">
      <x:c r="A13" s="2144" t="str">
        <x:v>MVP-009</x:v>
      </x:c>
      <x:c r="B13" s="1521" t="str">
        <x:v>TOP5抽出</x:v>
      </x:c>
      <x:c r="C13" s="1521" t="str">
        <x:v>診断担当</x:v>
      </x:c>
      <x:c r="D13" s="1521" t="str">
        <x:v>課題候補</x:v>
      </x:c>
      <x:c r="E13" s="1521" t="str">
        <x:v>13の順位・重複排除・分野上限</x:v>
      </x:c>
      <x:c r="F13" s="1521" t="str">
        <x:v>TOP5一覧</x:v>
      </x:c>
      <x:c r="G13" s="1521" t="str">
        <x:v>Excel数式/手動確認</x:v>
      </x:c>
      <x:c r="H13" s="1521" t="str">
        <x:v>半自動</x:v>
      </x:c>
      <x:c r="I13" s="1521" t="str">
        <x:v>必須</x:v>
      </x:c>
      <x:c r="J13" s="1521" t="str">
        <x:v>13/15</x:v>
      </x:c>
      <x:c r="K13" s="1521" t="str">
        <x:v>AT-006/007合格</x:v>
      </x:c>
      <x:c r="L13" s="1521" t="str">
        <x:v>候補不足時は件数縮小</x:v>
      </x:c>
      <x:c r="M13" s="1521" t="str">
        <x:v>診断責任者</x:v>
      </x:c>
      <x:c r="N13" s="1521" t="str">
        <x:v>未着手</x:v>
      </x:c>
      <x:c r="O13" s="1521" t="str"/>
      <x:c r="P13" s="2145" t="str"/>
    </x:row>
    <x:row r="14">
      <x:c r="A14" s="2144" t="str">
        <x:v>MVP-010</x:v>
      </x:c>
      <x:c r="B14" s="1521" t="str">
        <x:v>コメントコード選択</x:v>
      </x:c>
      <x:c r="C14" s="1521" t="str">
        <x:v>診断担当</x:v>
      </x:c>
      <x:c r="D14" s="1521" t="str">
        <x:v>KPI、Guardrail、TOP5、Level</x:v>
      </x:c>
      <x:c r="E14" s="1521" t="str">
        <x:v>14の順序で07/15から選択</x:v>
      </x:c>
      <x:c r="F14" s="1521" t="str">
        <x:v>承認済み文章部品</x:v>
      </x:c>
      <x:c r="G14" s="1521" t="str">
        <x:v>参照表＋AI補助</x:v>
      </x:c>
      <x:c r="H14" s="1521" t="str">
        <x:v>半自動</x:v>
      </x:c>
      <x:c r="I14" s="1521" t="str">
        <x:v>必須</x:v>
      </x:c>
      <x:c r="J14" s="1521" t="str">
        <x:v>07/14/15</x:v>
      </x:c>
      <x:c r="K14" s="1521" t="str">
        <x:v>未承認文を使用しない</x:v>
      </x:c>
      <x:c r="L14" s="1521" t="str">
        <x:v>コード欠落は停止</x:v>
      </x:c>
      <x:c r="M14" s="1521" t="str">
        <x:v>診断責任者</x:v>
      </x:c>
      <x:c r="N14" s="1521" t="str">
        <x:v>未着手</x:v>
      </x:c>
      <x:c r="O14" s="1521" t="str"/>
      <x:c r="P14" s="2145" t="str"/>
    </x:row>
    <x:row r="15">
      <x:c r="A15" s="2144" t="str">
        <x:v>MVP-011</x:v>
      </x:c>
      <x:c r="B15" s="1521" t="str">
        <x:v>AI文章整形</x:v>
      </x:c>
      <x:c r="C15" s="1521" t="str">
        <x:v>診断担当</x:v>
      </x:c>
      <x:c r="D15" s="1521" t="str">
        <x:v>承認済み部品、必要Evidence</x:v>
      </x:c>
      <x:c r="E15" s="1521" t="str">
        <x:v>接続、重複整理、長さ調整、禁止事項検査</x:v>
      </x:c>
      <x:c r="F15" s="1521" t="str">
        <x:v>A3用下書き</x:v>
      </x:c>
      <x:c r="G15" s="1521" t="str">
        <x:v>ナレナビ/有料AIチャット</x:v>
      </x:c>
      <x:c r="H15" s="1521" t="str">
        <x:v>手動起動</x:v>
      </x:c>
      <x:c r="I15" s="1521" t="str">
        <x:v>必須</x:v>
      </x:c>
      <x:c r="J15" s="1521" t="str">
        <x:v>09/14/46/50</x:v>
      </x:c>
      <x:c r="K15" s="1521" t="str">
        <x:v>順位・数値・断定が不変</x:v>
      </x:c>
      <x:c r="L15" s="1521" t="str">
        <x:v>テンプレート原文使用</x:v>
      </x:c>
      <x:c r="M15" s="1521" t="str">
        <x:v>診断責任者</x:v>
      </x:c>
      <x:c r="N15" s="1521" t="str">
        <x:v>未着手</x:v>
      </x:c>
      <x:c r="O15" s="1521" t="str"/>
      <x:c r="P15" s="2145" t="str"/>
    </x:row>
    <x:row r="16">
      <x:c r="A16" s="2144" t="str">
        <x:v>MVP-012</x:v>
      </x:c>
      <x:c r="B16" s="1521" t="str">
        <x:v>A3レポート生成</x:v>
      </x:c>
      <x:c r="C16" s="1521" t="str">
        <x:v>診断担当</x:v>
      </x:c>
      <x:c r="D16" s="1521" t="str">
        <x:v>確定結果、文章</x:v>
      </x:c>
      <x:c r="E16" s="1521" t="str">
        <x:v>18・19へ差し込み</x:v>
      </x:c>
      <x:c r="F16" s="1521" t="str">
        <x:v>A3横2ページ</x:v>
      </x:c>
      <x:c r="G16" s="1521" t="str">
        <x:v>Excelテンプレート</x:v>
      </x:c>
      <x:c r="H16" s="1521" t="str">
        <x:v>半自動</x:v>
      </x:c>
      <x:c r="I16" s="1521" t="str">
        <x:v>必須</x:v>
      </x:c>
      <x:c r="J16" s="1521" t="str">
        <x:v>18/19</x:v>
      </x:c>
      <x:c r="K16" s="1521" t="str">
        <x:v>文字切れなくPDF化</x:v>
      </x:c>
      <x:c r="L16" s="1521" t="str">
        <x:v>手動調整</x:v>
      </x:c>
      <x:c r="M16" s="1521" t="str">
        <x:v>診断担当</x:v>
      </x:c>
      <x:c r="N16" s="1521" t="str">
        <x:v>未着手</x:v>
      </x:c>
      <x:c r="O16" s="1521" t="str"/>
      <x:c r="P16" s="2145" t="str"/>
    </x:row>
    <x:row r="17">
      <x:c r="A17" s="2144" t="str">
        <x:v>MVP-013</x:v>
      </x:c>
      <x:c r="B17" s="1521" t="str">
        <x:v>最終承認</x:v>
      </x:c>
      <x:c r="C17" s="1521" t="str">
        <x:v>診断責任者</x:v>
      </x:c>
      <x:c r="D17" s="1521" t="str">
        <x:v>PDF、チェックリスト</x:v>
      </x:c>
      <x:c r="E17" s="1521" t="str">
        <x:v>顧客情報、根拠、表現、免責、Versionを確認</x:v>
      </x:c>
      <x:c r="F17" s="1521" t="str">
        <x:v>承認/差戻し</x:v>
      </x:c>
      <x:c r="G17" s="1521" t="str">
        <x:v>チェック欄</x:v>
      </x:c>
      <x:c r="H17" s="1521" t="str">
        <x:v>手動</x:v>
      </x:c>
      <x:c r="I17" s="1521" t="str">
        <x:v>必須</x:v>
      </x:c>
      <x:c r="J17" s="1521" t="str">
        <x:v>35/36/55</x:v>
      </x:c>
      <x:c r="K17" s="1521" t="str">
        <x:v>承認前送付不可</x:v>
      </x:c>
      <x:c r="L17" s="1521" t="str">
        <x:v>差戻し記録</x:v>
      </x:c>
      <x:c r="M17" s="1521" t="str">
        <x:v>診断責任者</x:v>
      </x:c>
      <x:c r="N17" s="1521" t="str">
        <x:v>未着手</x:v>
      </x:c>
      <x:c r="O17" s="1521" t="str"/>
      <x:c r="P17" s="2145" t="str"/>
    </x:row>
    <x:row r="18">
      <x:c r="A18" s="2144" t="str">
        <x:v>MVP-014</x:v>
      </x:c>
      <x:c r="B18" s="1521" t="str">
        <x:v>顧客送付・営業フォロー</x:v>
      </x:c>
      <x:c r="C18" s="1521" t="str">
        <x:v>営業</x:v>
      </x:c>
      <x:c r="D18" s="1521" t="str">
        <x:v>承認済みPDF、送付先</x:v>
      </x:c>
      <x:c r="E18" s="1521" t="str">
        <x:v>宛先確認、送付記録、5営業日内フォロー</x:v>
      </x:c>
      <x:c r="F18" s="1521" t="str">
        <x:v>メール、活動ToDo</x:v>
      </x:c>
      <x:c r="G18" s="1521" t="str">
        <x:v>Outlook/営業記録</x:v>
      </x:c>
      <x:c r="H18" s="1521" t="str">
        <x:v>手動＋AI文案</x:v>
      </x:c>
      <x:c r="I18" s="1521" t="str">
        <x:v>必須</x:v>
      </x:c>
      <x:c r="J18" s="1521" t="str">
        <x:v>43/54</x:v>
      </x:c>
      <x:c r="K18" s="1521" t="str">
        <x:v>送付・フォロー履歴が残る</x:v>
      </x:c>
      <x:c r="L18" s="1521" t="str">
        <x:v>誤送信手順</x:v>
      </x:c>
      <x:c r="M18" s="1521" t="str">
        <x:v>営業責任者</x:v>
      </x:c>
      <x:c r="N18" s="1521" t="str">
        <x:v>未着手</x:v>
      </x:c>
      <x:c r="O18" s="1521" t="str"/>
      <x:c r="P18" s="2145" t="str"/>
    </x:row>
    <x:row r="19">
      <x:c r="A19" s="2149" t="str">
        <x:v>MVP-015</x:v>
      </x:c>
      <x:c r="B19" s="2120" t="str">
        <x:v>Version・監査記録</x:v>
      </x:c>
      <x:c r="C19" s="2120" t="str">
        <x:v>運用担当</x:v>
      </x:c>
      <x:c r="D19" s="2120" t="str">
        <x:v>質問、式、コメント、AI、PDF Version</x:v>
      </x:c>
      <x:c r="E19" s="2120" t="str">
        <x:v>使用Versionと処理者・日時を記録</x:v>
      </x:c>
      <x:c r="F19" s="2120" t="str">
        <x:v>監査レコード</x:v>
      </x:c>
      <x:c r="G19" s="2120" t="str">
        <x:v>Excel台帳</x:v>
      </x:c>
      <x:c r="H19" s="2120" t="str">
        <x:v>手動/半自動</x:v>
      </x:c>
      <x:c r="I19" s="2120" t="str">
        <x:v>必須</x:v>
      </x:c>
      <x:c r="J19" s="2120" t="str">
        <x:v>12/23/33/54</x:v>
      </x:c>
      <x:c r="K19" s="2120" t="str">
        <x:v>診断結果を再現可能</x:v>
      </x:c>
      <x:c r="L19" s="2120" t="str">
        <x:v>記録不足は発行停止</x:v>
      </x:c>
      <x:c r="M19" s="2120" t="str">
        <x:v>運用担当</x:v>
      </x:c>
      <x:c r="N19" s="2120" t="str">
        <x:v>未着手</x:v>
      </x:c>
      <x:c r="O19" s="2120" t="str"/>
      <x:c r="P19" s="2150" t="str"/>
    </x:row>
    <x:row r="20">
      <x:c r="A20" s="2144" t="str">
        <x:v>MVP-016</x:v>
      </x:c>
      <x:c r="B20" s="1521" t="str">
        <x:v>公開LP・フォーム構築</x:v>
      </x:c>
      <x:c r="C20" s="1521" t="str">
        <x:v>顧客/営業</x:v>
      </x:c>
      <x:c r="D20" s="1521" t="str">
        <x:v>会社・工場・連絡先、診断回答、レポート希望</x:v>
      </x:c>
      <x:c r="E20" s="1521" t="str">
        <x:v>48の分離方針に従い、ファイル添付なしで受付</x:v>
      </x:c>
      <x:c r="F20" s="1521" t="str">
        <x:v>公開Web・テスト受付</x:v>
      </x:c>
      <x:c r="G20" s="1521" t="str">
        <x:v>既存Web/CMS/フォーム</x:v>
      </x:c>
      <x:c r="H20" s="1521" t="str">
        <x:v>半自動</x:v>
      </x:c>
      <x:c r="I20" s="1521" t="str">
        <x:v>必須</x:v>
      </x:c>
      <x:c r="J20" s="1521" t="str">
        <x:v>20/21/43/48/51</x:v>
      </x:c>
      <x:c r="K20" s="1521" t="str">
        <x:v>受付停止中でも社内テスト送信可能</x:v>
      </x:c>
      <x:c r="L20" s="1521" t="str">
        <x:v>不具合時は受付停止表示</x:v>
      </x:c>
      <x:c r="M20" s="1521" t="str">
        <x:v>Web担当/情シス</x:v>
      </x:c>
      <x:c r="N20" s="1521" t="str">
        <x:v>未着手</x:v>
      </x:c>
      <x:c r="O20" s="1521" t="str"/>
      <x:c r="P20" s="2145" t="str">
        <x:v>Stage1A</x:v>
      </x:c>
    </x:row>
    <x:row r="21">
      <x:c r="A21" s="2144" t="str">
        <x:v>MVP-017</x:v>
      </x:c>
      <x:c r="B21" s="1521" t="str">
        <x:v>受付停止・開始制御</x:v>
      </x:c>
      <x:c r="C21" s="1521" t="str">
        <x:v>Web担当/情シス</x:v>
      </x:c>
      <x:c r="D21" s="1521" t="str">
        <x:v>受付状態、案内文</x:v>
      </x:c>
      <x:c r="E21" s="1521" t="str">
        <x:v>期間外は入力受付を停止し、準備中表示または送信不可</x:v>
      </x:c>
      <x:c r="F21" s="1521" t="str">
        <x:v>受付状態・表示文</x:v>
      </x:c>
      <x:c r="G21" s="1521" t="str">
        <x:v>Web/CMS設定</x:v>
      </x:c>
      <x:c r="H21" s="1521" t="str">
        <x:v>手動</x:v>
      </x:c>
      <x:c r="I21" s="1521" t="str">
        <x:v>必須</x:v>
      </x:c>
      <x:c r="J21" s="1521" t="str">
        <x:v>43/47/48/51</x:v>
      </x:c>
      <x:c r="K21" s="1521" t="str">
        <x:v>一般利用者が期間外に送信できない</x:v>
      </x:c>
      <x:c r="L21" s="1521" t="str">
        <x:v>即時停止できる</x:v>
      </x:c>
      <x:c r="M21" s="1521" t="str">
        <x:v>Web担当/情シス</x:v>
      </x:c>
      <x:c r="N21" s="1521" t="str">
        <x:v>未着手</x:v>
      </x:c>
      <x:c r="O21" s="1521" t="str"/>
      <x:c r="P21" s="2145" t="str">
        <x:v>Stage1A/1C</x:v>
      </x:c>
    </x:row>
    <x:row r="22">
      <x:c r="A22" s="2144" t="str">
        <x:v>MVP-018</x:v>
      </x:c>
      <x:c r="B22" s="1521" t="str">
        <x:v>公開Web起点の通し試験</x:v>
      </x:c>
      <x:c r="C22" s="1521" t="str">
        <x:v>社内テスト担当</x:v>
      </x:c>
      <x:c r="D22" s="1521" t="str">
        <x:v>模擬案件3件</x:v>
      </x:c>
      <x:c r="E22" s="1521" t="str">
        <x:v>Web受付→台帳→診断→A3→承認→送付まで実行</x:v>
      </x:c>
      <x:c r="F22" s="1521" t="str">
        <x:v>通し試験記録</x:v>
      </x:c>
      <x:c r="G22" s="1521" t="str">
        <x:v>既存Web＋Stage1MVP</x:v>
      </x:c>
      <x:c r="H22" s="1521" t="str">
        <x:v>手動/半自動</x:v>
      </x:c>
      <x:c r="I22" s="1521" t="str">
        <x:v>必須</x:v>
      </x:c>
      <x:c r="J22" s="1521" t="str">
        <x:v>51～55</x:v>
      </x:c>
      <x:c r="K22" s="1521" t="str">
        <x:v>模擬3件が全工程を完了</x:v>
      </x:c>
      <x:c r="L22" s="1521" t="str">
        <x:v>不具合は受付停止継続</x:v>
      </x:c>
      <x:c r="M22" s="1521" t="str">
        <x:v>QA責任者</x:v>
      </x:c>
      <x:c r="N22" s="1521" t="str">
        <x:v>未着手</x:v>
      </x:c>
      <x:c r="O22" s="1521" t="str"/>
      <x:c r="P22" s="2145" t="str">
        <x:v>Stage1C</x:v>
      </x:c>
    </x:row>
    <x:row r="23">
      <x:c r="A23" s="2146" t="str">
        <x:v>MVP-019</x:v>
      </x:c>
      <x:c r="B23" s="2147" t="str">
        <x:v>受付開始判定</x:v>
      </x:c>
      <x:c r="C23" s="2147" t="str">
        <x:v>事業責任者</x:v>
      </x:c>
      <x:c r="D23" s="2147" t="str">
        <x:v>Stage1A～1C結果</x:v>
      </x:c>
      <x:c r="E23" s="2147" t="str">
        <x:v>55のS項目と公開Webテスト結果を確認</x:v>
      </x:c>
      <x:c r="F23" s="2147" t="str">
        <x:v>開始承認/延期</x:v>
      </x:c>
      <x:c r="G23" s="2147" t="str">
        <x:v>判定チェック</x:v>
      </x:c>
      <x:c r="H23" s="2147" t="str">
        <x:v>手動</x:v>
      </x:c>
      <x:c r="I23" s="2147" t="str">
        <x:v>必須</x:v>
      </x:c>
      <x:c r="J23" s="2147" t="str">
        <x:v>36/47/55/56</x:v>
      </x:c>
      <x:c r="K23" s="2147" t="str">
        <x:v>承認前に受付を開始しない</x:v>
      </x:c>
      <x:c r="L23" s="2147" t="str">
        <x:v>延期理由と期限を記録</x:v>
      </x:c>
      <x:c r="M23" s="2147" t="str">
        <x:v>事業責任者</x:v>
      </x:c>
      <x:c r="N23" s="2147" t="str">
        <x:v>未着手</x:v>
      </x:c>
      <x:c r="O23" s="2147" t="str"/>
      <x:c r="P23" s="2148" t="str">
        <x:v>Stage1C</x:v>
      </x:c>
    </x:row>
  </x:sheetData>
  <x:mergeCells>
    <x:mergeCell ref="A1:P1"/>
    <x:mergeCell ref="A2:P2"/>
  </x:mergeCells>
  <x:dataValidations count="3">
    <x:dataValidation type="list" sqref="H5:H19">
      <x:formula1>"自動,半自動,手動,手動起動"</x:formula1>
    </x:dataValidation>
    <x:dataValidation type="list" sqref="I5:I19">
      <x:formula1>"必須,任意"</x:formula1>
    </x:dataValidation>
    <x:dataValidation type="list" sqref="N5:N19">
      <x:formula1>"未着手,設計中,実装中,テスト中,完了,保留"</x:formula1>
    </x:dataValidation>
  </x:dataValidations>
  <x:pageMargins left="0.7" right="0.7" top="0.75" bottom="0.75" header="0.3" footer="0.3"/>
</x:worksheet>
</file>

<file path=xl/worksheets/sheet54.xml><?xml version="1.0" encoding="utf-8"?>
<x:worksheet xmlns:x="http://schemas.openxmlformats.org/spreadsheetml/2006/main">
  <x:sheetFormatPr defaultRowHeight="15"/>
  <x:cols>
    <x:col min="1" max="1" width="12" hidden="0" customWidth="1"/>
    <x:col min="2" max="2" width="16" hidden="0" customWidth="1"/>
    <x:col min="3" max="3" width="22" hidden="0" customWidth="1"/>
    <x:col min="4" max="4" width="22" hidden="0" customWidth="1"/>
    <x:col min="5" max="5" width="16" hidden="0" customWidth="1"/>
    <x:col min="6" max="6" width="12" hidden="0" customWidth="1"/>
    <x:col min="7" max="7" width="18" hidden="0" customWidth="1"/>
    <x:col min="8" max="8" width="24" hidden="0" customWidth="1"/>
    <x:col min="9" max="9" width="26" hidden="0" customWidth="1"/>
    <x:col min="10" max="10" width="16" hidden="0" customWidth="1"/>
    <x:col min="11" max="11" width="16" hidden="0" customWidth="1"/>
    <x:col min="12" max="12" width="24" hidden="0" customWidth="1"/>
    <x:col min="13" max="13" width="18" hidden="0" customWidth="1"/>
    <x:col min="14" max="14" width="18" hidden="0" customWidth="1"/>
    <x:col min="15" max="15" width="18" hidden="0" customWidth="1"/>
    <x:col min="16" max="16" width="22" hidden="0" customWidth="1"/>
  </x:cols>
  <x:sheetData>
    <x:row r="1" ht="28" customHeight="1">
      <x:c r="A1" s="2080" t="str">
        <x:v>53_Stage1データ項目</x:v>
      </x:c>
      <x:c r="B1" s="2080"/>
      <x:c r="C1" s="2080"/>
      <x:c r="D1" s="2080"/>
      <x:c r="E1" s="2080"/>
      <x:c r="F1" s="2080"/>
      <x:c r="G1" s="2080"/>
      <x:c r="H1" s="2080"/>
      <x:c r="I1" s="2080"/>
      <x:c r="J1" s="2080"/>
      <x:c r="K1" s="2080"/>
      <x:c r="L1" s="2080"/>
      <x:c r="M1" s="2080"/>
      <x:c r="N1" s="2080"/>
      <x:c r="O1" s="2080"/>
      <x:c r="P1" s="2080"/>
    </x:row>
    <x:row r="2" ht="36" customHeight="1">
      <x:c r="A2" s="2083" t="str">
        <x:v>Stage1の案件台帳、回答、Evidence、診断結果、承認、送付履歴で保持する最小データ項目。</x:v>
      </x:c>
      <x:c r="B2" s="2083"/>
      <x:c r="C2" s="2083"/>
      <x:c r="D2" s="2083"/>
      <x:c r="E2" s="2083"/>
      <x:c r="F2" s="2083"/>
      <x:c r="G2" s="2083"/>
      <x:c r="H2" s="2083"/>
      <x:c r="I2" s="2083"/>
      <x:c r="J2" s="2083"/>
      <x:c r="K2" s="2083"/>
      <x:c r="L2" s="2083"/>
      <x:c r="M2" s="2083"/>
      <x:c r="N2" s="2083"/>
      <x:c r="O2" s="2083"/>
      <x:c r="P2" s="2083"/>
    </x:row>
    <x:row r="4" ht="38" customHeight="1">
      <x:c r="A4" s="2095" t="str">
        <x:v>項目ID</x:v>
      </x:c>
      <x:c r="B4" s="2096" t="str">
        <x:v>エンティティ</x:v>
      </x:c>
      <x:c r="C4" s="2096" t="str">
        <x:v>項目名</x:v>
      </x:c>
      <x:c r="D4" s="2096" t="str">
        <x:v>論理名</x:v>
      </x:c>
      <x:c r="E4" s="2096" t="str">
        <x:v>データ型</x:v>
      </x:c>
      <x:c r="F4" s="2096" t="str">
        <x:v>必須</x:v>
      </x:c>
      <x:c r="G4" s="2096" t="str">
        <x:v>入力元</x:v>
      </x:c>
      <x:c r="H4" s="2096" t="str">
        <x:v>例</x:v>
      </x:c>
      <x:c r="I4" s="2096" t="str">
        <x:v>検証ルール</x:v>
      </x:c>
      <x:c r="J4" s="2096" t="str">
        <x:v>秘密区分</x:v>
      </x:c>
      <x:c r="K4" s="2096" t="str">
        <x:v>AI利用</x:v>
      </x:c>
      <x:c r="L4" s="2096" t="str">
        <x:v>保存先候補</x:v>
      </x:c>
      <x:c r="M4" s="2096" t="str">
        <x:v>更新者</x:v>
      </x:c>
      <x:c r="N4" s="2096" t="str">
        <x:v>保持期間</x:v>
      </x:c>
      <x:c r="O4" s="2096" t="str">
        <x:v>出力先</x:v>
      </x:c>
      <x:c r="P4" s="2097" t="str">
        <x:v>備考</x:v>
      </x:c>
    </x:row>
    <x:row r="5">
      <x:c r="A5" s="2114" t="str">
        <x:v>DAT-001</x:v>
      </x:c>
      <x:c r="B5" s="2115" t="str">
        <x:v>案件</x:v>
      </x:c>
      <x:c r="C5" s="2115" t="str">
        <x:v>診断ID</x:v>
      </x:c>
      <x:c r="D5" s="2115" t="str">
        <x:v>diagnosis_id</x:v>
      </x:c>
      <x:c r="E5" s="2115" t="str">
        <x:v>文字列</x:v>
      </x:c>
      <x:c r="F5" s="2115" t="str">
        <x:v>必須</x:v>
      </x:c>
      <x:c r="G5" s="2115" t="str">
        <x:v>自動/担当者</x:v>
      </x:c>
      <x:c r="H5" s="2115" t="str">
        <x:v>ED-2026-0001</x:v>
      </x:c>
      <x:c r="I5" s="2115" t="str">
        <x:v>一意、変更不可</x:v>
      </x:c>
      <x:c r="J5" s="2115" t="str">
        <x:v>秘密</x:v>
      </x:c>
      <x:c r="K5" s="2115" t="str">
        <x:v>可</x:v>
      </x:c>
      <x:c r="L5" s="2115" t="str">
        <x:v>診断台帳</x:v>
      </x:c>
      <x:c r="M5" s="2115" t="str">
        <x:v>運用担当</x:v>
      </x:c>
      <x:c r="N5" s="2115" t="str">
        <x:v>規程準拠</x:v>
      </x:c>
      <x:c r="O5" s="2115" t="str">
        <x:v>全記録</x:v>
      </x:c>
      <x:c r="P5" s="2116" t="str"/>
    </x:row>
    <x:row r="6">
      <x:c r="A6" s="2117" t="str">
        <x:v>DAT-002</x:v>
      </x:c>
      <x:c r="B6" s="1521" t="str">
        <x:v>案件</x:v>
      </x:c>
      <x:c r="C6" s="1521" t="str">
        <x:v>会社名</x:v>
      </x:c>
      <x:c r="D6" s="1521" t="str">
        <x:v>company_name</x:v>
      </x:c>
      <x:c r="E6" s="1521" t="str">
        <x:v>文字列</x:v>
      </x:c>
      <x:c r="F6" s="1521" t="str">
        <x:v>必須</x:v>
      </x:c>
      <x:c r="G6" s="1521" t="str">
        <x:v>フォーム/担当者</x:v>
      </x:c>
      <x:c r="H6" s="1521" t="str">
        <x:v>株式会社○○</x:v>
      </x:c>
      <x:c r="I6" s="1521" t="str">
        <x:v>200文字以内</x:v>
      </x:c>
      <x:c r="J6" s="1521" t="str">
        <x:v>秘密</x:v>
      </x:c>
      <x:c r="K6" s="1521" t="str">
        <x:v>条件付き可</x:v>
      </x:c>
      <x:c r="L6" s="1521" t="str">
        <x:v>案件台帳</x:v>
      </x:c>
      <x:c r="M6" s="1521" t="str">
        <x:v>営業</x:v>
      </x:c>
      <x:c r="N6" s="1521" t="str">
        <x:v>規程準拠</x:v>
      </x:c>
      <x:c r="O6" s="1521" t="str">
        <x:v>A3</x:v>
      </x:c>
      <x:c r="P6" s="2118" t="str"/>
    </x:row>
    <x:row r="7">
      <x:c r="A7" s="2117" t="str">
        <x:v>DAT-003</x:v>
      </x:c>
      <x:c r="B7" s="1521" t="str">
        <x:v>案件</x:v>
      </x:c>
      <x:c r="C7" s="1521" t="str">
        <x:v>工場・事業所名</x:v>
      </x:c>
      <x:c r="D7" s="1521" t="str">
        <x:v>site_name</x:v>
      </x:c>
      <x:c r="E7" s="1521" t="str">
        <x:v>文字列</x:v>
      </x:c>
      <x:c r="F7" s="1521" t="str">
        <x:v>任意</x:v>
      </x:c>
      <x:c r="G7" s="1521" t="str">
        <x:v>フォーム/担当者</x:v>
      </x:c>
      <x:c r="H7" s="1521" t="str">
        <x:v>大阪工場</x:v>
      </x:c>
      <x:c r="I7" s="1521" t="str">
        <x:v>200文字以内</x:v>
      </x:c>
      <x:c r="J7" s="1521" t="str">
        <x:v>秘密</x:v>
      </x:c>
      <x:c r="K7" s="1521" t="str">
        <x:v>条件付き可</x:v>
      </x:c>
      <x:c r="L7" s="1521" t="str">
        <x:v>案件台帳</x:v>
      </x:c>
      <x:c r="M7" s="1521" t="str">
        <x:v>営業</x:v>
      </x:c>
      <x:c r="N7" s="1521" t="str">
        <x:v>規程準拠</x:v>
      </x:c>
      <x:c r="O7" s="1521" t="str">
        <x:v>A3</x:v>
      </x:c>
      <x:c r="P7" s="2118" t="str"/>
    </x:row>
    <x:row r="8">
      <x:c r="A8" s="2117" t="str">
        <x:v>DAT-004</x:v>
      </x:c>
      <x:c r="B8" s="1521" t="str">
        <x:v>案件</x:v>
      </x:c>
      <x:c r="C8" s="1521" t="str">
        <x:v>担当者名</x:v>
      </x:c>
      <x:c r="D8" s="1521" t="str">
        <x:v>contact_name</x:v>
      </x:c>
      <x:c r="E8" s="1521" t="str">
        <x:v>文字列</x:v>
      </x:c>
      <x:c r="F8" s="1521" t="str">
        <x:v>必須</x:v>
      </x:c>
      <x:c r="G8" s="1521" t="str">
        <x:v>フォーム/担当者</x:v>
      </x:c>
      <x:c r="H8" s="1521" t="str">
        <x:v>山田 太郎</x:v>
      </x:c>
      <x:c r="I8" s="1521" t="str">
        <x:v>200文字以内</x:v>
      </x:c>
      <x:c r="J8" s="1521" t="str">
        <x:v>秘密</x:v>
      </x:c>
      <x:c r="K8" s="1521" t="str">
        <x:v>条件付き可</x:v>
      </x:c>
      <x:c r="L8" s="1521" t="str">
        <x:v>案件台帳</x:v>
      </x:c>
      <x:c r="M8" s="1521" t="str">
        <x:v>営業</x:v>
      </x:c>
      <x:c r="N8" s="1521" t="str">
        <x:v>規程準拠</x:v>
      </x:c>
      <x:c r="O8" s="1521" t="str">
        <x:v>送付</x:v>
      </x:c>
      <x:c r="P8" s="2118" t="str"/>
    </x:row>
    <x:row r="9">
      <x:c r="A9" s="2117" t="str">
        <x:v>DAT-005</x:v>
      </x:c>
      <x:c r="B9" s="1521" t="str">
        <x:v>案件</x:v>
      </x:c>
      <x:c r="C9" s="1521" t="str">
        <x:v>メールアドレス</x:v>
      </x:c>
      <x:c r="D9" s="1521" t="str">
        <x:v>contact_email</x:v>
      </x:c>
      <x:c r="E9" s="1521" t="str">
        <x:v>文字列</x:v>
      </x:c>
      <x:c r="F9" s="1521" t="str">
        <x:v>必須</x:v>
      </x:c>
      <x:c r="G9" s="1521" t="str">
        <x:v>フォーム/担当者</x:v>
      </x:c>
      <x:c r="H9" s="1521" t="str">
        <x:v>user@example.jp</x:v>
      </x:c>
      <x:c r="I9" s="1521" t="str">
        <x:v>メール形式</x:v>
      </x:c>
      <x:c r="J9" s="1521" t="str">
        <x:v>秘密</x:v>
      </x:c>
      <x:c r="K9" s="1521" t="str">
        <x:v>原則不可</x:v>
      </x:c>
      <x:c r="L9" s="1521" t="str">
        <x:v>案件台帳</x:v>
      </x:c>
      <x:c r="M9" s="1521" t="str">
        <x:v>営業</x:v>
      </x:c>
      <x:c r="N9" s="1521" t="str">
        <x:v>規程準拠</x:v>
      </x:c>
      <x:c r="O9" s="1521" t="str">
        <x:v>送付</x:v>
      </x:c>
      <x:c r="P9" s="2118" t="str"/>
    </x:row>
    <x:row r="10">
      <x:c r="A10" s="2117" t="str">
        <x:v>DAT-006</x:v>
      </x:c>
      <x:c r="B10" s="1521" t="str">
        <x:v>案件</x:v>
      </x:c>
      <x:c r="C10" s="1521" t="str">
        <x:v>電話番号</x:v>
      </x:c>
      <x:c r="D10" s="1521" t="str">
        <x:v>contact_phone</x:v>
      </x:c>
      <x:c r="E10" s="1521" t="str">
        <x:v>文字列</x:v>
      </x:c>
      <x:c r="F10" s="1521" t="str">
        <x:v>任意</x:v>
      </x:c>
      <x:c r="G10" s="1521" t="str">
        <x:v>フォーム/担当者</x:v>
      </x:c>
      <x:c r="H10" s="1521" t="str">
        <x:v>06-0000-0000</x:v>
      </x:c>
      <x:c r="I10" s="1521" t="str">
        <x:v>30文字以内</x:v>
      </x:c>
      <x:c r="J10" s="1521" t="str">
        <x:v>秘密</x:v>
      </x:c>
      <x:c r="K10" s="1521" t="str">
        <x:v>原則不可</x:v>
      </x:c>
      <x:c r="L10" s="1521" t="str">
        <x:v>案件台帳</x:v>
      </x:c>
      <x:c r="M10" s="1521" t="str">
        <x:v>営業</x:v>
      </x:c>
      <x:c r="N10" s="1521" t="str">
        <x:v>規程準拠</x:v>
      </x:c>
      <x:c r="O10" s="1521" t="str">
        <x:v>フォロー</x:v>
      </x:c>
      <x:c r="P10" s="2118" t="str"/>
    </x:row>
    <x:row r="11">
      <x:c r="A11" s="2117" t="str">
        <x:v>DAT-007</x:v>
      </x:c>
      <x:c r="B11" s="1521" t="str">
        <x:v>案件</x:v>
      </x:c>
      <x:c r="C11" s="1521" t="str">
        <x:v>紹介営業担当</x:v>
      </x:c>
      <x:c r="D11" s="1521" t="str">
        <x:v>sales_owner</x:v>
      </x:c>
      <x:c r="E11" s="1521" t="str">
        <x:v>選択</x:v>
      </x:c>
      <x:c r="F11" s="1521" t="str">
        <x:v>必須</x:v>
      </x:c>
      <x:c r="G11" s="1521" t="str">
        <x:v>営業</x:v>
      </x:c>
      <x:c r="H11" s="1521" t="str">
        <x:v>担当者名</x:v>
      </x:c>
      <x:c r="I11" s="1521" t="str">
        <x:v>社内名簿</x:v>
      </x:c>
      <x:c r="J11" s="1521" t="str">
        <x:v>社内</x:v>
      </x:c>
      <x:c r="K11" s="1521" t="str">
        <x:v>可</x:v>
      </x:c>
      <x:c r="L11" s="1521" t="str">
        <x:v>案件台帳</x:v>
      </x:c>
      <x:c r="M11" s="1521" t="str">
        <x:v>営業責任者</x:v>
      </x:c>
      <x:c r="N11" s="1521" t="str">
        <x:v>規程準拠</x:v>
      </x:c>
      <x:c r="O11" s="1521" t="str">
        <x:v>通知</x:v>
      </x:c>
      <x:c r="P11" s="2118" t="str"/>
    </x:row>
    <x:row r="12">
      <x:c r="A12" s="2117" t="str">
        <x:v>DAT-008</x:v>
      </x:c>
      <x:c r="B12" s="1521" t="str">
        <x:v>案件</x:v>
      </x:c>
      <x:c r="C12" s="1521" t="str">
        <x:v>受付日時</x:v>
      </x:c>
      <x:c r="D12" s="1521" t="str">
        <x:v>received_at</x:v>
      </x:c>
      <x:c r="E12" s="1521" t="str">
        <x:v>日時</x:v>
      </x:c>
      <x:c r="F12" s="1521" t="str">
        <x:v>必須</x:v>
      </x:c>
      <x:c r="G12" s="1521" t="str">
        <x:v>システム/担当者</x:v>
      </x:c>
      <x:c r="H12" s="1521" t="str">
        <x:v>2026-07-26 10:00</x:v>
      </x:c>
      <x:c r="I12" s="1521" t="str">
        <x:v>日時</x:v>
      </x:c>
      <x:c r="J12" s="1521" t="str">
        <x:v>社内</x:v>
      </x:c>
      <x:c r="K12" s="1521" t="str">
        <x:v>可</x:v>
      </x:c>
      <x:c r="L12" s="1521" t="str">
        <x:v>案件台帳</x:v>
      </x:c>
      <x:c r="M12" s="1521" t="str">
        <x:v>運用担当</x:v>
      </x:c>
      <x:c r="N12" s="1521" t="str">
        <x:v>規程準拠</x:v>
      </x:c>
      <x:c r="O12" s="1521" t="str">
        <x:v>KPI</x:v>
      </x:c>
      <x:c r="P12" s="2118" t="str"/>
    </x:row>
    <x:row r="13">
      <x:c r="A13" s="2117" t="str">
        <x:v>DAT-009</x:v>
      </x:c>
      <x:c r="B13" s="1521" t="str">
        <x:v>回答</x:v>
      </x:c>
      <x:c r="C13" s="1521" t="str">
        <x:v>質問ID</x:v>
      </x:c>
      <x:c r="D13" s="1521" t="str">
        <x:v>question_id</x:v>
      </x:c>
      <x:c r="E13" s="1521" t="str">
        <x:v>文字列</x:v>
      </x:c>
      <x:c r="F13" s="1521" t="str">
        <x:v>必須</x:v>
      </x:c>
      <x:c r="G13" s="1521" t="str">
        <x:v>01</x:v>
      </x:c>
      <x:c r="H13" s="1521" t="str">
        <x:v>Q101</x:v>
      </x:c>
      <x:c r="I13" s="1521" t="str">
        <x:v>マスター存在</x:v>
      </x:c>
      <x:c r="J13" s="1521" t="str">
        <x:v>社内</x:v>
      </x:c>
      <x:c r="K13" s="1521" t="str">
        <x:v>可</x:v>
      </x:c>
      <x:c r="L13" s="1521" t="str">
        <x:v>回答台帳</x:v>
      </x:c>
      <x:c r="M13" s="1521" t="str">
        <x:v>診断担当</x:v>
      </x:c>
      <x:c r="N13" s="1521" t="str">
        <x:v>Version期間</x:v>
      </x:c>
      <x:c r="O13" s="1521" t="str">
        <x:v>算定</x:v>
      </x:c>
      <x:c r="P13" s="2118" t="str"/>
    </x:row>
    <x:row r="14">
      <x:c r="A14" s="2117" t="str">
        <x:v>DAT-010</x:v>
      </x:c>
      <x:c r="B14" s="1521" t="str">
        <x:v>回答</x:v>
      </x:c>
      <x:c r="C14" s="1521" t="str">
        <x:v>回答値</x:v>
      </x:c>
      <x:c r="D14" s="1521" t="str">
        <x:v>answer_value</x:v>
      </x:c>
      <x:c r="E14" s="1521" t="str">
        <x:v>文字列/数値</x:v>
      </x:c>
      <x:c r="F14" s="1521" t="str">
        <x:v>必須</x:v>
      </x:c>
      <x:c r="G14" s="1521" t="str">
        <x:v>フォーム/担当者</x:v>
      </x:c>
      <x:c r="H14" s="1521" t="str">
        <x:v>A3</x:v>
      </x:c>
      <x:c r="I14" s="1521" t="str">
        <x:v>選択肢・範囲に一致</x:v>
      </x:c>
      <x:c r="J14" s="1521" t="str">
        <x:v>秘密</x:v>
      </x:c>
      <x:c r="K14" s="1521" t="str">
        <x:v>可</x:v>
      </x:c>
      <x:c r="L14" s="1521" t="str">
        <x:v>回答台帳</x:v>
      </x:c>
      <x:c r="M14" s="1521" t="str">
        <x:v>診断担当</x:v>
      </x:c>
      <x:c r="N14" s="1521" t="str">
        <x:v>規程準拠</x:v>
      </x:c>
      <x:c r="O14" s="1521" t="str">
        <x:v>算定</x:v>
      </x:c>
      <x:c r="P14" s="2118" t="str"/>
    </x:row>
    <x:row r="15">
      <x:c r="A15" s="2117" t="str">
        <x:v>DAT-011</x:v>
      </x:c>
      <x:c r="B15" s="1521" t="str">
        <x:v>回答</x:v>
      </x:c>
      <x:c r="C15" s="1521" t="str">
        <x:v>不明フラグ</x:v>
      </x:c>
      <x:c r="D15" s="1521" t="str">
        <x:v>unknown_flag</x:v>
      </x:c>
      <x:c r="E15" s="1521" t="str">
        <x:v>真偽</x:v>
      </x:c>
      <x:c r="F15" s="1521" t="str">
        <x:v>必須</x:v>
      </x:c>
      <x:c r="G15" s="1521" t="str">
        <x:v>回答</x:v>
      </x:c>
      <x:c r="H15" s="1521" t="str">
        <x:v>FALSE</x:v>
      </x:c>
      <x:c r="I15" s="1521" t="str">
        <x:v>TRUE/FALSE</x:v>
      </x:c>
      <x:c r="J15" s="1521" t="str">
        <x:v>社内</x:v>
      </x:c>
      <x:c r="K15" s="1521" t="str">
        <x:v>可</x:v>
      </x:c>
      <x:c r="L15" s="1521" t="str">
        <x:v>回答台帳</x:v>
      </x:c>
      <x:c r="M15" s="1521" t="str">
        <x:v>診断担当</x:v>
      </x:c>
      <x:c r="N15" s="1521" t="str">
        <x:v>規程準拠</x:v>
      </x:c>
      <x:c r="O15" s="1521" t="str">
        <x:v>充足率</x:v>
      </x:c>
      <x:c r="P15" s="2118" t="str"/>
    </x:row>
    <x:row r="16">
      <x:c r="A16" s="2117" t="str">
        <x:v>DAT-012</x:v>
      </x:c>
      <x:c r="B16" s="1521" t="str">
        <x:v>Evidence</x:v>
      </x:c>
      <x:c r="C16" s="1521" t="str">
        <x:v>資料ID</x:v>
      </x:c>
      <x:c r="D16" s="1521" t="str">
        <x:v>evidence_id</x:v>
      </x:c>
      <x:c r="E16" s="1521" t="str">
        <x:v>文字列</x:v>
      </x:c>
      <x:c r="F16" s="1521" t="str">
        <x:v>任意</x:v>
      </x:c>
      <x:c r="G16" s="1521" t="str">
        <x:v>担当者</x:v>
      </x:c>
      <x:c r="H16" s="1521" t="str">
        <x:v>EV-0001</x:v>
      </x:c>
      <x:c r="I16" s="1521" t="str">
        <x:v>案件内一意</x:v>
      </x:c>
      <x:c r="J16" s="1521" t="str">
        <x:v>秘密</x:v>
      </x:c>
      <x:c r="K16" s="1521" t="str">
        <x:v>可</x:v>
      </x:c>
      <x:c r="L16" s="1521" t="str">
        <x:v>Evidence台帳</x:v>
      </x:c>
      <x:c r="M16" s="1521" t="str">
        <x:v>営業/診断</x:v>
      </x:c>
      <x:c r="N16" s="1521" t="str">
        <x:v>規程準拠</x:v>
      </x:c>
      <x:c r="O16" s="1521" t="str">
        <x:v>根拠</x:v>
      </x:c>
      <x:c r="P16" s="2118" t="str"/>
    </x:row>
    <x:row r="17">
      <x:c r="A17" s="2117" t="str">
        <x:v>DAT-013</x:v>
      </x:c>
      <x:c r="B17" s="1521" t="str">
        <x:v>Evidence</x:v>
      </x:c>
      <x:c r="C17" s="1521" t="str">
        <x:v>資料名・種類</x:v>
      </x:c>
      <x:c r="D17" s="1521" t="str">
        <x:v>evidence_name_type</x:v>
      </x:c>
      <x:c r="E17" s="1521" t="str">
        <x:v>文字列</x:v>
      </x:c>
      <x:c r="F17" s="1521" t="str">
        <x:v>任意</x:v>
      </x:c>
      <x:c r="G17" s="1521" t="str">
        <x:v>担当者</x:v>
      </x:c>
      <x:c r="H17" s="1521" t="str">
        <x:v>点検報告書</x:v>
      </x:c>
      <x:c r="I17" s="1521" t="str">
        <x:v>機密度含む</x:v>
      </x:c>
      <x:c r="J17" s="1521" t="str">
        <x:v>秘密～厳秘</x:v>
      </x:c>
      <x:c r="K17" s="1521" t="str">
        <x:v>条件付き可</x:v>
      </x:c>
      <x:c r="L17" s="1521" t="str">
        <x:v>Evidence台帳</x:v>
      </x:c>
      <x:c r="M17" s="1521" t="str">
        <x:v>営業/診断</x:v>
      </x:c>
      <x:c r="N17" s="1521" t="str">
        <x:v>規程準拠</x:v>
      </x:c>
      <x:c r="O17" s="1521" t="str">
        <x:v>P2</x:v>
      </x:c>
      <x:c r="P17" s="2118" t="str"/>
    </x:row>
    <x:row r="18">
      <x:c r="A18" s="2117" t="str">
        <x:v>DAT-014</x:v>
      </x:c>
      <x:c r="B18" s="1521" t="str">
        <x:v>Evidence</x:v>
      </x:c>
      <x:c r="C18" s="1521" t="str">
        <x:v>保存場所</x:v>
      </x:c>
      <x:c r="D18" s="1521" t="str">
        <x:v>evidence_location</x:v>
      </x:c>
      <x:c r="E18" s="1521" t="str">
        <x:v>文字列/URL</x:v>
      </x:c>
      <x:c r="F18" s="1521" t="str">
        <x:v>任意</x:v>
      </x:c>
      <x:c r="G18" s="1521" t="str">
        <x:v>担当者</x:v>
      </x:c>
      <x:c r="H18" s="1521" t="str">
        <x:v>案件フォルダURL</x:v>
      </x:c>
      <x:c r="I18" s="1521" t="str">
        <x:v>権限管理先のみ</x:v>
      </x:c>
      <x:c r="J18" s="1521" t="str">
        <x:v>厳秘</x:v>
      </x:c>
      <x:c r="K18" s="1521" t="str">
        <x:v>不可</x:v>
      </x:c>
      <x:c r="L18" s="1521" t="str">
        <x:v>Evidence台帳</x:v>
      </x:c>
      <x:c r="M18" s="1521" t="str">
        <x:v>営業/情シス</x:v>
      </x:c>
      <x:c r="N18" s="1521" t="str">
        <x:v>規程準拠</x:v>
      </x:c>
      <x:c r="O18" s="1521" t="str">
        <x:v>社内参照</x:v>
      </x:c>
      <x:c r="P18" s="2118" t="str"/>
    </x:row>
    <x:row r="19">
      <x:c r="A19" s="2117" t="str">
        <x:v>DAT-015</x:v>
      </x:c>
      <x:c r="B19" s="1521" t="str">
        <x:v>診断結果</x:v>
      </x:c>
      <x:c r="C19" s="1521" t="str">
        <x:v>EDI</x:v>
      </x:c>
      <x:c r="D19" s="1521" t="str">
        <x:v>edi_score</x:v>
      </x:c>
      <x:c r="E19" s="1521" t="str">
        <x:v>数値</x:v>
      </x:c>
      <x:c r="F19" s="1521" t="str">
        <x:v>必須</x:v>
      </x:c>
      <x:c r="G19" s="1521" t="str">
        <x:v>算定</x:v>
      </x:c>
      <x:c r="H19" s="1521" t="str">
        <x:v>62</x:v>
      </x:c>
      <x:c r="I19" s="1521" t="str">
        <x:v>0～100</x:v>
      </x:c>
      <x:c r="J19" s="1521" t="str">
        <x:v>秘密</x:v>
      </x:c>
      <x:c r="K19" s="1521" t="str">
        <x:v>可</x:v>
      </x:c>
      <x:c r="L19" s="1521" t="str">
        <x:v>診断履歴</x:v>
      </x:c>
      <x:c r="M19" s="1521" t="str">
        <x:v>計算式</x:v>
      </x:c>
      <x:c r="N19" s="1521" t="str">
        <x:v>恒久候補</x:v>
      </x:c>
      <x:c r="O19" s="1521" t="str">
        <x:v>A3</x:v>
      </x:c>
      <x:c r="P19" s="2118" t="str"/>
    </x:row>
    <x:row r="20">
      <x:c r="A20" s="2117" t="str">
        <x:v>DAT-016</x:v>
      </x:c>
      <x:c r="B20" s="1521" t="str">
        <x:v>診断結果</x:v>
      </x:c>
      <x:c r="C20" s="1521" t="str">
        <x:v>DRI</x:v>
      </x:c>
      <x:c r="D20" s="1521" t="str">
        <x:v>dri_score</x:v>
      </x:c>
      <x:c r="E20" s="1521" t="str">
        <x:v>数値</x:v>
      </x:c>
      <x:c r="F20" s="1521" t="str">
        <x:v>必須</x:v>
      </x:c>
      <x:c r="G20" s="1521" t="str">
        <x:v>算定</x:v>
      </x:c>
      <x:c r="H20" s="1521" t="str">
        <x:v>48</x:v>
      </x:c>
      <x:c r="I20" s="1521" t="str">
        <x:v>0～100</x:v>
      </x:c>
      <x:c r="J20" s="1521" t="str">
        <x:v>秘密</x:v>
      </x:c>
      <x:c r="K20" s="1521" t="str">
        <x:v>可</x:v>
      </x:c>
      <x:c r="L20" s="1521" t="str">
        <x:v>診断履歴</x:v>
      </x:c>
      <x:c r="M20" s="1521" t="str">
        <x:v>計算式</x:v>
      </x:c>
      <x:c r="N20" s="1521" t="str">
        <x:v>恒久候補</x:v>
      </x:c>
      <x:c r="O20" s="1521" t="str">
        <x:v>A3</x:v>
      </x:c>
      <x:c r="P20" s="2118" t="str"/>
    </x:row>
    <x:row r="21">
      <x:c r="A21" s="2117" t="str">
        <x:v>DAT-017</x:v>
      </x:c>
      <x:c r="B21" s="1521" t="str">
        <x:v>診断結果</x:v>
      </x:c>
      <x:c r="C21" s="1521" t="str">
        <x:v>EPI</x:v>
      </x:c>
      <x:c r="D21" s="1521" t="str">
        <x:v>epi_score</x:v>
      </x:c>
      <x:c r="E21" s="1521" t="str">
        <x:v>数値</x:v>
      </x:c>
      <x:c r="F21" s="1521" t="str">
        <x:v>必須</x:v>
      </x:c>
      <x:c r="G21" s="1521" t="str">
        <x:v>算定</x:v>
      </x:c>
      <x:c r="H21" s="1521" t="str">
        <x:v>75</x:v>
      </x:c>
      <x:c r="I21" s="1521" t="str">
        <x:v>0～100</x:v>
      </x:c>
      <x:c r="J21" s="1521" t="str">
        <x:v>秘密</x:v>
      </x:c>
      <x:c r="K21" s="1521" t="str">
        <x:v>可</x:v>
      </x:c>
      <x:c r="L21" s="1521" t="str">
        <x:v>診断履歴</x:v>
      </x:c>
      <x:c r="M21" s="1521" t="str">
        <x:v>計算式</x:v>
      </x:c>
      <x:c r="N21" s="1521" t="str">
        <x:v>恒久候補</x:v>
      </x:c>
      <x:c r="O21" s="1521" t="str">
        <x:v>A3</x:v>
      </x:c>
      <x:c r="P21" s="2118" t="str"/>
    </x:row>
    <x:row r="22">
      <x:c r="A22" s="2117" t="str">
        <x:v>DAT-018</x:v>
      </x:c>
      <x:c r="B22" s="1521" t="str">
        <x:v>診断結果</x:v>
      </x:c>
      <x:c r="C22" s="1521" t="str">
        <x:v>診断信頼度</x:v>
      </x:c>
      <x:c r="D22" s="1521" t="str">
        <x:v>confidence</x:v>
      </x:c>
      <x:c r="E22" s="1521" t="str">
        <x:v>数値</x:v>
      </x:c>
      <x:c r="F22" s="1521" t="str">
        <x:v>必須</x:v>
      </x:c>
      <x:c r="G22" s="1521" t="str">
        <x:v>算定</x:v>
      </x:c>
      <x:c r="H22" s="1521" t="str">
        <x:v>70</x:v>
      </x:c>
      <x:c r="I22" s="1521" t="str">
        <x:v>0～100</x:v>
      </x:c>
      <x:c r="J22" s="1521" t="str">
        <x:v>秘密</x:v>
      </x:c>
      <x:c r="K22" s="1521" t="str">
        <x:v>可</x:v>
      </x:c>
      <x:c r="L22" s="1521" t="str">
        <x:v>診断履歴</x:v>
      </x:c>
      <x:c r="M22" s="1521" t="str">
        <x:v>計算式</x:v>
      </x:c>
      <x:c r="N22" s="1521" t="str">
        <x:v>恒久候補</x:v>
      </x:c>
      <x:c r="O22" s="1521" t="str">
        <x:v>A3</x:v>
      </x:c>
      <x:c r="P22" s="2118" t="str"/>
    </x:row>
    <x:row r="23">
      <x:c r="A23" s="2117" t="str">
        <x:v>DAT-019</x:v>
      </x:c>
      <x:c r="B23" s="1521" t="str">
        <x:v>診断結果</x:v>
      </x:c>
      <x:c r="C23" s="1521" t="str">
        <x:v>情報充足率</x:v>
      </x:c>
      <x:c r="D23" s="1521" t="str">
        <x:v>completeness</x:v>
      </x:c>
      <x:c r="E23" s="1521" t="str">
        <x:v>数値</x:v>
      </x:c>
      <x:c r="F23" s="1521" t="str">
        <x:v>必須</x:v>
      </x:c>
      <x:c r="G23" s="1521" t="str">
        <x:v>算定</x:v>
      </x:c>
      <x:c r="H23" s="1521" t="str">
        <x:v>65</x:v>
      </x:c>
      <x:c r="I23" s="1521" t="str">
        <x:v>0～100</x:v>
      </x:c>
      <x:c r="J23" s="1521" t="str">
        <x:v>秘密</x:v>
      </x:c>
      <x:c r="K23" s="1521" t="str">
        <x:v>可</x:v>
      </x:c>
      <x:c r="L23" s="1521" t="str">
        <x:v>診断履歴</x:v>
      </x:c>
      <x:c r="M23" s="1521" t="str">
        <x:v>計算式</x:v>
      </x:c>
      <x:c r="N23" s="1521" t="str">
        <x:v>恒久候補</x:v>
      </x:c>
      <x:c r="O23" s="1521" t="str">
        <x:v>A3</x:v>
      </x:c>
      <x:c r="P23" s="2118" t="str"/>
    </x:row>
    <x:row r="24">
      <x:c r="A24" s="2117" t="str">
        <x:v>DAT-020</x:v>
      </x:c>
      <x:c r="B24" s="1521" t="str">
        <x:v>診断結果</x:v>
      </x:c>
      <x:c r="C24" s="1521" t="str">
        <x:v>Guardrail一覧</x:v>
      </x:c>
      <x:c r="D24" s="1521" t="str">
        <x:v>guardrails</x:v>
      </x:c>
      <x:c r="E24" s="1521" t="str">
        <x:v>複数値</x:v>
      </x:c>
      <x:c r="F24" s="1521" t="str">
        <x:v>任意</x:v>
      </x:c>
      <x:c r="G24" s="1521" t="str">
        <x:v>算定</x:v>
      </x:c>
      <x:c r="H24" s="1521" t="str">
        <x:v>GR-EOL-01</x:v>
      </x:c>
      <x:c r="I24" s="1521" t="str">
        <x:v>最大3件、順位保持</x:v>
      </x:c>
      <x:c r="J24" s="1521" t="str">
        <x:v>秘密</x:v>
      </x:c>
      <x:c r="K24" s="1521" t="str">
        <x:v>可</x:v>
      </x:c>
      <x:c r="L24" s="1521" t="str">
        <x:v>診断履歴</x:v>
      </x:c>
      <x:c r="M24" s="1521" t="str">
        <x:v>計算式</x:v>
      </x:c>
      <x:c r="N24" s="1521" t="str">
        <x:v>恒久候補</x:v>
      </x:c>
      <x:c r="O24" s="1521" t="str">
        <x:v>A3</x:v>
      </x:c>
      <x:c r="P24" s="2118" t="str"/>
    </x:row>
    <x:row r="25">
      <x:c r="A25" s="2117" t="str">
        <x:v>DAT-021</x:v>
      </x:c>
      <x:c r="B25" s="1521" t="str">
        <x:v>診断結果</x:v>
      </x:c>
      <x:c r="C25" s="1521" t="str">
        <x:v>TOP5一覧</x:v>
      </x:c>
      <x:c r="D25" s="1521" t="str">
        <x:v>top5</x:v>
      </x:c>
      <x:c r="E25" s="1521" t="str">
        <x:v>複数値</x:v>
      </x:c>
      <x:c r="F25" s="1521" t="str">
        <x:v>必須</x:v>
      </x:c>
      <x:c r="G25" s="1521" t="str">
        <x:v>算定</x:v>
      </x:c>
      <x:c r="H25" s="1521" t="str">
        <x:v>ISS-001等</x:v>
      </x:c>
      <x:c r="I25" s="1521" t="str">
        <x:v>最大5件、順位保持</x:v>
      </x:c>
      <x:c r="J25" s="1521" t="str">
        <x:v>秘密</x:v>
      </x:c>
      <x:c r="K25" s="1521" t="str">
        <x:v>可</x:v>
      </x:c>
      <x:c r="L25" s="1521" t="str">
        <x:v>診断履歴</x:v>
      </x:c>
      <x:c r="M25" s="1521" t="str">
        <x:v>計算式</x:v>
      </x:c>
      <x:c r="N25" s="1521" t="str">
        <x:v>恒久候補</x:v>
      </x:c>
      <x:c r="O25" s="1521" t="str">
        <x:v>A3</x:v>
      </x:c>
      <x:c r="P25" s="2118" t="str"/>
    </x:row>
    <x:row r="26">
      <x:c r="A26" s="2117" t="str">
        <x:v>DAT-022</x:v>
      </x:c>
      <x:c r="B26" s="1521" t="str">
        <x:v>診断結果</x:v>
      </x:c>
      <x:c r="C26" s="1521" t="str">
        <x:v>コメントコード</x:v>
      </x:c>
      <x:c r="D26" s="1521" t="str">
        <x:v>comment_codes</x:v>
      </x:c>
      <x:c r="E26" s="1521" t="str">
        <x:v>複数値</x:v>
      </x:c>
      <x:c r="F26" s="1521" t="str">
        <x:v>必須</x:v>
      </x:c>
      <x:c r="G26" s="1521" t="str">
        <x:v>ルール</x:v>
      </x:c>
      <x:c r="H26" s="1521" t="str">
        <x:v>EOL-L2-01</x:v>
      </x:c>
      <x:c r="I26" s="1521" t="str">
        <x:v>承認コードのみ</x:v>
      </x:c>
      <x:c r="J26" s="1521" t="str">
        <x:v>社内</x:v>
      </x:c>
      <x:c r="K26" s="1521" t="str">
        <x:v>可</x:v>
      </x:c>
      <x:c r="L26" s="1521" t="str">
        <x:v>診断履歴</x:v>
      </x:c>
      <x:c r="M26" s="1521" t="str">
        <x:v>診断担当</x:v>
      </x:c>
      <x:c r="N26" s="1521" t="str">
        <x:v>恒久候補</x:v>
      </x:c>
      <x:c r="O26" s="1521" t="str">
        <x:v>文章</x:v>
      </x:c>
      <x:c r="P26" s="2118" t="str"/>
    </x:row>
    <x:row r="27">
      <x:c r="A27" s="2117" t="str">
        <x:v>DAT-023</x:v>
      </x:c>
      <x:c r="B27" s="1521" t="str">
        <x:v>監査</x:v>
      </x:c>
      <x:c r="C27" s="1521" t="str">
        <x:v>設計Version</x:v>
      </x:c>
      <x:c r="D27" s="1521" t="str">
        <x:v>design_version</x:v>
      </x:c>
      <x:c r="E27" s="1521" t="str">
        <x:v>文字列</x:v>
      </x:c>
      <x:c r="F27" s="1521" t="str">
        <x:v>必須</x:v>
      </x:c>
      <x:c r="G27" s="1521" t="str">
        <x:v>マスター</x:v>
      </x:c>
      <x:c r="H27" s="1521" t="str">
        <x:v>1.3</x:v>
      </x:c>
      <x:c r="I27" s="1521" t="str">
        <x:v>発行時固定</x:v>
      </x:c>
      <x:c r="J27" s="1521" t="str">
        <x:v>社内</x:v>
      </x:c>
      <x:c r="K27" s="1521" t="str">
        <x:v>可</x:v>
      </x:c>
      <x:c r="L27" s="1521" t="str">
        <x:v>監査台帳</x:v>
      </x:c>
      <x:c r="M27" s="1521" t="str">
        <x:v>運用担当</x:v>
      </x:c>
      <x:c r="N27" s="1521" t="str">
        <x:v>恒久候補</x:v>
      </x:c>
      <x:c r="O27" s="1521" t="str">
        <x:v>A3/ログ</x:v>
      </x:c>
      <x:c r="P27" s="2118" t="str"/>
    </x:row>
    <x:row r="28">
      <x:c r="A28" s="2117" t="str">
        <x:v>DAT-024</x:v>
      </x:c>
      <x:c r="B28" s="1521" t="str">
        <x:v>監査</x:v>
      </x:c>
      <x:c r="C28" s="1521" t="str">
        <x:v>AIサービス・処理日時</x:v>
      </x:c>
      <x:c r="D28" s="1521" t="str">
        <x:v>ai_audit</x:v>
      </x:c>
      <x:c r="E28" s="1521" t="str">
        <x:v>文字列/日時</x:v>
      </x:c>
      <x:c r="F28" s="1521" t="str">
        <x:v>任意</x:v>
      </x:c>
      <x:c r="G28" s="1521" t="str">
        <x:v>担当者</x:v>
      </x:c>
      <x:c r="H28" s="1521" t="str">
        <x:v>ナレナビ 2026-...</x:v>
      </x:c>
      <x:c r="I28" s="1521" t="str">
        <x:v>利用時必須</x:v>
      </x:c>
      <x:c r="J28" s="1521" t="str">
        <x:v>秘密</x:v>
      </x:c>
      <x:c r="K28" s="1521" t="str">
        <x:v>可</x:v>
      </x:c>
      <x:c r="L28" s="1521" t="str">
        <x:v>監査台帳</x:v>
      </x:c>
      <x:c r="M28" s="1521" t="str">
        <x:v>診断担当</x:v>
      </x:c>
      <x:c r="N28" s="1521" t="str">
        <x:v>規程準拠</x:v>
      </x:c>
      <x:c r="O28" s="1521" t="str">
        <x:v>監査</x:v>
      </x:c>
      <x:c r="P28" s="2118" t="str"/>
    </x:row>
    <x:row r="29">
      <x:c r="A29" s="2117" t="str">
        <x:v>DAT-025</x:v>
      </x:c>
      <x:c r="B29" s="1521" t="str">
        <x:v>承認</x:v>
      </x:c>
      <x:c r="C29" s="1521" t="str">
        <x:v>承認者・承認日時</x:v>
      </x:c>
      <x:c r="D29" s="1521" t="str">
        <x:v>approval</x:v>
      </x:c>
      <x:c r="E29" s="1521" t="str">
        <x:v>文字列/日時</x:v>
      </x:c>
      <x:c r="F29" s="1521" t="str">
        <x:v>必須</x:v>
      </x:c>
      <x:c r="G29" s="1521" t="str">
        <x:v>承認者</x:v>
      </x:c>
      <x:c r="H29" s="1521" t="str">
        <x:v>氏名/日時</x:v>
      </x:c>
      <x:c r="I29" s="1521" t="str">
        <x:v>発行前必須</x:v>
      </x:c>
      <x:c r="J29" s="1521" t="str">
        <x:v>社内</x:v>
      </x:c>
      <x:c r="K29" s="1521" t="str">
        <x:v>可</x:v>
      </x:c>
      <x:c r="L29" s="1521" t="str">
        <x:v>発行台帳</x:v>
      </x:c>
      <x:c r="M29" s="1521" t="str">
        <x:v>診断責任者</x:v>
      </x:c>
      <x:c r="N29" s="1521" t="str">
        <x:v>規程準拠</x:v>
      </x:c>
      <x:c r="O29" s="1521" t="str">
        <x:v>監査</x:v>
      </x:c>
      <x:c r="P29" s="2118" t="str"/>
    </x:row>
    <x:row r="30">
      <x:c r="A30" s="2117" t="str">
        <x:v>DAT-026</x:v>
      </x:c>
      <x:c r="B30" s="1521" t="str">
        <x:v>送付</x:v>
      </x:c>
      <x:c r="C30" s="1521" t="str">
        <x:v>送付先・送付日時</x:v>
      </x:c>
      <x:c r="D30" s="1521" t="str">
        <x:v>delivery</x:v>
      </x:c>
      <x:c r="E30" s="1521" t="str">
        <x:v>文字列/日時</x:v>
      </x:c>
      <x:c r="F30" s="1521" t="str">
        <x:v>必須</x:v>
      </x:c>
      <x:c r="G30" s="1521" t="str">
        <x:v>営業</x:v>
      </x:c>
      <x:c r="H30" s="1521" t="str">
        <x:v>宛先/日時</x:v>
      </x:c>
      <x:c r="I30" s="1521" t="str">
        <x:v>承認後のみ</x:v>
      </x:c>
      <x:c r="J30" s="1521" t="str">
        <x:v>秘密</x:v>
      </x:c>
      <x:c r="K30" s="1521" t="str">
        <x:v>原則不可</x:v>
      </x:c>
      <x:c r="L30" s="1521" t="str">
        <x:v>送付台帳</x:v>
      </x:c>
      <x:c r="M30" s="1521" t="str">
        <x:v>営業</x:v>
      </x:c>
      <x:c r="N30" s="1521" t="str">
        <x:v>規程準拠</x:v>
      </x:c>
      <x:c r="O30" s="1521" t="str">
        <x:v>営業履歴</x:v>
      </x:c>
      <x:c r="P30" s="2118" t="str"/>
    </x:row>
    <x:row r="31">
      <x:c r="A31" s="2119" t="str">
        <x:v>DAT-027</x:v>
      </x:c>
      <x:c r="B31" s="2120" t="str">
        <x:v>営業</x:v>
      </x:c>
      <x:c r="C31" s="2120" t="str">
        <x:v>フォロー結果</x:v>
      </x:c>
      <x:c r="D31" s="2120" t="str">
        <x:v>follow_up_result</x:v>
      </x:c>
      <x:c r="E31" s="2120" t="str">
        <x:v>選択/文章</x:v>
      </x:c>
      <x:c r="F31" s="2120" t="str">
        <x:v>任意</x:v>
      </x:c>
      <x:c r="G31" s="2120" t="str">
        <x:v>営業</x:v>
      </x:c>
      <x:c r="H31" s="2120" t="str">
        <x:v>訪問設定</x:v>
      </x:c>
      <x:c r="I31" s="2120" t="str">
        <x:v>定義選択＋メモ</x:v>
      </x:c>
      <x:c r="J31" s="2120" t="str">
        <x:v>秘密</x:v>
      </x:c>
      <x:c r="K31" s="2120" t="str">
        <x:v>条件付き可</x:v>
      </x:c>
      <x:c r="L31" s="2120" t="str">
        <x:v>営業履歴</x:v>
      </x:c>
      <x:c r="M31" s="2120" t="str">
        <x:v>営業</x:v>
      </x:c>
      <x:c r="N31" s="2120" t="str">
        <x:v>規程準拠</x:v>
      </x:c>
      <x:c r="O31" s="2120" t="str">
        <x:v>KPI</x:v>
      </x:c>
      <x:c r="P31" s="2121" t="str"/>
    </x:row>
    <x:row r="32" ht="66" customHeight="1">
      <x:c r="A32" s="2364" t="str">
        <x:v>DAT-028</x:v>
      </x:c>
      <x:c r="B32" s="2364" t="str">
        <x:v>公開Web診断結果</x:v>
      </x:c>
      <x:c r="C32" s="2364" t="str">
        <x:v>Web_EDI</x:v>
      </x:c>
      <x:c r="D32" s="2364" t="str">
        <x:v>web_edi</x:v>
      </x:c>
      <x:c r="E32" s="2364" t="str">
        <x:v>数値/null</x:v>
      </x:c>
      <x:c r="F32" s="2364" t="str">
        <x:v>条件付き</x:v>
      </x:c>
      <x:c r="G32" s="2364" t="str">
        <x:v>算定</x:v>
      </x:c>
      <x:c r="H32" s="2364" t="str">
        <x:v>68</x:v>
      </x:c>
      <x:c r="I32" s="2364" t="str">
        <x:v>0～100。INSUFFICIENT_DATA時はnull</x:v>
      </x:c>
      <x:c r="J32" s="2364" t="str">
        <x:v>秘密</x:v>
      </x:c>
      <x:c r="K32" s="2364" t="str">
        <x:v>可</x:v>
      </x:c>
      <x:c r="L32" s="2364" t="str">
        <x:v>診断履歴</x:v>
      </x:c>
      <x:c r="M32" s="2364" t="str">
        <x:v>計算式</x:v>
      </x:c>
      <x:c r="N32" s="2364" t="str">
        <x:v>恒久候補</x:v>
      </x:c>
      <x:c r="O32" s="2364" t="str">
        <x:v>A3/LP</x:v>
      </x:c>
      <x:c r="P32" s="2364" t="str">
        <x:v>正式EDIを置換しない参考値</x:v>
      </x:c>
    </x:row>
    <x:row r="33" ht="66" customHeight="1">
      <x:c r="A33" s="2364" t="str">
        <x:v>DAT-029</x:v>
      </x:c>
      <x:c r="B33" s="2364" t="str">
        <x:v>公開Web診断結果</x:v>
      </x:c>
      <x:c r="C33" s="2364" t="str">
        <x:v>Web_DRI</x:v>
      </x:c>
      <x:c r="D33" s="2364" t="str">
        <x:v>web_dri</x:v>
      </x:c>
      <x:c r="E33" s="2364" t="str">
        <x:v>数値/null</x:v>
      </x:c>
      <x:c r="F33" s="2364" t="str">
        <x:v>条件付き</x:v>
      </x:c>
      <x:c r="G33" s="2364" t="str">
        <x:v>算定</x:v>
      </x:c>
      <x:c r="H33" s="2364" t="str">
        <x:v>63</x:v>
      </x:c>
      <x:c r="I33" s="2364" t="str">
        <x:v>0～100。INSUFFICIENT_DATA時はnull</x:v>
      </x:c>
      <x:c r="J33" s="2364" t="str">
        <x:v>秘密</x:v>
      </x:c>
      <x:c r="K33" s="2364" t="str">
        <x:v>可</x:v>
      </x:c>
      <x:c r="L33" s="2364" t="str">
        <x:v>診断履歴</x:v>
      </x:c>
      <x:c r="M33" s="2364" t="str">
        <x:v>計算式</x:v>
      </x:c>
      <x:c r="N33" s="2364" t="str">
        <x:v>恒久候補</x:v>
      </x:c>
      <x:c r="O33" s="2364" t="str">
        <x:v>A3/LP</x:v>
      </x:c>
      <x:c r="P33" s="2364" t="str">
        <x:v>正式DRIを置換しない参考値</x:v>
      </x:c>
    </x:row>
    <x:row r="34" ht="66" customHeight="1">
      <x:c r="A34" s="2364" t="str">
        <x:v>DAT-030</x:v>
      </x:c>
      <x:c r="B34" s="2364" t="str">
        <x:v>公開Web診断結果</x:v>
      </x:c>
      <x:c r="C34" s="2364" t="str">
        <x:v>Web_EPI</x:v>
      </x:c>
      <x:c r="D34" s="2364" t="str">
        <x:v>web_epi</x:v>
      </x:c>
      <x:c r="E34" s="2364" t="str">
        <x:v>数値/null</x:v>
      </x:c>
      <x:c r="F34" s="2364" t="str">
        <x:v>条件付き</x:v>
      </x:c>
      <x:c r="G34" s="2364" t="str">
        <x:v>算定</x:v>
      </x:c>
      <x:c r="H34" s="2364" t="str">
        <x:v>45</x:v>
      </x:c>
      <x:c r="I34" s="2364" t="str">
        <x:v>0～100。情報充足率と併記</x:v>
      </x:c>
      <x:c r="J34" s="2364" t="str">
        <x:v>秘密</x:v>
      </x:c>
      <x:c r="K34" s="2364" t="str">
        <x:v>可</x:v>
      </x:c>
      <x:c r="L34" s="2364" t="str">
        <x:v>診断履歴</x:v>
      </x:c>
      <x:c r="M34" s="2364" t="str">
        <x:v>計算式</x:v>
      </x:c>
      <x:c r="N34" s="2364" t="str">
        <x:v>恒久候補</x:v>
      </x:c>
      <x:c r="O34" s="2364" t="str">
        <x:v>A3/LP</x:v>
      </x:c>
      <x:c r="P34" s="2364" t="str">
        <x:v>正式EPIを置換しない参考値</x:v>
      </x:c>
    </x:row>
    <x:row r="35" ht="66" customHeight="1">
      <x:c r="A35" s="2364" t="str">
        <x:v>DAT-031</x:v>
      </x:c>
      <x:c r="B35" s="2364" t="str">
        <x:v>公開Web診断結果</x:v>
      </x:c>
      <x:c r="C35" s="2364" t="str">
        <x:v>情報充足率</x:v>
      </x:c>
      <x:c r="D35" s="2364" t="str">
        <x:v>web_completeness</x:v>
      </x:c>
      <x:c r="E35" s="2364" t="str">
        <x:v>数値</x:v>
      </x:c>
      <x:c r="F35" s="2364" t="str">
        <x:v>必須</x:v>
      </x:c>
      <x:c r="G35" s="2364" t="str">
        <x:v>算定</x:v>
      </x:c>
      <x:c r="H35" s="2364" t="str">
        <x:v>75</x:v>
      </x:c>
      <x:c r="I35" s="2364" t="str">
        <x:v>0～100。回答済み有効ウェイト÷全対象ウェイトを基本</x:v>
      </x:c>
      <x:c r="J35" s="2364" t="str">
        <x:v>秘密</x:v>
      </x:c>
      <x:c r="K35" s="2364" t="str">
        <x:v>可</x:v>
      </x:c>
      <x:c r="L35" s="2364" t="str">
        <x:v>診断履歴</x:v>
      </x:c>
      <x:c r="M35" s="2364" t="str">
        <x:v>計算式</x:v>
      </x:c>
      <x:c r="N35" s="2364" t="str">
        <x:v>恒久候補</x:v>
      </x:c>
      <x:c r="O35" s="2364" t="str">
        <x:v>A3/LP</x:v>
      </x:c>
      <x:c r="P35" s="2364" t="str">
        <x:v>最低閾値はPilot前TBC</x:v>
      </x:c>
    </x:row>
    <x:row r="36" ht="66" customHeight="1">
      <x:c r="A36" s="2364" t="str">
        <x:v>DAT-032</x:v>
      </x:c>
      <x:c r="B36" s="2364" t="str">
        <x:v>公開Web診断結果</x:v>
      </x:c>
      <x:c r="C36" s="2364" t="str">
        <x:v>診断状態</x:v>
      </x:c>
      <x:c r="D36" s="2364" t="str">
        <x:v>diagnosis_status</x:v>
      </x:c>
      <x:c r="E36" s="2364" t="str">
        <x:v>選択</x:v>
      </x:c>
      <x:c r="F36" s="2364" t="str">
        <x:v>必須</x:v>
      </x:c>
      <x:c r="G36" s="2364" t="str">
        <x:v>算定</x:v>
      </x:c>
      <x:c r="H36" s="2364" t="str">
        <x:v>OK</x:v>
      </x:c>
      <x:c r="I36" s="2364" t="str">
        <x:v>OK / INSUFFICIENT_DATA</x:v>
      </x:c>
      <x:c r="J36" s="2364" t="str">
        <x:v>社内</x:v>
      </x:c>
      <x:c r="K36" s="2364" t="str">
        <x:v>可</x:v>
      </x:c>
      <x:c r="L36" s="2364" t="str">
        <x:v>診断履歴</x:v>
      </x:c>
      <x:c r="M36" s="2364" t="str">
        <x:v>計算式</x:v>
      </x:c>
      <x:c r="N36" s="2364" t="str">
        <x:v>恒久候補</x:v>
      </x:c>
      <x:c r="O36" s="2364" t="str">
        <x:v>A3/LP</x:v>
      </x:c>
      <x:c r="P36" s="2364" t="str">
        <x:v>正常系業務状態</x:v>
      </x:c>
    </x:row>
    <x:row r="37" ht="66" customHeight="1">
      <x:c r="A37" s="2364" t="str">
        <x:v>DAT-033</x:v>
      </x:c>
      <x:c r="B37" s="2364" t="str">
        <x:v>公開Web診断結果</x:v>
      </x:c>
      <x:c r="C37" s="2364" t="str">
        <x:v>要確認事項</x:v>
      </x:c>
      <x:c r="D37" s="2364" t="str">
        <x:v>review_items</x:v>
      </x:c>
      <x:c r="E37" s="2364" t="str">
        <x:v>複数値</x:v>
      </x:c>
      <x:c r="F37" s="2364" t="str">
        <x:v>任意</x:v>
      </x:c>
      <x:c r="G37" s="2364" t="str">
        <x:v>算定</x:v>
      </x:c>
      <x:c r="H37" s="2364" t="str">
        <x:v>EOL供給状況の確認</x:v>
      </x:c>
      <x:c r="I37" s="2364" t="str">
        <x:v>Unknown由来。TOP5とは別レイヤー、順位保持</x:v>
      </x:c>
      <x:c r="J37" s="2364" t="str">
        <x:v>秘密</x:v>
      </x:c>
      <x:c r="K37" s="2364" t="str">
        <x:v>可</x:v>
      </x:c>
      <x:c r="L37" s="2364" t="str">
        <x:v>診断履歴</x:v>
      </x:c>
      <x:c r="M37" s="2364" t="str">
        <x:v>計算式</x:v>
      </x:c>
      <x:c r="N37" s="2364" t="str">
        <x:v>恒久候補</x:v>
      </x:c>
      <x:c r="O37" s="2364" t="str">
        <x:v>A3/LP</x:v>
      </x:c>
      <x:c r="P37" s="2364" t="str">
        <x:v>ED-DI-005</x:v>
      </x:c>
    </x:row>
    <x:row r="38" ht="66" customHeight="1">
      <x:c r="A38" s="2364" t="str">
        <x:v>DAT-034</x:v>
      </x:c>
      <x:c r="B38" s="2364" t="str">
        <x:v>公開Web診断結果</x:v>
      </x:c>
      <x:c r="C38" s="2364" t="str">
        <x:v>Guardrail判定保留</x:v>
      </x:c>
      <x:c r="D38" s="2364" t="str">
        <x:v>guardrail_pending</x:v>
      </x:c>
      <x:c r="E38" s="2364" t="str">
        <x:v>複数値</x:v>
      </x:c>
      <x:c r="F38" s="2364" t="str">
        <x:v>任意</x:v>
      </x:c>
      <x:c r="G38" s="2364" t="str">
        <x:v>算定</x:v>
      </x:c>
      <x:c r="H38" s="2364" t="str">
        <x:v>供給継続：判定保留</x:v>
      </x:c>
      <x:c r="I38" s="2364" t="str">
        <x:v>安全・法令・品質・BCP等のUnknown時</x:v>
      </x:c>
      <x:c r="J38" s="2364" t="str">
        <x:v>秘密</x:v>
      </x:c>
      <x:c r="K38" s="2364" t="str">
        <x:v>可</x:v>
      </x:c>
      <x:c r="L38" s="2364" t="str">
        <x:v>診断履歴</x:v>
      </x:c>
      <x:c r="M38" s="2364" t="str">
        <x:v>計算式</x:v>
      </x:c>
      <x:c r="N38" s="2364" t="str">
        <x:v>恒久候補</x:v>
      </x:c>
      <x:c r="O38" s="2364" t="str">
        <x:v>A3/LP</x:v>
      </x:c>
      <x:c r="P38" s="2364" t="str">
        <x:v>Guardrail近傍に優先表示</x:v>
      </x:c>
    </x:row>
  </x:sheetData>
  <x:mergeCells>
    <x:mergeCell ref="A1:P1"/>
    <x:mergeCell ref="A2:P2"/>
  </x:mergeCells>
  <x:dataValidations count="3">
    <x:dataValidation type="list" sqref="F5:F31">
      <x:formula1>"必須,任意"</x:formula1>
    </x:dataValidation>
    <x:dataValidation type="list" sqref="J5:J31">
      <x:formula1>"公開,社内,秘密,秘密～厳秘,厳秘"</x:formula1>
    </x:dataValidation>
    <x:dataValidation type="list" sqref="K5:K31">
      <x:formula1>"可,条件付き可,原則不可,不可"</x:formula1>
    </x:dataValidation>
  </x:dataValidations>
  <x:pageMargins left="0.7" right="0.7" top="0.75" bottom="0.75" header="0.3" footer="0.3"/>
</x:worksheet>
</file>

<file path=xl/worksheets/sheet55.xml><?xml version="1.0" encoding="utf-8"?>
<x:worksheet xmlns:x="http://schemas.openxmlformats.org/spreadsheetml/2006/main">
  <x:sheetFormatPr defaultRowHeight="15"/>
  <x:cols>
    <x:col min="1" max="1" width="16" hidden="0" customWidth="1"/>
    <x:col min="2" max="2" width="14" hidden="0" customWidth="1"/>
    <x:col min="3" max="3" width="24" hidden="0" customWidth="1"/>
    <x:col min="4" max="4" width="20" hidden="0" customWidth="1"/>
    <x:col min="5" max="5" width="18" hidden="0" customWidth="1"/>
    <x:col min="6" max="6" width="18" hidden="0" customWidth="1"/>
    <x:col min="7" max="7" width="16" hidden="0" customWidth="1"/>
    <x:col min="8" max="8" width="14" hidden="0" customWidth="1"/>
    <x:col min="9" max="9" width="16" hidden="0" customWidth="1"/>
    <x:col min="10" max="10" width="10" hidden="0" customWidth="1"/>
    <x:col min="11" max="11" width="10" hidden="0" customWidth="1"/>
    <x:col min="12" max="12" width="10" hidden="0" customWidth="1"/>
    <x:col min="13" max="13" width="12" hidden="0" customWidth="1"/>
    <x:col min="14" max="14" width="12" hidden="0" customWidth="1"/>
    <x:col min="15" max="15" width="16" hidden="0" customWidth="1"/>
    <x:col min="16" max="16" width="14" hidden="0" customWidth="1"/>
    <x:col min="17" max="17" width="14" hidden="0" customWidth="1"/>
    <x:col min="18" max="18" width="16" hidden="0" customWidth="1"/>
  </x:cols>
  <x:sheetData>
    <x:row r="1" ht="28" customHeight="1">
      <x:c r="A1" s="2080" t="str">
        <x:v>54_Stage1運用台帳</x:v>
      </x:c>
      <x:c r="B1" s="2080"/>
      <x:c r="C1" s="2080"/>
      <x:c r="D1" s="2080"/>
      <x:c r="E1" s="2080"/>
      <x:c r="F1" s="2080"/>
      <x:c r="G1" s="2080"/>
      <x:c r="H1" s="2080"/>
      <x:c r="I1" s="2080"/>
      <x:c r="J1" s="2080"/>
      <x:c r="K1" s="2080"/>
      <x:c r="L1" s="2080"/>
      <x:c r="M1" s="2080"/>
      <x:c r="N1" s="2080"/>
      <x:c r="O1" s="2080"/>
      <x:c r="P1" s="2080"/>
      <x:c r="Q1" s="2080"/>
      <x:c r="R1" s="2080"/>
    </x:row>
    <x:row r="2" ht="36" customHeight="1">
      <x:c r="A2" s="2083" t="str">
        <x:v>月数件の受付・診断・承認・送付・営業フォローを一行で管理する初期運用台帳。</x:v>
      </x:c>
      <x:c r="B2" s="2083"/>
      <x:c r="C2" s="2083"/>
      <x:c r="D2" s="2083"/>
      <x:c r="E2" s="2083"/>
      <x:c r="F2" s="2083"/>
      <x:c r="G2" s="2083"/>
      <x:c r="H2" s="2083"/>
      <x:c r="I2" s="2083"/>
      <x:c r="J2" s="2083"/>
      <x:c r="K2" s="2083"/>
      <x:c r="L2" s="2083"/>
      <x:c r="M2" s="2083"/>
      <x:c r="N2" s="2083"/>
      <x:c r="O2" s="2083"/>
      <x:c r="P2" s="2083"/>
      <x:c r="Q2" s="2083"/>
      <x:c r="R2" s="2083"/>
    </x:row>
    <x:row r="4" ht="38" customHeight="1">
      <x:c r="A4" s="2095" t="str">
        <x:v>診断ID</x:v>
      </x:c>
      <x:c r="B4" s="2096" t="str">
        <x:v>受付日</x:v>
      </x:c>
      <x:c r="C4" s="2096" t="str">
        <x:v>会社名</x:v>
      </x:c>
      <x:c r="D4" s="2096" t="str">
        <x:v>工場名</x:v>
      </x:c>
      <x:c r="E4" s="2096" t="str">
        <x:v>担当者</x:v>
      </x:c>
      <x:c r="F4" s="2096" t="str">
        <x:v>紹介営業</x:v>
      </x:c>
      <x:c r="G4" s="2096" t="str">
        <x:v>入力状態</x:v>
      </x:c>
      <x:c r="H4" s="2096" t="str">
        <x:v>資料有無</x:v>
      </x:c>
      <x:c r="I4" s="2096" t="str">
        <x:v>診断状態</x:v>
      </x:c>
      <x:c r="J4" s="2096" t="str">
        <x:v>EDI</x:v>
      </x:c>
      <x:c r="K4" s="2096" t="str">
        <x:v>DRI</x:v>
      </x:c>
      <x:c r="L4" s="2096" t="str">
        <x:v>EPI</x:v>
      </x:c>
      <x:c r="M4" s="2096" t="str">
        <x:v>信頼度</x:v>
      </x:c>
      <x:c r="N4" s="2096" t="str">
        <x:v>充足率</x:v>
      </x:c>
      <x:c r="O4" s="2096" t="str">
        <x:v>承認状態</x:v>
      </x:c>
      <x:c r="P4" s="2096" t="str">
        <x:v>A3送付日</x:v>
      </x:c>
      <x:c r="Q4" s="2096" t="str">
        <x:v>フォロー期限</x:v>
      </x:c>
      <x:c r="R4" s="2097" t="str">
        <x:v>案件状態</x:v>
      </x:c>
    </x:row>
    <x:row r="5">
      <x:c r="A5" s="2114" t="str">
        <x:v>ED-YYYY-0001</x:v>
      </x:c>
      <x:c r="B5" s="2124" t="str"/>
      <x:c r="C5" s="2115" t="str"/>
      <x:c r="D5" s="2115" t="str"/>
      <x:c r="E5" s="2115" t="str"/>
      <x:c r="F5" s="2115" t="str"/>
      <x:c r="G5" s="2115" t="str">
        <x:v>未入力</x:v>
      </x:c>
      <x:c r="H5" s="2115" t="str">
        <x:v>なし</x:v>
      </x:c>
      <x:c r="I5" s="2115" t="str">
        <x:v>未着手</x:v>
      </x:c>
      <x:c r="J5" s="2127" t="str"/>
      <x:c r="K5" s="2127" t="str"/>
      <x:c r="L5" s="2127" t="str"/>
      <x:c r="M5" s="2127" t="str"/>
      <x:c r="N5" s="2127" t="str"/>
      <x:c r="O5" s="2115" t="str">
        <x:v>未承認</x:v>
      </x:c>
      <x:c r="P5" s="2124" t="str"/>
      <x:c r="Q5" s="2124" t="str"/>
      <x:c r="R5" s="2116" t="str">
        <x:v>受付</x:v>
      </x:c>
    </x:row>
    <x:row r="6">
      <x:c r="A6" s="2117" t="str">
        <x:v>ED-YYYY-0002</x:v>
      </x:c>
      <x:c r="B6" s="2125" t="str"/>
      <x:c r="C6" s="1521" t="str"/>
      <x:c r="D6" s="1521" t="str"/>
      <x:c r="E6" s="1521" t="str"/>
      <x:c r="F6" s="1521" t="str"/>
      <x:c r="G6" s="1521" t="str">
        <x:v>未入力</x:v>
      </x:c>
      <x:c r="H6" s="1521" t="str">
        <x:v>なし</x:v>
      </x:c>
      <x:c r="I6" s="1521" t="str">
        <x:v>未着手</x:v>
      </x:c>
      <x:c r="J6" s="1606" t="str"/>
      <x:c r="K6" s="1606" t="str"/>
      <x:c r="L6" s="1606" t="str"/>
      <x:c r="M6" s="1606" t="str"/>
      <x:c r="N6" s="1606" t="str"/>
      <x:c r="O6" s="1521" t="str">
        <x:v>未承認</x:v>
      </x:c>
      <x:c r="P6" s="2125" t="str"/>
      <x:c r="Q6" s="2125" t="str"/>
      <x:c r="R6" s="2118" t="str">
        <x:v>受付</x:v>
      </x:c>
    </x:row>
    <x:row r="7">
      <x:c r="A7" s="2117" t="str">
        <x:v>ED-YYYY-0003</x:v>
      </x:c>
      <x:c r="B7" s="2125" t="str"/>
      <x:c r="C7" s="1521" t="str"/>
      <x:c r="D7" s="1521" t="str"/>
      <x:c r="E7" s="1521" t="str"/>
      <x:c r="F7" s="1521" t="str"/>
      <x:c r="G7" s="1521" t="str">
        <x:v>未入力</x:v>
      </x:c>
      <x:c r="H7" s="1521" t="str">
        <x:v>なし</x:v>
      </x:c>
      <x:c r="I7" s="1521" t="str">
        <x:v>未着手</x:v>
      </x:c>
      <x:c r="J7" s="1606" t="str"/>
      <x:c r="K7" s="1606" t="str"/>
      <x:c r="L7" s="1606" t="str"/>
      <x:c r="M7" s="1606" t="str"/>
      <x:c r="N7" s="1606" t="str"/>
      <x:c r="O7" s="1521" t="str">
        <x:v>未承認</x:v>
      </x:c>
      <x:c r="P7" s="2125" t="str"/>
      <x:c r="Q7" s="2125" t="str"/>
      <x:c r="R7" s="2118" t="str">
        <x:v>受付</x:v>
      </x:c>
    </x:row>
    <x:row r="8">
      <x:c r="A8" s="2117" t="str">
        <x:v>ED-YYYY-0004</x:v>
      </x:c>
      <x:c r="B8" s="2125" t="str"/>
      <x:c r="C8" s="1521" t="str"/>
      <x:c r="D8" s="1521" t="str"/>
      <x:c r="E8" s="1521" t="str"/>
      <x:c r="F8" s="1521" t="str"/>
      <x:c r="G8" s="1521" t="str">
        <x:v>未入力</x:v>
      </x:c>
      <x:c r="H8" s="1521" t="str">
        <x:v>なし</x:v>
      </x:c>
      <x:c r="I8" s="1521" t="str">
        <x:v>未着手</x:v>
      </x:c>
      <x:c r="J8" s="1606" t="str"/>
      <x:c r="K8" s="1606" t="str"/>
      <x:c r="L8" s="1606" t="str"/>
      <x:c r="M8" s="1606" t="str"/>
      <x:c r="N8" s="1606" t="str"/>
      <x:c r="O8" s="1521" t="str">
        <x:v>未承認</x:v>
      </x:c>
      <x:c r="P8" s="2125" t="str"/>
      <x:c r="Q8" s="2125" t="str"/>
      <x:c r="R8" s="2118" t="str">
        <x:v>受付</x:v>
      </x:c>
    </x:row>
    <x:row r="9">
      <x:c r="A9" s="2117" t="str">
        <x:v>ED-YYYY-0005</x:v>
      </x:c>
      <x:c r="B9" s="2125" t="str"/>
      <x:c r="C9" s="1521" t="str"/>
      <x:c r="D9" s="1521" t="str"/>
      <x:c r="E9" s="1521" t="str"/>
      <x:c r="F9" s="1521" t="str"/>
      <x:c r="G9" s="1521" t="str">
        <x:v>未入力</x:v>
      </x:c>
      <x:c r="H9" s="1521" t="str">
        <x:v>なし</x:v>
      </x:c>
      <x:c r="I9" s="1521" t="str">
        <x:v>未着手</x:v>
      </x:c>
      <x:c r="J9" s="1606" t="str"/>
      <x:c r="K9" s="1606" t="str"/>
      <x:c r="L9" s="1606" t="str"/>
      <x:c r="M9" s="1606" t="str"/>
      <x:c r="N9" s="1606" t="str"/>
      <x:c r="O9" s="1521" t="str">
        <x:v>未承認</x:v>
      </x:c>
      <x:c r="P9" s="2125" t="str"/>
      <x:c r="Q9" s="2125" t="str"/>
      <x:c r="R9" s="2118" t="str">
        <x:v>受付</x:v>
      </x:c>
    </x:row>
    <x:row r="10">
      <x:c r="A10" s="2117" t="str">
        <x:v>ED-YYYY-0006</x:v>
      </x:c>
      <x:c r="B10" s="2125" t="str"/>
      <x:c r="C10" s="1521" t="str"/>
      <x:c r="D10" s="1521" t="str"/>
      <x:c r="E10" s="1521" t="str"/>
      <x:c r="F10" s="1521" t="str"/>
      <x:c r="G10" s="1521" t="str">
        <x:v>未入力</x:v>
      </x:c>
      <x:c r="H10" s="1521" t="str">
        <x:v>なし</x:v>
      </x:c>
      <x:c r="I10" s="1521" t="str">
        <x:v>未着手</x:v>
      </x:c>
      <x:c r="J10" s="1606" t="str"/>
      <x:c r="K10" s="1606" t="str"/>
      <x:c r="L10" s="1606" t="str"/>
      <x:c r="M10" s="1606" t="str"/>
      <x:c r="N10" s="1606" t="str"/>
      <x:c r="O10" s="1521" t="str">
        <x:v>未承認</x:v>
      </x:c>
      <x:c r="P10" s="2125" t="str"/>
      <x:c r="Q10" s="2125" t="str"/>
      <x:c r="R10" s="2118" t="str">
        <x:v>受付</x:v>
      </x:c>
    </x:row>
    <x:row r="11">
      <x:c r="A11" s="2117" t="str">
        <x:v>ED-YYYY-0007</x:v>
      </x:c>
      <x:c r="B11" s="2125" t="str"/>
      <x:c r="C11" s="1521" t="str"/>
      <x:c r="D11" s="1521" t="str"/>
      <x:c r="E11" s="1521" t="str"/>
      <x:c r="F11" s="1521" t="str"/>
      <x:c r="G11" s="1521" t="str">
        <x:v>未入力</x:v>
      </x:c>
      <x:c r="H11" s="1521" t="str">
        <x:v>なし</x:v>
      </x:c>
      <x:c r="I11" s="1521" t="str">
        <x:v>未着手</x:v>
      </x:c>
      <x:c r="J11" s="1606" t="str"/>
      <x:c r="K11" s="1606" t="str"/>
      <x:c r="L11" s="1606" t="str"/>
      <x:c r="M11" s="1606" t="str"/>
      <x:c r="N11" s="1606" t="str"/>
      <x:c r="O11" s="1521" t="str">
        <x:v>未承認</x:v>
      </x:c>
      <x:c r="P11" s="2125" t="str"/>
      <x:c r="Q11" s="2125" t="str"/>
      <x:c r="R11" s="2118" t="str">
        <x:v>受付</x:v>
      </x:c>
    </x:row>
    <x:row r="12">
      <x:c r="A12" s="2117" t="str">
        <x:v>ED-YYYY-0008</x:v>
      </x:c>
      <x:c r="B12" s="2125" t="str"/>
      <x:c r="C12" s="1521" t="str"/>
      <x:c r="D12" s="1521" t="str"/>
      <x:c r="E12" s="1521" t="str"/>
      <x:c r="F12" s="1521" t="str"/>
      <x:c r="G12" s="1521" t="str">
        <x:v>未入力</x:v>
      </x:c>
      <x:c r="H12" s="1521" t="str">
        <x:v>なし</x:v>
      </x:c>
      <x:c r="I12" s="1521" t="str">
        <x:v>未着手</x:v>
      </x:c>
      <x:c r="J12" s="1606" t="str"/>
      <x:c r="K12" s="1606" t="str"/>
      <x:c r="L12" s="1606" t="str"/>
      <x:c r="M12" s="1606" t="str"/>
      <x:c r="N12" s="1606" t="str"/>
      <x:c r="O12" s="1521" t="str">
        <x:v>未承認</x:v>
      </x:c>
      <x:c r="P12" s="2125" t="str"/>
      <x:c r="Q12" s="2125" t="str"/>
      <x:c r="R12" s="2118" t="str">
        <x:v>受付</x:v>
      </x:c>
    </x:row>
    <x:row r="13">
      <x:c r="A13" s="2117" t="str">
        <x:v>ED-YYYY-0009</x:v>
      </x:c>
      <x:c r="B13" s="2125" t="str"/>
      <x:c r="C13" s="1521" t="str"/>
      <x:c r="D13" s="1521" t="str"/>
      <x:c r="E13" s="1521" t="str"/>
      <x:c r="F13" s="1521" t="str"/>
      <x:c r="G13" s="1521" t="str">
        <x:v>未入力</x:v>
      </x:c>
      <x:c r="H13" s="1521" t="str">
        <x:v>なし</x:v>
      </x:c>
      <x:c r="I13" s="1521" t="str">
        <x:v>未着手</x:v>
      </x:c>
      <x:c r="J13" s="1606" t="str"/>
      <x:c r="K13" s="1606" t="str"/>
      <x:c r="L13" s="1606" t="str"/>
      <x:c r="M13" s="1606" t="str"/>
      <x:c r="N13" s="1606" t="str"/>
      <x:c r="O13" s="1521" t="str">
        <x:v>未承認</x:v>
      </x:c>
      <x:c r="P13" s="2125" t="str"/>
      <x:c r="Q13" s="2125" t="str"/>
      <x:c r="R13" s="2118" t="str">
        <x:v>受付</x:v>
      </x:c>
    </x:row>
    <x:row r="14">
      <x:c r="A14" s="2117" t="str">
        <x:v>ED-YYYY-0010</x:v>
      </x:c>
      <x:c r="B14" s="2125" t="str"/>
      <x:c r="C14" s="1521" t="str"/>
      <x:c r="D14" s="1521" t="str"/>
      <x:c r="E14" s="1521" t="str"/>
      <x:c r="F14" s="1521" t="str"/>
      <x:c r="G14" s="1521" t="str">
        <x:v>未入力</x:v>
      </x:c>
      <x:c r="H14" s="1521" t="str">
        <x:v>なし</x:v>
      </x:c>
      <x:c r="I14" s="1521" t="str">
        <x:v>未着手</x:v>
      </x:c>
      <x:c r="J14" s="1606" t="str"/>
      <x:c r="K14" s="1606" t="str"/>
      <x:c r="L14" s="1606" t="str"/>
      <x:c r="M14" s="1606" t="str"/>
      <x:c r="N14" s="1606" t="str"/>
      <x:c r="O14" s="1521" t="str">
        <x:v>未承認</x:v>
      </x:c>
      <x:c r="P14" s="2125" t="str"/>
      <x:c r="Q14" s="2125" t="str"/>
      <x:c r="R14" s="2118" t="str">
        <x:v>受付</x:v>
      </x:c>
    </x:row>
    <x:row r="15">
      <x:c r="A15" s="2117" t="str">
        <x:v>ED-YYYY-0011</x:v>
      </x:c>
      <x:c r="B15" s="2125" t="str"/>
      <x:c r="C15" s="1521" t="str"/>
      <x:c r="D15" s="1521" t="str"/>
      <x:c r="E15" s="1521" t="str"/>
      <x:c r="F15" s="1521" t="str"/>
      <x:c r="G15" s="1521" t="str">
        <x:v>未入力</x:v>
      </x:c>
      <x:c r="H15" s="1521" t="str">
        <x:v>なし</x:v>
      </x:c>
      <x:c r="I15" s="1521" t="str">
        <x:v>未着手</x:v>
      </x:c>
      <x:c r="J15" s="1606" t="str"/>
      <x:c r="K15" s="1606" t="str"/>
      <x:c r="L15" s="1606" t="str"/>
      <x:c r="M15" s="1606" t="str"/>
      <x:c r="N15" s="1606" t="str"/>
      <x:c r="O15" s="1521" t="str">
        <x:v>未承認</x:v>
      </x:c>
      <x:c r="P15" s="2125" t="str"/>
      <x:c r="Q15" s="2125" t="str"/>
      <x:c r="R15" s="2118" t="str">
        <x:v>受付</x:v>
      </x:c>
    </x:row>
    <x:row r="16">
      <x:c r="A16" s="2117" t="str">
        <x:v>ED-YYYY-0012</x:v>
      </x:c>
      <x:c r="B16" s="2125" t="str"/>
      <x:c r="C16" s="1521" t="str"/>
      <x:c r="D16" s="1521" t="str"/>
      <x:c r="E16" s="1521" t="str"/>
      <x:c r="F16" s="1521" t="str"/>
      <x:c r="G16" s="1521" t="str">
        <x:v>未入力</x:v>
      </x:c>
      <x:c r="H16" s="1521" t="str">
        <x:v>なし</x:v>
      </x:c>
      <x:c r="I16" s="1521" t="str">
        <x:v>未着手</x:v>
      </x:c>
      <x:c r="J16" s="1606" t="str"/>
      <x:c r="K16" s="1606" t="str"/>
      <x:c r="L16" s="1606" t="str"/>
      <x:c r="M16" s="1606" t="str"/>
      <x:c r="N16" s="1606" t="str"/>
      <x:c r="O16" s="1521" t="str">
        <x:v>未承認</x:v>
      </x:c>
      <x:c r="P16" s="2125" t="str"/>
      <x:c r="Q16" s="2125" t="str"/>
      <x:c r="R16" s="2118" t="str">
        <x:v>受付</x:v>
      </x:c>
    </x:row>
    <x:row r="17">
      <x:c r="A17" s="2117" t="str">
        <x:v>ED-YYYY-0013</x:v>
      </x:c>
      <x:c r="B17" s="2125" t="str"/>
      <x:c r="C17" s="1521" t="str"/>
      <x:c r="D17" s="1521" t="str"/>
      <x:c r="E17" s="1521" t="str"/>
      <x:c r="F17" s="1521" t="str"/>
      <x:c r="G17" s="1521" t="str">
        <x:v>未入力</x:v>
      </x:c>
      <x:c r="H17" s="1521" t="str">
        <x:v>なし</x:v>
      </x:c>
      <x:c r="I17" s="1521" t="str">
        <x:v>未着手</x:v>
      </x:c>
      <x:c r="J17" s="1606" t="str"/>
      <x:c r="K17" s="1606" t="str"/>
      <x:c r="L17" s="1606" t="str"/>
      <x:c r="M17" s="1606" t="str"/>
      <x:c r="N17" s="1606" t="str"/>
      <x:c r="O17" s="1521" t="str">
        <x:v>未承認</x:v>
      </x:c>
      <x:c r="P17" s="2125" t="str"/>
      <x:c r="Q17" s="2125" t="str"/>
      <x:c r="R17" s="2118" t="str">
        <x:v>受付</x:v>
      </x:c>
    </x:row>
    <x:row r="18">
      <x:c r="A18" s="2117" t="str">
        <x:v>ED-YYYY-0014</x:v>
      </x:c>
      <x:c r="B18" s="2125" t="str"/>
      <x:c r="C18" s="1521" t="str"/>
      <x:c r="D18" s="1521" t="str"/>
      <x:c r="E18" s="1521" t="str"/>
      <x:c r="F18" s="1521" t="str"/>
      <x:c r="G18" s="1521" t="str">
        <x:v>未入力</x:v>
      </x:c>
      <x:c r="H18" s="1521" t="str">
        <x:v>なし</x:v>
      </x:c>
      <x:c r="I18" s="1521" t="str">
        <x:v>未着手</x:v>
      </x:c>
      <x:c r="J18" s="1606" t="str"/>
      <x:c r="K18" s="1606" t="str"/>
      <x:c r="L18" s="1606" t="str"/>
      <x:c r="M18" s="1606" t="str"/>
      <x:c r="N18" s="1606" t="str"/>
      <x:c r="O18" s="1521" t="str">
        <x:v>未承認</x:v>
      </x:c>
      <x:c r="P18" s="2125" t="str"/>
      <x:c r="Q18" s="2125" t="str"/>
      <x:c r="R18" s="2118" t="str">
        <x:v>受付</x:v>
      </x:c>
    </x:row>
    <x:row r="19">
      <x:c r="A19" s="2117" t="str">
        <x:v>ED-YYYY-0015</x:v>
      </x:c>
      <x:c r="B19" s="2125" t="str"/>
      <x:c r="C19" s="1521" t="str"/>
      <x:c r="D19" s="1521" t="str"/>
      <x:c r="E19" s="1521" t="str"/>
      <x:c r="F19" s="1521" t="str"/>
      <x:c r="G19" s="1521" t="str">
        <x:v>未入力</x:v>
      </x:c>
      <x:c r="H19" s="1521" t="str">
        <x:v>なし</x:v>
      </x:c>
      <x:c r="I19" s="1521" t="str">
        <x:v>未着手</x:v>
      </x:c>
      <x:c r="J19" s="1606" t="str"/>
      <x:c r="K19" s="1606" t="str"/>
      <x:c r="L19" s="1606" t="str"/>
      <x:c r="M19" s="1606" t="str"/>
      <x:c r="N19" s="1606" t="str"/>
      <x:c r="O19" s="1521" t="str">
        <x:v>未承認</x:v>
      </x:c>
      <x:c r="P19" s="2125" t="str"/>
      <x:c r="Q19" s="2125" t="str"/>
      <x:c r="R19" s="2118" t="str">
        <x:v>受付</x:v>
      </x:c>
    </x:row>
    <x:row r="20">
      <x:c r="A20" s="2117" t="str">
        <x:v>ED-YYYY-0016</x:v>
      </x:c>
      <x:c r="B20" s="2125" t="str"/>
      <x:c r="C20" s="1521" t="str"/>
      <x:c r="D20" s="1521" t="str"/>
      <x:c r="E20" s="1521" t="str"/>
      <x:c r="F20" s="1521" t="str"/>
      <x:c r="G20" s="1521" t="str">
        <x:v>未入力</x:v>
      </x:c>
      <x:c r="H20" s="1521" t="str">
        <x:v>なし</x:v>
      </x:c>
      <x:c r="I20" s="1521" t="str">
        <x:v>未着手</x:v>
      </x:c>
      <x:c r="J20" s="1606" t="str"/>
      <x:c r="K20" s="1606" t="str"/>
      <x:c r="L20" s="1606" t="str"/>
      <x:c r="M20" s="1606" t="str"/>
      <x:c r="N20" s="1606" t="str"/>
      <x:c r="O20" s="1521" t="str">
        <x:v>未承認</x:v>
      </x:c>
      <x:c r="P20" s="2125" t="str"/>
      <x:c r="Q20" s="2125" t="str"/>
      <x:c r="R20" s="2118" t="str">
        <x:v>受付</x:v>
      </x:c>
    </x:row>
    <x:row r="21">
      <x:c r="A21" s="2117" t="str">
        <x:v>ED-YYYY-0017</x:v>
      </x:c>
      <x:c r="B21" s="2125" t="str"/>
      <x:c r="C21" s="1521" t="str"/>
      <x:c r="D21" s="1521" t="str"/>
      <x:c r="E21" s="1521" t="str"/>
      <x:c r="F21" s="1521" t="str"/>
      <x:c r="G21" s="1521" t="str">
        <x:v>未入力</x:v>
      </x:c>
      <x:c r="H21" s="1521" t="str">
        <x:v>なし</x:v>
      </x:c>
      <x:c r="I21" s="1521" t="str">
        <x:v>未着手</x:v>
      </x:c>
      <x:c r="J21" s="1606" t="str"/>
      <x:c r="K21" s="1606" t="str"/>
      <x:c r="L21" s="1606" t="str"/>
      <x:c r="M21" s="1606" t="str"/>
      <x:c r="N21" s="1606" t="str"/>
      <x:c r="O21" s="1521" t="str">
        <x:v>未承認</x:v>
      </x:c>
      <x:c r="P21" s="2125" t="str"/>
      <x:c r="Q21" s="2125" t="str"/>
      <x:c r="R21" s="2118" t="str">
        <x:v>受付</x:v>
      </x:c>
    </x:row>
    <x:row r="22">
      <x:c r="A22" s="2117" t="str">
        <x:v>ED-YYYY-0018</x:v>
      </x:c>
      <x:c r="B22" s="2125" t="str"/>
      <x:c r="C22" s="1521" t="str"/>
      <x:c r="D22" s="1521" t="str"/>
      <x:c r="E22" s="1521" t="str"/>
      <x:c r="F22" s="1521" t="str"/>
      <x:c r="G22" s="1521" t="str">
        <x:v>未入力</x:v>
      </x:c>
      <x:c r="H22" s="1521" t="str">
        <x:v>なし</x:v>
      </x:c>
      <x:c r="I22" s="1521" t="str">
        <x:v>未着手</x:v>
      </x:c>
      <x:c r="J22" s="1606" t="str"/>
      <x:c r="K22" s="1606" t="str"/>
      <x:c r="L22" s="1606" t="str"/>
      <x:c r="M22" s="1606" t="str"/>
      <x:c r="N22" s="1606" t="str"/>
      <x:c r="O22" s="1521" t="str">
        <x:v>未承認</x:v>
      </x:c>
      <x:c r="P22" s="2125" t="str"/>
      <x:c r="Q22" s="2125" t="str"/>
      <x:c r="R22" s="2118" t="str">
        <x:v>受付</x:v>
      </x:c>
    </x:row>
    <x:row r="23">
      <x:c r="A23" s="2117" t="str">
        <x:v>ED-YYYY-0019</x:v>
      </x:c>
      <x:c r="B23" s="2125" t="str"/>
      <x:c r="C23" s="1521" t="str"/>
      <x:c r="D23" s="1521" t="str"/>
      <x:c r="E23" s="1521" t="str"/>
      <x:c r="F23" s="1521" t="str"/>
      <x:c r="G23" s="1521" t="str">
        <x:v>未入力</x:v>
      </x:c>
      <x:c r="H23" s="1521" t="str">
        <x:v>なし</x:v>
      </x:c>
      <x:c r="I23" s="1521" t="str">
        <x:v>未着手</x:v>
      </x:c>
      <x:c r="J23" s="1606" t="str"/>
      <x:c r="K23" s="1606" t="str"/>
      <x:c r="L23" s="1606" t="str"/>
      <x:c r="M23" s="1606" t="str"/>
      <x:c r="N23" s="1606" t="str"/>
      <x:c r="O23" s="1521" t="str">
        <x:v>未承認</x:v>
      </x:c>
      <x:c r="P23" s="2125" t="str"/>
      <x:c r="Q23" s="2125" t="str"/>
      <x:c r="R23" s="2118" t="str">
        <x:v>受付</x:v>
      </x:c>
    </x:row>
    <x:row r="24">
      <x:c r="A24" s="2119" t="str">
        <x:v>ED-YYYY-0020</x:v>
      </x:c>
      <x:c r="B24" s="2126" t="str"/>
      <x:c r="C24" s="2120" t="str"/>
      <x:c r="D24" s="2120" t="str"/>
      <x:c r="E24" s="2120" t="str"/>
      <x:c r="F24" s="2120" t="str"/>
      <x:c r="G24" s="2120" t="str">
        <x:v>未入力</x:v>
      </x:c>
      <x:c r="H24" s="2120" t="str">
        <x:v>なし</x:v>
      </x:c>
      <x:c r="I24" s="2120" t="str">
        <x:v>未着手</x:v>
      </x:c>
      <x:c r="J24" s="2128" t="str"/>
      <x:c r="K24" s="2128" t="str"/>
      <x:c r="L24" s="2128" t="str"/>
      <x:c r="M24" s="2128" t="str"/>
      <x:c r="N24" s="2128" t="str"/>
      <x:c r="O24" s="2120" t="str">
        <x:v>未承認</x:v>
      </x:c>
      <x:c r="P24" s="2126" t="str"/>
      <x:c r="Q24" s="2126" t="str"/>
      <x:c r="R24" s="2121" t="str">
        <x:v>受付</x:v>
      </x:c>
    </x:row>
    <x:row r="27" ht="38" customHeight="1">
      <x:c r="A27" s="2095" t="str">
        <x:v>運用サマリー</x:v>
      </x:c>
      <x:c r="B27" s="2096" t="str">
        <x:v>値</x:v>
      </x:c>
      <x:c r="C27" s="2097" t="str">
        <x:v>定義</x:v>
      </x:c>
      <x:c r="D27"/>
      <x:c r="E27"/>
      <x:c r="F27"/>
      <x:c r="G27"/>
      <x:c r="H27"/>
    </x:row>
    <x:row r="28">
      <x:c r="A28" s="2114" t="str">
        <x:v>受付件数</x:v>
      </x:c>
      <x:c r="B28" s="2115" t="n">
        <x:f>COUNTIF(A5:A24,"ED-*")</x:f>
        <x:v>0</x:v>
      </x:c>
      <x:c r="C28" s="2116" t="str">
        <x:v>台帳登録件数</x:v>
      </x:c>
      <x:c r="D28"/>
      <x:c r="E28"/>
      <x:c r="F28"/>
      <x:c r="G28"/>
      <x:c r="H28"/>
    </x:row>
    <x:row r="29">
      <x:c r="A29" s="2117" t="str">
        <x:v>診断完了</x:v>
      </x:c>
      <x:c r="B29" s="1521" t="n">
        <x:f>COUNTIF(I5:I24,"完了")</x:f>
        <x:v>0</x:v>
      </x:c>
      <x:c r="C29" s="2118" t="str">
        <x:v>診断状態が完了</x:v>
      </x:c>
      <x:c r="D29"/>
      <x:c r="E29"/>
      <x:c r="F29"/>
      <x:c r="G29"/>
      <x:c r="H29"/>
    </x:row>
    <x:row r="30">
      <x:c r="A30" s="2117" t="str">
        <x:v>A3送付済</x:v>
      </x:c>
      <x:c r="B30" s="1521" t="n">
        <x:f>COUNT(P5:P24)</x:f>
        <x:v>0</x:v>
      </x:c>
      <x:c r="C30" s="2118" t="str">
        <x:v>送付日入力件数</x:v>
      </x:c>
      <x:c r="D30"/>
      <x:c r="E30"/>
      <x:c r="F30"/>
      <x:c r="G30"/>
      <x:c r="H30"/>
    </x:row>
    <x:row r="31">
      <x:c r="A31" s="2117" t="str">
        <x:v>案件化</x:v>
      </x:c>
      <x:c r="B31" s="1521" t="n">
        <x:f>COUNTIF(R5:R24,"案件化")</x:f>
        <x:v>0</x:v>
      </x:c>
      <x:c r="C31" s="2118" t="str">
        <x:v>案件状態が案件化</x:v>
      </x:c>
      <x:c r="D31"/>
      <x:c r="E31"/>
      <x:c r="F31"/>
      <x:c r="G31"/>
      <x:c r="H31"/>
    </x:row>
    <x:row r="32">
      <x:c r="A32" s="2117" t="str">
        <x:v>期限超過</x:v>
      </x:c>
      <x:c r="B32" s="1521" t="n">
        <x:f>COUNTIFS(Q5:Q24,"&lt;"&amp;TODAY(),Q5:Q24,"&gt;0",R5:R24,"&lt;&gt;案件化",R5:R24,"&lt;&gt;終了")</x:f>
        <x:v>0</x:v>
      </x:c>
      <x:c r="C32" s="2118" t="str">
        <x:v>フォロー期限超過</x:v>
      </x:c>
      <x:c r="D32"/>
      <x:c r="E32"/>
      <x:c r="F32"/>
      <x:c r="G32"/>
      <x:c r="H32"/>
    </x:row>
    <x:row r="33">
      <x:c r="A33" s="2119" t="str">
        <x:v>平均処理日数</x:v>
      </x:c>
      <x:c r="B33" s="2129" t="str">
        <x:f>IFERROR(AVERAGEIFS(P5:P24,B5:B24,"&gt;0",P5:P24,"&gt;0")-AVERAGEIFS(B5:B24,B5:B24,"&gt;0",P5:P24,"&gt;0"),"")</x:f>
      </x:c>
      <x:c r="C33" s="2121" t="str">
        <x:v>受付日から送付日までの概算</x:v>
      </x:c>
      <x:c r="D33"/>
      <x:c r="E33"/>
      <x:c r="F33"/>
      <x:c r="G33"/>
      <x:c r="H33"/>
    </x:row>
  </x:sheetData>
  <x:mergeCells>
    <x:mergeCell ref="A1:R1"/>
    <x:mergeCell ref="A2:R2"/>
  </x:mergeCells>
  <x:conditionalFormatting sqref="O5:O24">
    <x:cfRule type="expression" dxfId="18" priority="1">
      <x:formula>O5="承認"</x:formula>
    </x:cfRule>
    <x:cfRule type="expression" dxfId="19" priority="2">
      <x:formula>O5="差戻し"</x:formula>
    </x:cfRule>
  </x:conditionalFormatting>
  <x:conditionalFormatting sqref="Q5:Q24">
    <x:cfRule type="expression" dxfId="20" priority="3">
      <x:formula>AND(Q5&lt;TODAY(),R5&lt;&gt;"案件化",R5&lt;&gt;"終了",Q5&lt;&gt;"")</x:formula>
    </x:cfRule>
  </x:conditionalFormatting>
  <x:dataValidations count="5">
    <x:dataValidation type="list" sqref="G5:G24">
      <x:formula1>"未入力,入力中,完了,差戻し"</x:formula1>
    </x:dataValidation>
    <x:dataValidation type="list" sqref="H5:H24">
      <x:formula1>"なし,あり,受領待ち"</x:formula1>
    </x:dataValidation>
    <x:dataValidation type="list" sqref="I5:I24">
      <x:formula1>"未着手,計算済,レビュー中,完了,停止"</x:formula1>
    </x:dataValidation>
    <x:dataValidation type="list" sqref="O5:O24">
      <x:formula1>"未承認,レビュー中,承認,差戻し"</x:formula1>
    </x:dataValidation>
    <x:dataValidation type="list" sqref="R5:R24">
      <x:formula1>"受付,診断中,送付済,フォロー中,案件化,保留,終了"</x:formula1>
    </x:dataValidation>
  </x:dataValidations>
  <x:pageMargins left="0.7" right="0.7" top="0.75" bottom="0.75" header="0.3" footer="0.3"/>
</x:worksheet>
</file>

<file path=xl/worksheets/sheet56.xml><?xml version="1.0" encoding="utf-8"?>
<x:worksheet xmlns:x="http://schemas.openxmlformats.org/spreadsheetml/2006/main">
  <x:sheetFormatPr defaultRowHeight="15"/>
  <x:cols>
    <x:col min="1" max="1" width="12" hidden="0" customWidth="1"/>
    <x:col min="2" max="2" width="16" hidden="0" customWidth="1"/>
    <x:col min="3" max="3" width="34" hidden="0" customWidth="1"/>
    <x:col min="4" max="4" width="30" hidden="0" customWidth="1"/>
    <x:col min="5" max="5" width="34" hidden="0" customWidth="1"/>
    <x:col min="6" max="6" width="12" hidden="0" customWidth="1"/>
    <x:col min="7" max="7" width="18" hidden="0" customWidth="1"/>
    <x:col min="8" max="8" width="14" hidden="0" customWidth="1"/>
    <x:col min="9" max="9" width="14" hidden="0" customWidth="1"/>
    <x:col min="10" max="10" width="14" hidden="0" customWidth="1"/>
    <x:col min="11" max="11" width="14" hidden="0" customWidth="1"/>
    <x:col min="12" max="12" width="22" hidden="0" customWidth="1"/>
    <x:col min="13" max="13" width="22" hidden="0" customWidth="1"/>
    <x:col min="14" max="14" width="12" hidden="0" customWidth="1"/>
    <x:col min="15" max="15" width="14" hidden="0" customWidth="1"/>
    <x:col min="16" max="16" width="22" hidden="0" customWidth="1"/>
  </x:cols>
  <x:sheetData>
    <x:row r="1" ht="28" customHeight="1">
      <x:c r="A1" s="2080" t="str">
        <x:v>55_Stage1受入テスト</x:v>
      </x:c>
      <x:c r="B1" s="2080"/>
      <x:c r="C1" s="2080"/>
      <x:c r="D1" s="2080"/>
      <x:c r="E1" s="2080"/>
      <x:c r="F1" s="2080"/>
      <x:c r="G1" s="2080"/>
      <x:c r="H1" s="2080"/>
      <x:c r="I1" s="2080"/>
      <x:c r="J1" s="2080"/>
      <x:c r="K1" s="2080"/>
      <x:c r="L1" s="2080"/>
      <x:c r="M1" s="2080"/>
      <x:c r="N1" s="2080"/>
      <x:c r="O1" s="2080"/>
      <x:c r="P1" s="2080"/>
    </x:row>
    <x:row r="2" ht="36" customHeight="1">
      <x:c r="A2" s="2083" t="str">
        <x:v>社内入力版を実運用に移す前に、計算・文章・A3・秘密情報・AI・承認・送付を確認する。</x:v>
      </x:c>
      <x:c r="B2" s="2083"/>
      <x:c r="C2" s="2083"/>
      <x:c r="D2" s="2083"/>
      <x:c r="E2" s="2083"/>
      <x:c r="F2" s="2083"/>
      <x:c r="G2" s="2083"/>
      <x:c r="H2" s="2083"/>
      <x:c r="I2" s="2083"/>
      <x:c r="J2" s="2083"/>
      <x:c r="K2" s="2083"/>
      <x:c r="L2" s="2083"/>
      <x:c r="M2" s="2083"/>
      <x:c r="N2" s="2083"/>
      <x:c r="O2" s="2083"/>
      <x:c r="P2" s="2083"/>
    </x:row>
    <x:row r="4" ht="38" customHeight="1">
      <x:c r="A4" s="2095" t="str">
        <x:v>Test ID</x:v>
      </x:c>
      <x:c r="B4" s="2096" t="str">
        <x:v>分類</x:v>
      </x:c>
      <x:c r="C4" s="2096" t="str">
        <x:v>テスト内容</x:v>
      </x:c>
      <x:c r="D4" s="2096" t="str">
        <x:v>入力・前提</x:v>
      </x:c>
      <x:c r="E4" s="2096" t="str">
        <x:v>期待結果</x:v>
      </x:c>
      <x:c r="F4" s="2096" t="str">
        <x:v>重要度</x:v>
      </x:c>
      <x:c r="G4" s="2096" t="str">
        <x:v>実施者</x:v>
      </x:c>
      <x:c r="H4" s="2096" t="str">
        <x:v>実施日</x:v>
      </x:c>
      <x:c r="I4" s="2096" t="str">
        <x:v>結果</x:v>
      </x:c>
      <x:c r="J4" s="2096" t="str">
        <x:v>不具合ID</x:v>
      </x:c>
      <x:c r="K4" s="2096" t="str">
        <x:v>再試験</x:v>
      </x:c>
      <x:c r="L4" s="2096" t="str">
        <x:v>証跡</x:v>
      </x:c>
      <x:c r="M4" s="2096" t="str">
        <x:v>関連仕様</x:v>
      </x:c>
      <x:c r="N4" s="2096" t="str">
        <x:v>Gate</x:v>
      </x:c>
      <x:c r="O4" s="2096" t="str">
        <x:v>状態</x:v>
      </x:c>
      <x:c r="P4" s="2097" t="str">
        <x:v>備考</x:v>
      </x:c>
    </x:row>
    <x:row r="5">
      <x:c r="A5" s="2141" t="str">
        <x:v>ST1-001</x:v>
      </x:c>
      <x:c r="B5" s="2142" t="str">
        <x:v>案件管理</x:v>
      </x:c>
      <x:c r="C5" s="2142" t="str">
        <x:v>診断IDを一意に発行し案件情報を保存</x:v>
      </x:c>
      <x:c r="D5" s="2142" t="str">
        <x:v>新規案件2件</x:v>
      </x:c>
      <x:c r="E5" s="2142" t="str">
        <x:v>重複せず検索できる</x:v>
      </x:c>
      <x:c r="F5" s="2142" t="str">
        <x:v>S</x:v>
      </x:c>
      <x:c r="G5" s="2142" t="str"/>
      <x:c r="H5" s="2142" t="str"/>
      <x:c r="I5" s="2142" t="str"/>
      <x:c r="J5" s="2142" t="str"/>
      <x:c r="K5" s="2142" t="str"/>
      <x:c r="L5" s="2142" t="str"/>
      <x:c r="M5" s="2142" t="str">
        <x:v>MVP-001/DAT-001～008</x:v>
      </x:c>
      <x:c r="N5" s="2142" t="str">
        <x:v>GT-I1</x:v>
      </x:c>
      <x:c r="O5" s="2142" t="str">
        <x:v>未実施</x:v>
      </x:c>
      <x:c r="P5" s="2143" t="str"/>
    </x:row>
    <x:row r="6">
      <x:c r="A6" s="2144" t="str">
        <x:v>ST1-002</x:v>
      </x:c>
      <x:c r="B6" s="1521" t="str">
        <x:v>入力</x:v>
      </x:c>
      <x:c r="C6" s="1521" t="str">
        <x:v>全質問に回答し、不明を選択できる</x:v>
      </x:c>
      <x:c r="D6" s="1521" t="str">
        <x:v>TC-A</x:v>
      </x:c>
      <x:c r="E6" s="1521" t="str">
        <x:v>入力値が正しく保存される</x:v>
      </x:c>
      <x:c r="F6" s="1521" t="str">
        <x:v>S</x:v>
      </x:c>
      <x:c r="G6" s="1521" t="str"/>
      <x:c r="H6" s="1521" t="str"/>
      <x:c r="I6" s="1521" t="str"/>
      <x:c r="J6" s="1521" t="str"/>
      <x:c r="K6" s="1521" t="str"/>
      <x:c r="L6" s="1521" t="str"/>
      <x:c r="M6" s="1521" t="str">
        <x:v>MVP-002</x:v>
      </x:c>
      <x:c r="N6" s="1521" t="str">
        <x:v>GT-I1</x:v>
      </x:c>
      <x:c r="O6" s="1521" t="str">
        <x:v>未実施</x:v>
      </x:c>
      <x:c r="P6" s="2145" t="str"/>
    </x:row>
    <x:row r="7">
      <x:c r="A7" s="2144" t="str">
        <x:v>ST1-003</x:v>
      </x:c>
      <x:c r="B7" s="1521" t="str">
        <x:v>入力検証</x:v>
      </x:c>
      <x:c r="C7" s="1521" t="str">
        <x:v>不正選択・必須未入力を検出</x:v>
      </x:c>
      <x:c r="D7" s="1521" t="str">
        <x:v>未入力・範囲外</x:v>
      </x:c>
      <x:c r="E7" s="1521" t="str">
        <x:v>計算前に警告・停止</x:v>
      </x:c>
      <x:c r="F7" s="1521" t="str">
        <x:v>S</x:v>
      </x:c>
      <x:c r="G7" s="1521" t="str"/>
      <x:c r="H7" s="1521" t="str"/>
      <x:c r="I7" s="1521" t="str"/>
      <x:c r="J7" s="1521" t="str"/>
      <x:c r="K7" s="1521" t="str"/>
      <x:c r="L7" s="1521" t="str"/>
      <x:c r="M7" s="1521" t="str">
        <x:v>MVP-002</x:v>
      </x:c>
      <x:c r="N7" s="1521" t="str">
        <x:v>GT-I1</x:v>
      </x:c>
      <x:c r="O7" s="1521" t="str">
        <x:v>未実施</x:v>
      </x:c>
      <x:c r="P7" s="2145" t="str"/>
    </x:row>
    <x:row r="8">
      <x:c r="A8" s="2144" t="str">
        <x:v>ST1-004</x:v>
      </x:c>
      <x:c r="B8" s="1521" t="str">
        <x:v>整合性</x:v>
      </x:c>
      <x:c r="C8" s="1521" t="str">
        <x:v>L0矛盾ケースを検出</x:v>
      </x:c>
      <x:c r="D8" s="1521" t="str">
        <x:v>矛盾回答</x:v>
      </x:c>
      <x:c r="E8" s="1521" t="str">
        <x:v>該当項目の断定を停止</x:v>
      </x:c>
      <x:c r="F8" s="1521" t="str">
        <x:v>S</x:v>
      </x:c>
      <x:c r="G8" s="1521" t="str"/>
      <x:c r="H8" s="1521" t="str"/>
      <x:c r="I8" s="1521" t="str"/>
      <x:c r="J8" s="1521" t="str"/>
      <x:c r="K8" s="1521" t="str"/>
      <x:c r="L8" s="1521" t="str"/>
      <x:c r="M8" s="1521" t="str">
        <x:v>MVP-003</x:v>
      </x:c>
      <x:c r="N8" s="1521" t="str">
        <x:v>GT-I1</x:v>
      </x:c>
      <x:c r="O8" s="1521" t="str">
        <x:v>未実施</x:v>
      </x:c>
      <x:c r="P8" s="2145" t="str"/>
    </x:row>
    <x:row r="9">
      <x:c r="A9" s="2144" t="str">
        <x:v>ST1-005</x:v>
      </x:c>
      <x:c r="B9" s="1521" t="str">
        <x:v>算定</x:v>
      </x:c>
      <x:c r="C9" s="1521" t="str">
        <x:v>EDI/DRI/EPIを正式式で計算</x:v>
      </x:c>
      <x:c r="D9" s="1521" t="str">
        <x:v>TC-A</x:v>
      </x:c>
      <x:c r="E9" s="1521" t="str">
        <x:v>設計サンプルと一致</x:v>
      </x:c>
      <x:c r="F9" s="1521" t="str">
        <x:v>S</x:v>
      </x:c>
      <x:c r="G9" s="1521" t="str"/>
      <x:c r="H9" s="1521" t="str"/>
      <x:c r="I9" s="1521" t="str"/>
      <x:c r="J9" s="1521" t="str"/>
      <x:c r="K9" s="1521" t="str"/>
      <x:c r="L9" s="1521" t="str"/>
      <x:c r="M9" s="1521" t="str">
        <x:v>MVP-004～006</x:v>
      </x:c>
      <x:c r="N9" s="1521" t="str">
        <x:v>GT-I1</x:v>
      </x:c>
      <x:c r="O9" s="1521" t="str">
        <x:v>未実施</x:v>
      </x:c>
      <x:c r="P9" s="2145" t="str"/>
    </x:row>
    <x:row r="10">
      <x:c r="A10" s="2144" t="str">
        <x:v>ST1-006</x:v>
      </x:c>
      <x:c r="B10" s="1521" t="str">
        <x:v>診断品質</x:v>
      </x:c>
      <x:c r="C10" s="1521" t="str">
        <x:v>信頼度・充足率・Levelを計算</x:v>
      </x:c>
      <x:c r="D10" s="1521" t="str">
        <x:v>Evidence有無2ケース</x:v>
      </x:c>
      <x:c r="E10" s="1521" t="str">
        <x:v>14シートの帯と一致</x:v>
      </x:c>
      <x:c r="F10" s="1521" t="str">
        <x:v>S</x:v>
      </x:c>
      <x:c r="G10" s="1521" t="str"/>
      <x:c r="H10" s="1521" t="str"/>
      <x:c r="I10" s="1521" t="str"/>
      <x:c r="J10" s="1521" t="str"/>
      <x:c r="K10" s="1521" t="str"/>
      <x:c r="L10" s="1521" t="str"/>
      <x:c r="M10" s="1521" t="str">
        <x:v>MVP-007</x:v>
      </x:c>
      <x:c r="N10" s="1521" t="str">
        <x:v>GT-I1</x:v>
      </x:c>
      <x:c r="O10" s="1521" t="str">
        <x:v>未実施</x:v>
      </x:c>
      <x:c r="P10" s="2145" t="str"/>
    </x:row>
    <x:row r="11">
      <x:c r="A11" s="2144" t="str">
        <x:v>ST1-007</x:v>
      </x:c>
      <x:c r="B11" s="1521" t="str">
        <x:v>Guardrail</x:v>
      </x:c>
      <x:c r="C11" s="1521" t="str">
        <x:v>重大条件を独立表示し順位付け</x:v>
      </x:c>
      <x:c r="D11" s="1521" t="str">
        <x:v>安全・EOL・期限ケース</x:v>
      </x:c>
      <x:c r="E11" s="1521" t="str">
        <x:v>発動・上位3件・Levelが一致</x:v>
      </x:c>
      <x:c r="F11" s="1521" t="str">
        <x:v>S</x:v>
      </x:c>
      <x:c r="G11" s="1521" t="str"/>
      <x:c r="H11" s="1521" t="str"/>
      <x:c r="I11" s="1521" t="str"/>
      <x:c r="J11" s="1521" t="str"/>
      <x:c r="K11" s="1521" t="str"/>
      <x:c r="L11" s="1521" t="str"/>
      <x:c r="M11" s="1521" t="str">
        <x:v>MVP-008</x:v>
      </x:c>
      <x:c r="N11" s="1521" t="str">
        <x:v>GT-I1</x:v>
      </x:c>
      <x:c r="O11" s="1521" t="str">
        <x:v>未実施</x:v>
      </x:c>
      <x:c r="P11" s="2145" t="str"/>
    </x:row>
    <x:row r="12">
      <x:c r="A12" s="2144" t="str">
        <x:v>ST1-008</x:v>
      </x:c>
      <x:c r="B12" s="1521" t="str">
        <x:v>TOP5</x:v>
      </x:c>
      <x:c r="C12" s="1521" t="str">
        <x:v>重複排除・分野上限を適用</x:v>
      </x:c>
      <x:c r="D12" s="1521" t="str">
        <x:v>候補7件</x:v>
      </x:c>
      <x:c r="E12" s="1521" t="str">
        <x:v>最大5件、同分野上限を満たす</x:v>
      </x:c>
      <x:c r="F12" s="1521" t="str">
        <x:v>S</x:v>
      </x:c>
      <x:c r="G12" s="1521" t="str"/>
      <x:c r="H12" s="1521" t="str"/>
      <x:c r="I12" s="1521" t="str"/>
      <x:c r="J12" s="1521" t="str"/>
      <x:c r="K12" s="1521" t="str"/>
      <x:c r="L12" s="1521" t="str"/>
      <x:c r="M12" s="1521" t="str">
        <x:v>MVP-009</x:v>
      </x:c>
      <x:c r="N12" s="1521" t="str">
        <x:v>GT-I1</x:v>
      </x:c>
      <x:c r="O12" s="1521" t="str">
        <x:v>未実施</x:v>
      </x:c>
      <x:c r="P12" s="2145" t="str"/>
    </x:row>
    <x:row r="13">
      <x:c r="A13" s="2144" t="str">
        <x:v>ST1-009</x:v>
      </x:c>
      <x:c r="B13" s="1521" t="str">
        <x:v>コメント</x:v>
      </x:c>
      <x:c r="C13" s="1521" t="str">
        <x:v>承認済みコードだけを選択</x:v>
      </x:c>
      <x:c r="D13" s="1521" t="str">
        <x:v>L1/L2/L3ケース</x:v>
      </x:c>
      <x:c r="E13" s="1521" t="str">
        <x:v>断定Levelに合う部品を選ぶ</x:v>
      </x:c>
      <x:c r="F13" s="1521" t="str">
        <x:v>S</x:v>
      </x:c>
      <x:c r="G13" s="1521" t="str"/>
      <x:c r="H13" s="1521" t="str"/>
      <x:c r="I13" s="1521" t="str"/>
      <x:c r="J13" s="1521" t="str"/>
      <x:c r="K13" s="1521" t="str"/>
      <x:c r="L13" s="1521" t="str"/>
      <x:c r="M13" s="1521" t="str">
        <x:v>MVP-010</x:v>
      </x:c>
      <x:c r="N13" s="1521" t="str">
        <x:v>GT-I1</x:v>
      </x:c>
      <x:c r="O13" s="1521" t="str">
        <x:v>未実施</x:v>
      </x:c>
      <x:c r="P13" s="2145" t="str"/>
    </x:row>
    <x:row r="14">
      <x:c r="A14" s="2144" t="str">
        <x:v>ST1-010</x:v>
      </x:c>
      <x:c r="B14" s="1521" t="str">
        <x:v>AI</x:v>
      </x:c>
      <x:c r="C14" s="1521" t="str">
        <x:v>文章整形で順位・数値・断定を変えない</x:v>
      </x:c>
      <x:c r="D14" s="1521" t="str">
        <x:v>承認部品一式</x:v>
      </x:c>
      <x:c r="E14" s="1521" t="str">
        <x:v>意味不変、禁止事項なし</x:v>
      </x:c>
      <x:c r="F14" s="1521" t="str">
        <x:v>S</x:v>
      </x:c>
      <x:c r="G14" s="1521" t="str"/>
      <x:c r="H14" s="1521" t="str"/>
      <x:c r="I14" s="1521" t="str"/>
      <x:c r="J14" s="1521" t="str"/>
      <x:c r="K14" s="1521" t="str"/>
      <x:c r="L14" s="1521" t="str"/>
      <x:c r="M14" s="1521" t="str">
        <x:v>MVP-011/AIR-*</x:v>
      </x:c>
      <x:c r="N14" s="1521" t="str">
        <x:v>GT-I1</x:v>
      </x:c>
      <x:c r="O14" s="1521" t="str">
        <x:v>未実施</x:v>
      </x:c>
      <x:c r="P14" s="2145" t="str"/>
    </x:row>
    <x:row r="15">
      <x:c r="A15" s="2144" t="str">
        <x:v>ST1-011</x:v>
      </x:c>
      <x:c r="B15" s="1521" t="str">
        <x:v>AI秘密情報</x:v>
      </x:c>
      <x:c r="C15" s="1521" t="str">
        <x:v>承認利用者が案件ID付きで資料を投入・削除</x:v>
      </x:c>
      <x:c r="D15" s="1521" t="str">
        <x:v>条件付き可資料</x:v>
      </x:c>
      <x:c r="E15" s="1521" t="str">
        <x:v>履歴・削除証跡が残る</x:v>
      </x:c>
      <x:c r="F15" s="1521" t="str">
        <x:v>S</x:v>
      </x:c>
      <x:c r="G15" s="1521" t="str"/>
      <x:c r="H15" s="1521" t="str"/>
      <x:c r="I15" s="1521" t="str"/>
      <x:c r="J15" s="1521" t="str"/>
      <x:c r="K15" s="1521" t="str"/>
      <x:c r="L15" s="1521" t="str"/>
      <x:c r="M15" s="1521" t="str">
        <x:v>49/50</x:v>
      </x:c>
      <x:c r="N15" s="1521" t="str">
        <x:v>GT-I1</x:v>
      </x:c>
      <x:c r="O15" s="1521" t="str">
        <x:v>未実施</x:v>
      </x:c>
      <x:c r="P15" s="2145" t="str"/>
    </x:row>
    <x:row r="16">
      <x:c r="A16" s="2144" t="str">
        <x:v>ST1-012</x:v>
      </x:c>
      <x:c r="B16" s="1521" t="str">
        <x:v>A3</x:v>
      </x:c>
      <x:c r="C16" s="1521" t="str">
        <x:v>A3横2ページをPDF化</x:v>
      </x:c>
      <x:c r="D16" s="1521" t="str">
        <x:v>長文・短文ケース</x:v>
      </x:c>
      <x:c r="E16" s="1521" t="str">
        <x:v>文字切れ・重なりなし</x:v>
      </x:c>
      <x:c r="F16" s="1521" t="str">
        <x:v>S</x:v>
      </x:c>
      <x:c r="G16" s="1521" t="str"/>
      <x:c r="H16" s="1521" t="str"/>
      <x:c r="I16" s="1521" t="str"/>
      <x:c r="J16" s="1521" t="str"/>
      <x:c r="K16" s="1521" t="str"/>
      <x:c r="L16" s="1521" t="str"/>
      <x:c r="M16" s="1521" t="str">
        <x:v>MVP-012/18/19</x:v>
      </x:c>
      <x:c r="N16" s="1521" t="str">
        <x:v>GT-I1</x:v>
      </x:c>
      <x:c r="O16" s="1521" t="str">
        <x:v>未実施</x:v>
      </x:c>
      <x:c r="P16" s="2145" t="str"/>
    </x:row>
    <x:row r="17">
      <x:c r="A17" s="2144" t="str">
        <x:v>ST1-013</x:v>
      </x:c>
      <x:c r="B17" s="1521" t="str">
        <x:v>承認</x:v>
      </x:c>
      <x:c r="C17" s="1521" t="str">
        <x:v>未承認PDFの送付を防ぐ</x:v>
      </x:c>
      <x:c r="D17" s="1521" t="str">
        <x:v>承認状態=未承認</x:v>
      </x:c>
      <x:c r="E17" s="1521" t="str">
        <x:v>送付不可・警告</x:v>
      </x:c>
      <x:c r="F17" s="1521" t="str">
        <x:v>S</x:v>
      </x:c>
      <x:c r="G17" s="1521" t="str"/>
      <x:c r="H17" s="1521" t="str"/>
      <x:c r="I17" s="1521" t="str"/>
      <x:c r="J17" s="1521" t="str"/>
      <x:c r="K17" s="1521" t="str"/>
      <x:c r="L17" s="1521" t="str"/>
      <x:c r="M17" s="1521" t="str">
        <x:v>MVP-013</x:v>
      </x:c>
      <x:c r="N17" s="1521" t="str">
        <x:v>GT-I1</x:v>
      </x:c>
      <x:c r="O17" s="1521" t="str">
        <x:v>未実施</x:v>
      </x:c>
      <x:c r="P17" s="2145" t="str"/>
    </x:row>
    <x:row r="18">
      <x:c r="A18" s="2144" t="str">
        <x:v>ST1-014</x:v>
      </x:c>
      <x:c r="B18" s="1521" t="str">
        <x:v>送付</x:v>
      </x:c>
      <x:c r="C18" s="1521" t="str">
        <x:v>承認済みPDFを正しい宛先へ送付・記録</x:v>
      </x:c>
      <x:c r="D18" s="1521" t="str">
        <x:v>テスト宛先</x:v>
      </x:c>
      <x:c r="E18" s="1521" t="str">
        <x:v>送付日・宛先・担当を記録</x:v>
      </x:c>
      <x:c r="F18" s="1521" t="str">
        <x:v>S</x:v>
      </x:c>
      <x:c r="G18" s="1521" t="str"/>
      <x:c r="H18" s="1521" t="str"/>
      <x:c r="I18" s="1521" t="str"/>
      <x:c r="J18" s="1521" t="str"/>
      <x:c r="K18" s="1521" t="str"/>
      <x:c r="L18" s="1521" t="str"/>
      <x:c r="M18" s="1521" t="str">
        <x:v>MVP-014</x:v>
      </x:c>
      <x:c r="N18" s="1521" t="str">
        <x:v>GT-I1</x:v>
      </x:c>
      <x:c r="O18" s="1521" t="str">
        <x:v>未実施</x:v>
      </x:c>
      <x:c r="P18" s="2145" t="str"/>
    </x:row>
    <x:row r="19">
      <x:c r="A19" s="2144" t="str">
        <x:v>ST1-015</x:v>
      </x:c>
      <x:c r="B19" s="1521" t="str">
        <x:v>フォロー</x:v>
      </x:c>
      <x:c r="C19" s="1521" t="str">
        <x:v>送付後5営業日以内の期限を管理</x:v>
      </x:c>
      <x:c r="D19" s="1521" t="str">
        <x:v>送付日入力</x:v>
      </x:c>
      <x:c r="E19" s="1521" t="str">
        <x:v>期限表示・超過警告</x:v>
      </x:c>
      <x:c r="F19" s="1521" t="str">
        <x:v>A</x:v>
      </x:c>
      <x:c r="G19" s="1521" t="str"/>
      <x:c r="H19" s="1521" t="str"/>
      <x:c r="I19" s="1521" t="str"/>
      <x:c r="J19" s="1521" t="str"/>
      <x:c r="K19" s="1521" t="str"/>
      <x:c r="L19" s="1521" t="str"/>
      <x:c r="M19" s="1521" t="str">
        <x:v>43/54</x:v>
      </x:c>
      <x:c r="N19" s="1521" t="str">
        <x:v>GT-I1</x:v>
      </x:c>
      <x:c r="O19" s="1521" t="str">
        <x:v>未実施</x:v>
      </x:c>
      <x:c r="P19" s="2145" t="str"/>
    </x:row>
    <x:row r="20">
      <x:c r="A20" s="2144" t="str">
        <x:v>ST1-016</x:v>
      </x:c>
      <x:c r="B20" s="1521" t="str">
        <x:v>再現性</x:v>
      </x:c>
      <x:c r="C20" s="1521" t="str">
        <x:v>同一入力・同一Versionで再計算</x:v>
      </x:c>
      <x:c r="D20" s="1521" t="str">
        <x:v>同一ケース2回</x:v>
      </x:c>
      <x:c r="E20" s="1521" t="str">
        <x:v>結果・コードが一致</x:v>
      </x:c>
      <x:c r="F20" s="1521" t="str">
        <x:v>S</x:v>
      </x:c>
      <x:c r="G20" s="1521" t="str"/>
      <x:c r="H20" s="1521" t="str"/>
      <x:c r="I20" s="1521" t="str"/>
      <x:c r="J20" s="1521" t="str"/>
      <x:c r="K20" s="1521" t="str"/>
      <x:c r="L20" s="1521" t="str"/>
      <x:c r="M20" s="1521" t="str">
        <x:v>MVP-015</x:v>
      </x:c>
      <x:c r="N20" s="1521" t="str">
        <x:v>GT-I1</x:v>
      </x:c>
      <x:c r="O20" s="1521" t="str">
        <x:v>未実施</x:v>
      </x:c>
      <x:c r="P20" s="2145" t="str"/>
    </x:row>
    <x:row r="21">
      <x:c r="A21" s="2144" t="str">
        <x:v>ST1-017</x:v>
      </x:c>
      <x:c r="B21" s="1521" t="str">
        <x:v>バックアップ</x:v>
      </x:c>
      <x:c r="C21" s="1521" t="str">
        <x:v>台帳・正本・PDFを復旧できる</x:v>
      </x:c>
      <x:c r="D21" s="1521" t="str">
        <x:v>テストファイル</x:v>
      </x:c>
      <x:c r="E21" s="1521" t="str">
        <x:v>情シス指定方法で復旧</x:v>
      </x:c>
      <x:c r="F21" s="1521" t="str">
        <x:v>S</x:v>
      </x:c>
      <x:c r="G21" s="1521" t="str"/>
      <x:c r="H21" s="1521" t="str"/>
      <x:c r="I21" s="1521" t="str"/>
      <x:c r="J21" s="1521" t="str"/>
      <x:c r="K21" s="1521" t="str"/>
      <x:c r="L21" s="1521" t="str"/>
      <x:c r="M21" s="1521" t="str">
        <x:v>IT-019/020</x:v>
      </x:c>
      <x:c r="N21" s="1521" t="str">
        <x:v>GT-I1</x:v>
      </x:c>
      <x:c r="O21" s="1521" t="str">
        <x:v>未実施</x:v>
      </x:c>
      <x:c r="P21" s="2145" t="str"/>
    </x:row>
    <x:row r="22">
      <x:c r="A22" s="2149" t="str">
        <x:v>ST1-018</x:v>
      </x:c>
      <x:c r="B22" s="2120" t="str">
        <x:v>月数件運用</x:v>
      </x:c>
      <x:c r="C22" s="2120" t="str">
        <x:v>3件を連続処理する</x:v>
      </x:c>
      <x:c r="D22" s="2120" t="str">
        <x:v>模擬案件3件</x:v>
      </x:c>
      <x:c r="E22" s="2120" t="str">
        <x:v>担当者が無理なく完了</x:v>
      </x:c>
      <x:c r="F22" s="2120" t="str">
        <x:v>A</x:v>
      </x:c>
      <x:c r="G22" s="2120" t="str"/>
      <x:c r="H22" s="2120" t="str"/>
      <x:c r="I22" s="2120" t="str"/>
      <x:c r="J22" s="2120" t="str"/>
      <x:c r="K22" s="2120" t="str"/>
      <x:c r="L22" s="2120" t="str"/>
      <x:c r="M22" s="2120" t="str">
        <x:v>52～54</x:v>
      </x:c>
      <x:c r="N22" s="2120" t="str">
        <x:v>GT-I1</x:v>
      </x:c>
      <x:c r="O22" s="2120" t="str">
        <x:v>未実施</x:v>
      </x:c>
      <x:c r="P22" s="2150" t="str"/>
    </x:row>
    <x:row r="23">
      <x:c r="A23" s="2144" t="str">
        <x:v>ST1-019</x:v>
      </x:c>
      <x:c r="B23" s="1521" t="str">
        <x:v>公開Web</x:v>
      </x:c>
      <x:c r="C23" s="1521" t="str">
        <x:v>LP・フォームを公開し受付停止状態にする</x:v>
      </x:c>
      <x:c r="D23" s="1521" t="str">
        <x:v>期間外設定</x:v>
      </x:c>
      <x:c r="E23" s="1521" t="str">
        <x:v>LP閲覧可、一般送信不可、準備中表示</x:v>
      </x:c>
      <x:c r="F23" s="1521" t="str">
        <x:v>S</x:v>
      </x:c>
      <x:c r="G23" s="1521" t="str"/>
      <x:c r="H23" s="1521" t="str"/>
      <x:c r="I23" s="1521" t="str"/>
      <x:c r="J23" s="1521" t="str"/>
      <x:c r="K23" s="1521" t="str"/>
      <x:c r="L23" s="1521" t="str"/>
      <x:c r="M23" s="1521" t="str">
        <x:v>MVP-016/017</x:v>
      </x:c>
      <x:c r="N23" s="1521" t="str">
        <x:v>GT-I1A</x:v>
      </x:c>
      <x:c r="O23" s="1521" t="str">
        <x:v>未実施</x:v>
      </x:c>
      <x:c r="P23" s="2145" t="str"/>
    </x:row>
    <x:row r="24">
      <x:c r="A24" s="2144" t="str">
        <x:v>ST1-020</x:v>
      </x:c>
      <x:c r="B24" s="1521" t="str">
        <x:v>公開Web</x:v>
      </x:c>
      <x:c r="C24" s="1521" t="str">
        <x:v>社内テスト用にフォーム送信する</x:v>
      </x:c>
      <x:c r="D24" s="1521" t="str">
        <x:v>テスト経路または一時許可</x:v>
      </x:c>
      <x:c r="E24" s="1521" t="str">
        <x:v>受付通知・回答取得が正常</x:v>
      </x:c>
      <x:c r="F24" s="1521" t="str">
        <x:v>S</x:v>
      </x:c>
      <x:c r="G24" s="1521" t="str"/>
      <x:c r="H24" s="1521" t="str"/>
      <x:c r="I24" s="1521" t="str"/>
      <x:c r="J24" s="1521" t="str"/>
      <x:c r="K24" s="1521" t="str"/>
      <x:c r="L24" s="1521" t="str"/>
      <x:c r="M24" s="1521" t="str">
        <x:v>MVP-016</x:v>
      </x:c>
      <x:c r="N24" s="1521" t="str">
        <x:v>GT-I1A</x:v>
      </x:c>
      <x:c r="O24" s="1521" t="str">
        <x:v>未実施</x:v>
      </x:c>
      <x:c r="P24" s="2145" t="str"/>
    </x:row>
    <x:row r="25">
      <x:c r="A25" s="2144" t="str">
        <x:v>ST1-021</x:v>
      </x:c>
      <x:c r="B25" s="1521" t="str">
        <x:v>通し試験</x:v>
      </x:c>
      <x:c r="C25" s="1521" t="str">
        <x:v>Web起点で模擬案件3件を処理</x:v>
      </x:c>
      <x:c r="D25" s="1521" t="str">
        <x:v>模擬顧客3件</x:v>
      </x:c>
      <x:c r="E25" s="1521" t="str">
        <x:v>受付からA3送付まで完了</x:v>
      </x:c>
      <x:c r="F25" s="1521" t="str">
        <x:v>S</x:v>
      </x:c>
      <x:c r="G25" s="1521" t="str"/>
      <x:c r="H25" s="1521" t="str"/>
      <x:c r="I25" s="1521" t="str"/>
      <x:c r="J25" s="1521" t="str"/>
      <x:c r="K25" s="1521" t="str"/>
      <x:c r="L25" s="1521" t="str"/>
      <x:c r="M25" s="1521" t="str">
        <x:v>MVP-018</x:v>
      </x:c>
      <x:c r="N25" s="1521" t="str">
        <x:v>GT-I1C</x:v>
      </x:c>
      <x:c r="O25" s="1521" t="str">
        <x:v>未実施</x:v>
      </x:c>
      <x:c r="P25" s="2145" t="str"/>
    </x:row>
    <x:row r="26">
      <x:c r="A26" s="2144" t="str">
        <x:v>ST1-022</x:v>
      </x:c>
      <x:c r="B26" s="1521" t="str">
        <x:v>停止制御</x:v>
      </x:c>
      <x:c r="C26" s="1521" t="str">
        <x:v>受付開始後も即時停止できる</x:v>
      </x:c>
      <x:c r="D26" s="1521" t="str">
        <x:v>障害想定</x:v>
      </x:c>
      <x:c r="E26" s="1521" t="str">
        <x:v>フォーム送信停止・案内表示へ切替</x:v>
      </x:c>
      <x:c r="F26" s="1521" t="str">
        <x:v>S</x:v>
      </x:c>
      <x:c r="G26" s="1521" t="str"/>
      <x:c r="H26" s="1521" t="str"/>
      <x:c r="I26" s="1521" t="str"/>
      <x:c r="J26" s="1521" t="str"/>
      <x:c r="K26" s="1521" t="str"/>
      <x:c r="L26" s="1521" t="str"/>
      <x:c r="M26" s="1521" t="str">
        <x:v>MVP-017</x:v>
      </x:c>
      <x:c r="N26" s="1521" t="str">
        <x:v>GT-I1C</x:v>
      </x:c>
      <x:c r="O26" s="1521" t="str">
        <x:v>未実施</x:v>
      </x:c>
      <x:c r="P26" s="2145" t="str"/>
    </x:row>
    <x:row r="27">
      <x:c r="A27" s="2146" t="str">
        <x:v>ST1-023</x:v>
      </x:c>
      <x:c r="B27" s="2147" t="str">
        <x:v>開始判定</x:v>
      </x:c>
      <x:c r="C27" s="2147" t="str">
        <x:v>全S項目合格前は受付開始できない</x:v>
      </x:c>
      <x:c r="D27" s="2147" t="str">
        <x:v>1件不合格</x:v>
      </x:c>
      <x:c r="E27" s="2147" t="str">
        <x:v>開始判定が延期となる</x:v>
      </x:c>
      <x:c r="F27" s="2147" t="str">
        <x:v>S</x:v>
      </x:c>
      <x:c r="G27" s="2147" t="str"/>
      <x:c r="H27" s="2147" t="str"/>
      <x:c r="I27" s="2147" t="str"/>
      <x:c r="J27" s="2147" t="str"/>
      <x:c r="K27" s="2147" t="str"/>
      <x:c r="L27" s="2147" t="str"/>
      <x:c r="M27" s="2147" t="str">
        <x:v>MVP-019</x:v>
      </x:c>
      <x:c r="N27" s="2147" t="str">
        <x:v>GT-I1C</x:v>
      </x:c>
      <x:c r="O27" s="2147" t="str">
        <x:v>未実施</x:v>
      </x:c>
      <x:c r="P27" s="2148" t="str"/>
    </x:row>
  </x:sheetData>
  <x:mergeCells>
    <x:mergeCell ref="A1:P1"/>
    <x:mergeCell ref="A2:P2"/>
  </x:mergeCells>
  <x:conditionalFormatting sqref="I5:I22">
    <x:cfRule type="expression" dxfId="21" priority="1">
      <x:formula>I5="合格"</x:formula>
    </x:cfRule>
    <x:cfRule type="expression" dxfId="22" priority="2">
      <x:formula>I5="条件付き合格"</x:formula>
    </x:cfRule>
    <x:cfRule type="expression" dxfId="23" priority="3">
      <x:formula>I5="不合格"</x:formula>
    </x:cfRule>
  </x:conditionalFormatting>
  <x:dataValidations count="4">
    <x:dataValidation type="list" sqref="F5:F22">
      <x:formula1>"S,A,B,C"</x:formula1>
    </x:dataValidation>
    <x:dataValidation type="list" sqref="I5:I22">
      <x:formula1>"合格,条件付き合格,不合格,未実施"</x:formula1>
    </x:dataValidation>
    <x:dataValidation type="list" sqref="K5:K22">
      <x:formula1>"不要,要,完了"</x:formula1>
    </x:dataValidation>
    <x:dataValidation type="list" sqref="O5:O22">
      <x:formula1>"未実施,実施中,完了,保留"</x:formula1>
    </x:dataValidation>
  </x:dataValidations>
  <x:pageMargins left="0.7" right="0.7" top="0.75" bottom="0.75" header="0.3" footer="0.3"/>
</x:worksheet>
</file>

<file path=xl/worksheets/sheet57.xml><?xml version="1.0" encoding="utf-8"?>
<x:worksheet xmlns:x="http://schemas.openxmlformats.org/spreadsheetml/2006/main">
  <x:sheetFormatPr defaultRowHeight="15"/>
  <x:cols>
    <x:col min="1" max="1" width="12" hidden="0" customWidth="1"/>
    <x:col min="2" max="2" width="24" hidden="0" customWidth="1"/>
    <x:col min="3" max="3" width="38" hidden="0" customWidth="1"/>
    <x:col min="4" max="4" width="30" hidden="0" customWidth="1"/>
    <x:col min="5" max="5" width="12" hidden="0" customWidth="1"/>
    <x:col min="6" max="6" width="12" hidden="0" customWidth="1"/>
    <x:col min="7" max="7" width="24" hidden="0" customWidth="1"/>
    <x:col min="8" max="8" width="20" hidden="0" customWidth="1"/>
    <x:col min="9" max="9" width="14" hidden="0" customWidth="1"/>
    <x:col min="10" max="10" width="28" hidden="0" customWidth="1"/>
    <x:col min="11" max="11" width="14" hidden="0" customWidth="1"/>
    <x:col min="12" max="12" width="18" hidden="0" customWidth="1"/>
    <x:col min="13" max="13" width="16" hidden="0" customWidth="1"/>
    <x:col min="14" max="14" width="22" hidden="0" customWidth="1"/>
  </x:cols>
  <x:sheetData>
    <x:row r="1" ht="28" customHeight="1">
      <x:c r="A1" s="2162" t="str">
        <x:v>56_公開Web受付開始判定</x:v>
      </x:c>
      <x:c r="B1" s="2162"/>
      <x:c r="C1" s="2162"/>
      <x:c r="D1" s="2162"/>
      <x:c r="E1" s="2162"/>
      <x:c r="F1" s="2162"/>
      <x:c r="G1" s="2162"/>
      <x:c r="H1" s="2162"/>
      <x:c r="I1" s="2162"/>
      <x:c r="J1" s="2162"/>
      <x:c r="K1" s="2162"/>
      <x:c r="L1" s="2162"/>
      <x:c r="M1" s="2162"/>
      <x:c r="N1" s="2162"/>
    </x:row>
    <x:row r="2" ht="36" customHeight="1">
      <x:c r="A2" s="2165" t="str">
        <x:v>公開Webは先に完成・公開するが、一般受付はStage1の模擬案件・課題解決・S項目合格後に開始する。</x:v>
      </x:c>
      <x:c r="B2" s="2165"/>
      <x:c r="C2" s="2165"/>
      <x:c r="D2" s="2165"/>
      <x:c r="E2" s="2165"/>
      <x:c r="F2" s="2165"/>
      <x:c r="G2" s="2165"/>
      <x:c r="H2" s="2165"/>
      <x:c r="I2" s="2165"/>
      <x:c r="J2" s="2165"/>
      <x:c r="K2" s="2165"/>
      <x:c r="L2" s="2165"/>
      <x:c r="M2" s="2165"/>
      <x:c r="N2" s="2165"/>
    </x:row>
    <x:row r="4" ht="38" customHeight="1">
      <x:c r="A4" s="2177" t="str">
        <x:v>判定ID</x:v>
      </x:c>
      <x:c r="B4" s="2178" t="str">
        <x:v>判定項目</x:v>
      </x:c>
      <x:c r="C4" s="2178" t="str">
        <x:v>開始条件</x:v>
      </x:c>
      <x:c r="D4" s="2178" t="str">
        <x:v>確認結果</x:v>
      </x:c>
      <x:c r="E4" s="2178" t="str">
        <x:v>適合</x:v>
      </x:c>
      <x:c r="F4" s="2178" t="str">
        <x:v>重要度</x:v>
      </x:c>
      <x:c r="G4" s="2178" t="str">
        <x:v>証跡</x:v>
      </x:c>
      <x:c r="H4" s="2178" t="str">
        <x:v>責任者</x:v>
      </x:c>
      <x:c r="I4" s="2178" t="str">
        <x:v>確認日</x:v>
      </x:c>
      <x:c r="J4" s="2178" t="str">
        <x:v>未達時対応</x:v>
      </x:c>
      <x:c r="K4" s="2178" t="str">
        <x:v>再確認期限</x:v>
      </x:c>
      <x:c r="L4" s="2178" t="str">
        <x:v>最終判定</x:v>
      </x:c>
      <x:c r="M4" s="2178" t="str">
        <x:v>受付状態</x:v>
      </x:c>
      <x:c r="N4" s="2179" t="str">
        <x:v>備考</x:v>
      </x:c>
    </x:row>
    <x:row r="5">
      <x:c r="A5" s="2141" t="str">
        <x:v>WEB-G01</x:v>
      </x:c>
      <x:c r="B5" s="2142" t="str">
        <x:v>LP・フォーム完成</x:v>
      </x:c>
      <x:c r="C5" s="2142" t="str">
        <x:v>公開URL、入力項目、完了画面、通知が完成</x:v>
      </x:c>
      <x:c r="D5" s="2142" t="str"/>
      <x:c r="E5" s="2142" t="str"/>
      <x:c r="F5" s="2142" t="str">
        <x:v>S</x:v>
      </x:c>
      <x:c r="G5" s="2142" t="str">
        <x:v>画面・テスト記録</x:v>
      </x:c>
      <x:c r="H5" s="2142" t="str">
        <x:v>Web担当</x:v>
      </x:c>
      <x:c r="I5" s="2142" t="str"/>
      <x:c r="J5" s="2142" t="str">
        <x:v>受付停止継続</x:v>
      </x:c>
      <x:c r="K5" s="2142" t="str"/>
      <x:c r="L5" s="2142" t="str"/>
      <x:c r="M5" s="2142" t="str">
        <x:v>期間外</x:v>
      </x:c>
      <x:c r="N5" s="2143" t="str"/>
    </x:row>
    <x:row r="6">
      <x:c r="A6" s="2144" t="str">
        <x:v>WEB-G02</x:v>
      </x:c>
      <x:c r="B6" s="1521" t="str">
        <x:v>受付停止制御</x:v>
      </x:c>
      <x:c r="C6" s="1521" t="str">
        <x:v>期間外表示、送信停止、即時切替が可能</x:v>
      </x:c>
      <x:c r="D6" s="1521" t="str"/>
      <x:c r="E6" s="1521" t="str"/>
      <x:c r="F6" s="1521" t="str">
        <x:v>S</x:v>
      </x:c>
      <x:c r="G6" s="1521" t="str">
        <x:v>設定画面・テスト</x:v>
      </x:c>
      <x:c r="H6" s="1521" t="str">
        <x:v>情シス/Web</x:v>
      </x:c>
      <x:c r="I6" s="1521" t="str"/>
      <x:c r="J6" s="1521" t="str">
        <x:v>修正後再試験</x:v>
      </x:c>
      <x:c r="K6" s="1521" t="str"/>
      <x:c r="L6" s="1521" t="str"/>
      <x:c r="M6" s="1521" t="str">
        <x:v>期間外</x:v>
      </x:c>
      <x:c r="N6" s="2145" t="str"/>
    </x:row>
    <x:row r="7">
      <x:c r="A7" s="2144" t="str">
        <x:v>WEB-G03</x:v>
      </x:c>
      <x:c r="B7" s="1521" t="str">
        <x:v>秘密情報分離</x:v>
      </x:c>
      <x:c r="C7" s="1521" t="str">
        <x:v>公開フォームにファイル添付がなく、個別資料受領案内が明確</x:v>
      </x:c>
      <x:c r="D7" s="1521" t="str"/>
      <x:c r="E7" s="1521" t="str"/>
      <x:c r="F7" s="1521" t="str">
        <x:v>S</x:v>
      </x:c>
      <x:c r="G7" s="1521" t="str">
        <x:v>フォーム・案内文</x:v>
      </x:c>
      <x:c r="H7" s="1521" t="str">
        <x:v>営業/情シス</x:v>
      </x:c>
      <x:c r="I7" s="1521" t="str"/>
      <x:c r="J7" s="1521" t="str">
        <x:v>文言・設定修正</x:v>
      </x:c>
      <x:c r="K7" s="1521" t="str"/>
      <x:c r="L7" s="1521" t="str"/>
      <x:c r="M7" s="1521" t="str">
        <x:v>期間外</x:v>
      </x:c>
      <x:c r="N7" s="2145" t="str"/>
    </x:row>
    <x:row r="8">
      <x:c r="A8" s="2144" t="str">
        <x:v>WEB-G04</x:v>
      </x:c>
      <x:c r="B8" s="1521" t="str">
        <x:v>模擬案件3件</x:v>
      </x:c>
      <x:c r="C8" s="1521" t="str">
        <x:v>Web起点で3件を受付からA3送付まで完了</x:v>
      </x:c>
      <x:c r="D8" s="1521" t="str"/>
      <x:c r="E8" s="1521" t="str"/>
      <x:c r="F8" s="1521" t="str">
        <x:v>S</x:v>
      </x:c>
      <x:c r="G8" s="1521" t="str">
        <x:v>通し試験記録</x:v>
      </x:c>
      <x:c r="H8" s="1521" t="str">
        <x:v>QA/診断担当</x:v>
      </x:c>
      <x:c r="I8" s="1521" t="str"/>
      <x:c r="J8" s="1521" t="str">
        <x:v>不具合是正</x:v>
      </x:c>
      <x:c r="K8" s="1521" t="str"/>
      <x:c r="L8" s="1521" t="str"/>
      <x:c r="M8" s="1521" t="str">
        <x:v>期間外</x:v>
      </x:c>
      <x:c r="N8" s="2145" t="str"/>
    </x:row>
    <x:row r="9">
      <x:c r="A9" s="2144" t="str">
        <x:v>WEB-G05</x:v>
      </x:c>
      <x:c r="B9" s="1521" t="str">
        <x:v>Stage1受入試験</x:v>
      </x:c>
      <x:c r="C9" s="1521" t="str">
        <x:v>55のSランク項目が全て合格</x:v>
      </x:c>
      <x:c r="D9" s="1521" t="str"/>
      <x:c r="E9" s="1521" t="str"/>
      <x:c r="F9" s="1521" t="str">
        <x:v>S</x:v>
      </x:c>
      <x:c r="G9" s="1521" t="str">
        <x:v>55_受入テスト</x:v>
      </x:c>
      <x:c r="H9" s="1521" t="str">
        <x:v>QA責任者</x:v>
      </x:c>
      <x:c r="I9" s="1521" t="str"/>
      <x:c r="J9" s="1521" t="str">
        <x:v>不合格修正</x:v>
      </x:c>
      <x:c r="K9" s="1521" t="str"/>
      <x:c r="L9" s="1521" t="str"/>
      <x:c r="M9" s="1521" t="str">
        <x:v>期間外</x:v>
      </x:c>
      <x:c r="N9" s="2145" t="str"/>
    </x:row>
    <x:row r="10">
      <x:c r="A10" s="2144" t="str">
        <x:v>WEB-G06</x:v>
      </x:c>
      <x:c r="B10" s="1521" t="str">
        <x:v>運用体制</x:v>
      </x:c>
      <x:c r="C10" s="1521" t="str">
        <x:v>受付、診断、承認、送付、フォローの担当と代行者が確定</x:v>
      </x:c>
      <x:c r="D10" s="1521" t="str"/>
      <x:c r="E10" s="1521" t="str"/>
      <x:c r="F10" s="1521" t="str">
        <x:v>S</x:v>
      </x:c>
      <x:c r="G10" s="1521" t="str">
        <x:v>RACI・連絡網</x:v>
      </x:c>
      <x:c r="H10" s="1521" t="str">
        <x:v>事業責任者</x:v>
      </x:c>
      <x:c r="I10" s="1521" t="str"/>
      <x:c r="J10" s="1521" t="str">
        <x:v>体制確定</x:v>
      </x:c>
      <x:c r="K10" s="1521" t="str"/>
      <x:c r="L10" s="1521" t="str"/>
      <x:c r="M10" s="1521" t="str">
        <x:v>期間外</x:v>
      </x:c>
      <x:c r="N10" s="2145" t="str"/>
    </x:row>
    <x:row r="11">
      <x:c r="A11" s="2144" t="str">
        <x:v>WEB-G07</x:v>
      </x:c>
      <x:c r="B11" s="1521" t="str">
        <x:v>事故対応</x:v>
      </x:c>
      <x:c r="C11" s="1521" t="str">
        <x:v>誤送信・誤投入・障害時の停止・報告手順が確認済み</x:v>
      </x:c>
      <x:c r="D11" s="1521" t="str"/>
      <x:c r="E11" s="1521" t="str"/>
      <x:c r="F11" s="1521" t="str">
        <x:v>S</x:v>
      </x:c>
      <x:c r="G11" s="1521" t="str">
        <x:v>手順・連絡網</x:v>
      </x:c>
      <x:c r="H11" s="1521" t="str">
        <x:v>情シス/管理</x:v>
      </x:c>
      <x:c r="I11" s="1521" t="str"/>
      <x:c r="J11" s="1521" t="str">
        <x:v>手順整備</x:v>
      </x:c>
      <x:c r="K11" s="1521" t="str"/>
      <x:c r="L11" s="1521" t="str"/>
      <x:c r="M11" s="1521" t="str">
        <x:v>期間外</x:v>
      </x:c>
      <x:c r="N11" s="2145" t="str"/>
    </x:row>
    <x:row r="12">
      <x:c r="A12" s="2146" t="str">
        <x:v>WEB-G08</x:v>
      </x:c>
      <x:c r="B12" s="2147" t="str">
        <x:v>受付開始承認</x:v>
      </x:c>
      <x:c r="C12" s="2147" t="str">
        <x:v>事業責任者が開始日と対象営業を承認</x:v>
      </x:c>
      <x:c r="D12" s="2147" t="str"/>
      <x:c r="E12" s="2147" t="str"/>
      <x:c r="F12" s="2147" t="str">
        <x:v>S</x:v>
      </x:c>
      <x:c r="G12" s="2147" t="str">
        <x:v>承認記録</x:v>
      </x:c>
      <x:c r="H12" s="2147" t="str">
        <x:v>事業責任者</x:v>
      </x:c>
      <x:c r="I12" s="2147" t="str"/>
      <x:c r="J12" s="2147" t="str">
        <x:v>開始延期</x:v>
      </x:c>
      <x:c r="K12" s="2147" t="str"/>
      <x:c r="L12" s="2147" t="str"/>
      <x:c r="M12" s="2147" t="str">
        <x:v>期間外</x:v>
      </x:c>
      <x:c r="N12" s="2148" t="str"/>
    </x:row>
  </x:sheetData>
  <x:mergeCells>
    <x:mergeCell ref="A1:N1"/>
    <x:mergeCell ref="A2:N2"/>
  </x:mergeCells>
  <x:conditionalFormatting sqref="E5:E12">
    <x:cfRule type="expression" dxfId="24" priority="1">
      <x:formula>E5="適合"</x:formula>
    </x:cfRule>
    <x:cfRule type="expression" dxfId="25" priority="2">
      <x:formula>E5="条件付き"</x:formula>
    </x:cfRule>
    <x:cfRule type="expression" dxfId="26" priority="3">
      <x:formula>E5="不適合"</x:formula>
    </x:cfRule>
  </x:conditionalFormatting>
  <x:dataValidations count="3">
    <x:dataValidation type="list" sqref="E5:E12">
      <x:formula1>"適合,条件付き,不適合,未確認"</x:formula1>
    </x:dataValidation>
    <x:dataValidation type="list" sqref="L5:L12">
      <x:formula1>"Go,Conditional Go,No-Go,保留"</x:formula1>
    </x:dataValidation>
    <x:dataValidation type="list" sqref="M5:M12">
      <x:formula1>"期間外,社内テスト,受付開始,一時停止"</x:formula1>
    </x:dataValidation>
  </x:dataValidations>
  <x:pageMargins left="0.7" right="0.7" top="0.75" bottom="0.75" header="0.3" footer="0.3"/>
</x:worksheet>
</file>

<file path=xl/worksheets/sheet58.xml><?xml version="1.0" encoding="utf-8"?>
<x:worksheet xmlns:x="http://schemas.openxmlformats.org/spreadsheetml/2006/main">
  <x:sheetFormatPr defaultRowHeight="15"/>
  <x:cols>
    <x:col min="1" max="1" width="12" hidden="0" customWidth="1"/>
    <x:col min="2" max="2" width="10" hidden="0" customWidth="1"/>
    <x:col min="3" max="3" width="20" hidden="0" customWidth="1"/>
    <x:col min="4" max="4" width="24" hidden="0" customWidth="1"/>
    <x:col min="5" max="5" width="34" hidden="0" customWidth="1"/>
    <x:col min="6" max="6" width="48" hidden="0" customWidth="1"/>
    <x:col min="7" max="7" width="22" hidden="0" customWidth="1"/>
    <x:col min="8" max="8" width="22" hidden="0" customWidth="1"/>
    <x:col min="9" max="9" width="18" hidden="0" customWidth="1"/>
    <x:col min="10" max="10" width="34" hidden="0" customWidth="1"/>
    <x:col min="11" max="11" width="32" hidden="0" customWidth="1"/>
    <x:col min="12" max="12" width="32" hidden="0" customWidth="1"/>
    <x:col min="13" max="13" width="28" hidden="0" customWidth="1"/>
    <x:col min="14" max="14" width="18" hidden="0" customWidth="1"/>
    <x:col min="15" max="15" width="14" hidden="0" customWidth="1"/>
    <x:col min="16" max="16" width="22" hidden="0" customWidth="1"/>
  </x:cols>
  <x:sheetData>
    <x:row r="1" ht="28" customHeight="1">
      <x:c r="A1" s="2198" t="str">
        <x:v>57_LPページ仕様</x:v>
      </x:c>
      <x:c r="B1" s="2198"/>
      <x:c r="C1" s="2198"/>
      <x:c r="D1" s="2198"/>
      <x:c r="E1" s="2198"/>
      <x:c r="F1" s="2198"/>
      <x:c r="G1" s="2198"/>
      <x:c r="H1" s="2198"/>
      <x:c r="I1" s="2198"/>
      <x:c r="J1" s="2198"/>
      <x:c r="K1" s="2198"/>
      <x:c r="L1" s="2198"/>
      <x:c r="M1" s="2198"/>
      <x:c r="N1" s="2198"/>
      <x:c r="O1" s="2198"/>
      <x:c r="P1" s="2198"/>
    </x:row>
    <x:row r="2" ht="36" customHeight="1">
      <x:c r="A2" s="2201" t="str">
        <x:v>公開Web先行構築のため、Energy Doctor LPの構成・掲載文・CTA・受付期間外表示を定義する。</x:v>
      </x:c>
      <x:c r="B2" s="2201"/>
      <x:c r="C2" s="2201"/>
      <x:c r="D2" s="2201"/>
      <x:c r="E2" s="2201"/>
      <x:c r="F2" s="2201"/>
      <x:c r="G2" s="2201"/>
      <x:c r="H2" s="2201"/>
      <x:c r="I2" s="2201"/>
      <x:c r="J2" s="2201"/>
      <x:c r="K2" s="2201"/>
      <x:c r="L2" s="2201"/>
      <x:c r="M2" s="2201"/>
      <x:c r="N2" s="2201"/>
      <x:c r="O2" s="2201"/>
      <x:c r="P2" s="2201"/>
    </x:row>
    <x:row r="4" ht="38" customHeight="1">
      <x:c r="A4" s="2213" t="str">
        <x:v>ブロックID</x:v>
      </x:c>
      <x:c r="B4" s="2214" t="str">
        <x:v>表示順</x:v>
      </x:c>
      <x:c r="C4" s="2214" t="str">
        <x:v>ブロック名</x:v>
      </x:c>
      <x:c r="D4" s="2214" t="str">
        <x:v>目的</x:v>
      </x:c>
      <x:c r="E4" s="2214" t="str">
        <x:v>見出し案</x:v>
      </x:c>
      <x:c r="F4" s="2214" t="str">
        <x:v>本文・掲載内容</x:v>
      </x:c>
      <x:c r="G4" s="2214" t="str">
        <x:v>主要CTA</x:v>
      </x:c>
      <x:c r="H4" s="2214" t="str">
        <x:v>補助CTA</x:v>
      </x:c>
      <x:c r="I4" s="2214" t="str">
        <x:v>表示条件</x:v>
      </x:c>
      <x:c r="J4" s="2214" t="str">
        <x:v>受付期間外表示</x:v>
      </x:c>
      <x:c r="K4" s="2214" t="str">
        <x:v>顧客への約束</x:v>
      </x:c>
      <x:c r="L4" s="2214" t="str">
        <x:v>禁止表現</x:v>
      </x:c>
      <x:c r="M4" s="2214" t="str">
        <x:v>Web実装要件</x:v>
      </x:c>
      <x:c r="N4" s="2214" t="str">
        <x:v>責任者</x:v>
      </x:c>
      <x:c r="O4" s="2214" t="str">
        <x:v>状態</x:v>
      </x:c>
      <x:c r="P4" s="2215" t="str">
        <x:v>備考</x:v>
      </x:c>
    </x:row>
    <x:row r="5">
      <x:c r="A5" s="2232" t="str">
        <x:v>LP-001</x:v>
      </x:c>
      <x:c r="B5" s="2233" t="n">
        <x:v>1</x:v>
      </x:c>
      <x:c r="C5" s="2233" t="str">
        <x:v>ファーストビュー</x:v>
      </x:c>
      <x:c r="D5" s="2233" t="str">
        <x:v>サービス価値を30秒で伝える</x:v>
      </x:c>
      <x:c r="E5" s="2233" t="str">
        <x:v>設備・エネルギー・建屋・管理の課題を、A3一枚で見える化</x:v>
      </x:c>
      <x:c r="F5" s="2233" t="str">
        <x:v>Energy Doctorは、簡単な質問への回答をもとに、設備状態・判断材料・対応時期を整理する営業支援型の簡易診断サービスです。</x:v>
      </x:c>
      <x:c r="G5" s="2233" t="str">
        <x:v>無料診断を確認する</x:v>
      </x:c>
      <x:c r="H5" s="2233" t="str">
        <x:v>サービス概要を見る</x:v>
      </x:c>
      <x:c r="I5" s="2233" t="str">
        <x:v>常時表示</x:v>
      </x:c>
      <x:c r="J5" s="2233" t="str">
        <x:v>現在は受付準備中です。受付開始後、営業担当より個別にご案内します。</x:v>
      </x:c>
      <x:c r="K5" s="2233" t="str">
        <x:v>自動診断ではなく、社内確認後に個別対応</x:v>
      </x:c>
      <x:c r="L5" s="2233" t="str">
        <x:v>即時に投資判断できる、必ず削減できる等</x:v>
      </x:c>
      <x:c r="M5" s="2233" t="str">
        <x:v>スマホ・PC対応、主要CTAを上部表示</x:v>
      </x:c>
      <x:c r="N5" s="2233" t="str">
        <x:v>事業責任者</x:v>
      </x:c>
      <x:c r="O5" s="2233" t="str">
        <x:v>確定</x:v>
      </x:c>
      <x:c r="P5" s="2234" t="str"/>
    </x:row>
    <x:row r="6">
      <x:c r="A6" s="2235" t="str">
        <x:v>LP-002</x:v>
      </x:c>
      <x:c r="B6" s="1521" t="n">
        <x:v>2</x:v>
      </x:c>
      <x:c r="C6" s="1521" t="str">
        <x:v>価値説明</x:v>
      </x:c>
      <x:c r="D6" s="1521" t="str">
        <x:v>何が得られるかを明確化</x:v>
      </x:c>
      <x:c r="E6" s="1521" t="str">
        <x:v>30秒で把握し、3分で理解し、30分で意思決定する</x:v>
      </x:c>
      <x:c r="F6" s="1521" t="str">
        <x:v>A3横2ページで、5指標、Decision Guardrail、TOP5課題、ロードマップ、根拠情報を整理します。</x:v>
      </x:c>
      <x:c r="G6" s="1521" t="str">
        <x:v>診断の流れを見る</x:v>
      </x:c>
      <x:c r="H6" s="1521" t="str">
        <x:v>A3レポート例を見る</x:v>
      </x:c>
      <x:c r="I6" s="1521" t="str">
        <x:v>常時表示</x:v>
      </x:c>
      <x:c r="J6" s="1521" t="str">
        <x:v>レポート例のみ閲覧可能</x:v>
      </x:c>
      <x:c r="K6" s="1521" t="str">
        <x:v>結果は個別確認後に発行</x:v>
      </x:c>
      <x:c r="L6" s="1521" t="str">
        <x:v>AIが自動で正解を出す等</x:v>
      </x:c>
      <x:c r="M6" s="1521" t="str">
        <x:v>A3サンプル画像またはPDFへの導線</x:v>
      </x:c>
      <x:c r="N6" s="1521" t="str">
        <x:v>事業責任者</x:v>
      </x:c>
      <x:c r="O6" s="1521" t="str">
        <x:v>確定</x:v>
      </x:c>
      <x:c r="P6" s="2236" t="str"/>
    </x:row>
    <x:row r="7">
      <x:c r="A7" s="2235" t="str">
        <x:v>LP-003</x:v>
      </x:c>
      <x:c r="B7" s="1521" t="n">
        <x:v>3</x:v>
      </x:c>
      <x:c r="C7" s="1521" t="str">
        <x:v>対象顧客</x:v>
      </x:c>
      <x:c r="D7" s="1521" t="str">
        <x:v>対象外流入を抑える</x:v>
      </x:c>
      <x:c r="E7" s="1521" t="str">
        <x:v>このような工場・事業所に適しています</x:v>
      </x:c>
      <x:c r="F7" s="1521" t="str">
        <x:v>設備更新、電力管理、建屋環境、保全体制、投資優先順位に課題がある企業を想定します。</x:v>
      </x:c>
      <x:c r="G7" s="1521" t="str">
        <x:v>対象項目を確認する</x:v>
      </x:c>
      <x:c r="H7" s="1521" t="str">
        <x:v>営業担当へ相談する</x:v>
      </x:c>
      <x:c r="I7" s="1521" t="str">
        <x:v>常時表示</x:v>
      </x:c>
      <x:c r="J7" s="1521" t="str">
        <x:v>相談窓口は利用可能</x:v>
      </x:c>
      <x:c r="K7" s="1521" t="str">
        <x:v>対象外でも個別相談可</x:v>
      </x:c>
      <x:c r="L7" s="1521" t="str">
        <x:v>全業種・全課題に対応等</x:v>
      </x:c>
      <x:c r="M7" s="1521" t="str">
        <x:v>対象例を4～6項目で表示</x:v>
      </x:c>
      <x:c r="N7" s="1521" t="str">
        <x:v>営業責任者</x:v>
      </x:c>
      <x:c r="O7" s="1521" t="str">
        <x:v>確定</x:v>
      </x:c>
      <x:c r="P7" s="2236" t="str"/>
    </x:row>
    <x:row r="8">
      <x:c r="A8" s="2235" t="str">
        <x:v>LP-004</x:v>
      </x:c>
      <x:c r="B8" s="1521" t="n">
        <x:v>4</x:v>
      </x:c>
      <x:c r="C8" s="1521" t="str">
        <x:v>診断内容</x:v>
      </x:c>
      <x:c r="D8" s="1521" t="str">
        <x:v>質問範囲を示す</x:v>
      </x:c>
      <x:c r="E8" s="1521" t="str">
        <x:v>4分野を横断して確認します</x:v>
      </x:c>
      <x:c r="F8" s="1521" t="str">
        <x:v>設備、エネルギー、建屋・環境、管理・運用について、分かる範囲で回答します。不明を選択できます。</x:v>
      </x:c>
      <x:c r="G8" s="1521" t="str">
        <x:v>質問項目を見る</x:v>
      </x:c>
      <x:c r="H8" s="1521" t="str">
        <x:v>個別相談する</x:v>
      </x:c>
      <x:c r="I8" s="1521" t="str">
        <x:v>常時表示</x:v>
      </x:c>
      <x:c r="J8" s="1521" t="str">
        <x:v>質問項目の閲覧のみ</x:v>
      </x:c>
      <x:c r="K8" s="1521" t="str">
        <x:v>不明回答を認め、情報不足を明示</x:v>
      </x:c>
      <x:c r="L8" s="1521" t="str">
        <x:v>資料がなくても精密診断可能等</x:v>
      </x:c>
      <x:c r="M8" s="1521" t="str">
        <x:v>4分野カード表示</x:v>
      </x:c>
      <x:c r="N8" s="1521" t="str">
        <x:v>診断責任者</x:v>
      </x:c>
      <x:c r="O8" s="1521" t="str">
        <x:v>確定</x:v>
      </x:c>
      <x:c r="P8" s="2236" t="str"/>
    </x:row>
    <x:row r="9">
      <x:c r="A9" s="2235" t="str">
        <x:v>LP-005</x:v>
      </x:c>
      <x:c r="B9" s="1521" t="n">
        <x:v>5</x:v>
      </x:c>
      <x:c r="C9" s="1521" t="str">
        <x:v>利用の流れ</x:v>
      </x:c>
      <x:c r="D9" s="1521" t="str">
        <x:v>即時発行でないことを説明</x:v>
      </x:c>
      <x:c r="E9" s="1521" t="str">
        <x:v>診断からA3レポートまで</x:v>
      </x:c>
      <x:c r="F9" s="1521" t="str">
        <x:v>Web回答→メールでレポート要求→社内確認→A3送付→電話・訪問等で個別フォローの順です。</x:v>
      </x:c>
      <x:c r="G9" s="1521" t="str">
        <x:v>利用の流れを確認する</x:v>
      </x:c>
      <x:c r="H9" s="1521" t="str">
        <x:v>営業担当へ連絡する</x:v>
      </x:c>
      <x:c r="I9" s="1521" t="str">
        <x:v>常時表示</x:v>
      </x:c>
      <x:c r="J9" s="1521" t="str">
        <x:v>受付開始前はStep1の送信を停止</x:v>
      </x:c>
      <x:c r="K9" s="1521" t="str">
        <x:v>原則3営業日以内を目安に個別対応</x:v>
      </x:c>
      <x:c r="L9" s="1521" t="str">
        <x:v>入力直後に自動発行等</x:v>
      </x:c>
      <x:c r="M9" s="1521" t="str">
        <x:v>5ステップ表示</x:v>
      </x:c>
      <x:c r="N9" s="1521" t="str">
        <x:v>営業責任者</x:v>
      </x:c>
      <x:c r="O9" s="1521" t="str">
        <x:v>確定</x:v>
      </x:c>
      <x:c r="P9" s="2236" t="str"/>
    </x:row>
    <x:row r="10">
      <x:c r="A10" s="2235" t="str">
        <x:v>LP-006</x:v>
      </x:c>
      <x:c r="B10" s="1521" t="n">
        <x:v>6</x:v>
      </x:c>
      <x:c r="C10" s="1521" t="str">
        <x:v>Evidence方針</x:v>
      </x:c>
      <x:c r="D10" s="1521" t="str">
        <x:v>資料分離を説明</x:v>
      </x:c>
      <x:c r="E10" s="1521" t="str">
        <x:v>資料提出は必要な場合に個別にご案内します</x:v>
      </x:c>
      <x:c r="F10" s="1521" t="str">
        <x:v>公開フォームには図面・写真・点検報告書等を添付しません。必要な資料は、受付後に通常営業と同じ方法で個別にご案内します。</x:v>
      </x:c>
      <x:c r="G10" s="1521" t="str">
        <x:v>情報の取扱いを見る</x:v>
      </x:c>
      <x:c r="H10" s="1521" t="str">
        <x:v>問い合わせる</x:v>
      </x:c>
      <x:c r="I10" s="1521" t="str">
        <x:v>常時表示</x:v>
      </x:c>
      <x:c r="J10" s="1521" t="str">
        <x:v>常時表示</x:v>
      </x:c>
      <x:c r="K10" s="1521" t="str">
        <x:v>通常営業と同等の秘密情報として管理</x:v>
      </x:c>
      <x:c r="L10" s="1521" t="str">
        <x:v>公開フォームに資料添付可能等</x:v>
      </x:c>
      <x:c r="M10" s="1521" t="str">
        <x:v>秘密情報説明を明記</x:v>
      </x:c>
      <x:c r="N10" s="1521" t="str">
        <x:v>情報システム/管理</x:v>
      </x:c>
      <x:c r="O10" s="1521" t="str">
        <x:v>確定</x:v>
      </x:c>
      <x:c r="P10" s="2236" t="str"/>
    </x:row>
    <x:row r="11">
      <x:c r="A11" s="2235" t="str">
        <x:v>LP-007</x:v>
      </x:c>
      <x:c r="B11" s="1521" t="n">
        <x:v>7</x:v>
      </x:c>
      <x:c r="C11" s="1521" t="str">
        <x:v>AI利用説明</x:v>
      </x:c>
      <x:c r="D11" s="1521" t="str">
        <x:v>AIの責任範囲を明確化</x:v>
      </x:c>
      <x:c r="E11" s="1521" t="str">
        <x:v>AIは文章整理と確認を支援します</x:v>
      </x:c>
      <x:c r="F11" s="1521" t="str">
        <x:v>採点・Guardrail・優先順位は承認済みルールで決定し、AIは文章整理等を補助します。正式発行は人が確認します。</x:v>
      </x:c>
      <x:c r="G11" s="1521" t="str">
        <x:v>診断方針を見る</x:v>
      </x:c>
      <x:c r="H11" s="1521" t="str">
        <x:v>相談する</x:v>
      </x:c>
      <x:c r="I11" s="1521" t="str">
        <x:v>常時表示</x:v>
      </x:c>
      <x:c r="J11" s="1521" t="str">
        <x:v>常時表示</x:v>
      </x:c>
      <x:c r="K11" s="1521" t="str">
        <x:v>人の確認を経て発行</x:v>
      </x:c>
      <x:c r="L11" s="1521" t="str">
        <x:v>AIが診断を決定する等</x:v>
      </x:c>
      <x:c r="M11" s="1521" t="str">
        <x:v>短い説明＋詳細リンク</x:v>
      </x:c>
      <x:c r="N11" s="1521" t="str">
        <x:v>診断責任者</x:v>
      </x:c>
      <x:c r="O11" s="1521" t="str">
        <x:v>確定</x:v>
      </x:c>
      <x:c r="P11" s="2236" t="str"/>
    </x:row>
    <x:row r="12">
      <x:c r="A12" s="2235" t="str">
        <x:v>LP-008</x:v>
      </x:c>
      <x:c r="B12" s="1521" t="n">
        <x:v>8</x:v>
      </x:c>
      <x:c r="C12" s="1521" t="str">
        <x:v>受付フォーム導線</x:v>
      </x:c>
      <x:c r="D12" s="1521" t="str">
        <x:v>受付開始・停止を制御</x:v>
      </x:c>
      <x:c r="E12" s="1521" t="str">
        <x:v>Energy Doctor簡易診断</x:v>
      </x:c>
      <x:c r="F12" s="1521" t="str">
        <x:v>会社・工場情報、連絡先、質問回答、レポート希望を入力します。ファイル添付はありません。</x:v>
      </x:c>
      <x:c r="G12" s="1521" t="str">
        <x:v>診断を開始する</x:v>
      </x:c>
      <x:c r="H12" s="1521" t="str">
        <x:v>後日案内を希望する</x:v>
      </x:c>
      <x:c r="I12" s="1521" t="str">
        <x:v>受付開始時のみ主要CTA有効</x:v>
      </x:c>
      <x:c r="J12" s="1521" t="str">
        <x:v>受付期間外：フォーム送信不可。営業担当からの案内をお待ちください。</x:v>
      </x:c>
      <x:c r="K12" s="1521" t="str">
        <x:v>入力情報は診断・連絡・提案に利用</x:v>
      </x:c>
      <x:c r="L12" s="1521" t="str">
        <x:v>常時受付中等</x:v>
      </x:c>
      <x:c r="M12" s="1521" t="str">
        <x:v>受付状態を一箇所で切替可能</x:v>
      </x:c>
      <x:c r="N12" s="1521" t="str">
        <x:v>Web担当/情シス</x:v>
      </x:c>
      <x:c r="O12" s="1521" t="str">
        <x:v>確定</x:v>
      </x:c>
      <x:c r="P12" s="2236" t="str"/>
    </x:row>
    <x:row r="13">
      <x:c r="A13" s="2235" t="str">
        <x:v>LP-009</x:v>
      </x:c>
      <x:c r="B13" s="1521" t="n">
        <x:v>9</x:v>
      </x:c>
      <x:c r="C13" s="1521" t="str">
        <x:v>FAQ</x:v>
      </x:c>
      <x:c r="D13" s="1521" t="str">
        <x:v>不安・誤解を解消</x:v>
      </x:c>
      <x:c r="E13" s="1521" t="str">
        <x:v>よくあるご質問</x:v>
      </x:c>
      <x:c r="F13" s="1521" t="str">
        <x:v>費用、所要時間、資料添付、結果発行、秘密情報、AI利用、不明回答について回答します。</x:v>
      </x:c>
      <x:c r="G13" s="1521" t="str">
        <x:v>FAQを見る</x:v>
      </x:c>
      <x:c r="H13" s="1521" t="str">
        <x:v>問い合わせる</x:v>
      </x:c>
      <x:c r="I13" s="1521" t="str">
        <x:v>常時表示</x:v>
      </x:c>
      <x:c r="J13" s="1521" t="str">
        <x:v>常時表示</x:v>
      </x:c>
      <x:c r="K13" s="1521" t="str">
        <x:v>初期診断は無償・個別提案は別途協議</x:v>
      </x:c>
      <x:c r="L13" s="1521" t="str">
        <x:v>法的保証・性能保証等</x:v>
      </x:c>
      <x:c r="M13" s="1521" t="str">
        <x:v>アコーディオン表示可</x:v>
      </x:c>
      <x:c r="N13" s="1521" t="str">
        <x:v>営業/診断責任者</x:v>
      </x:c>
      <x:c r="O13" s="1521" t="str">
        <x:v>確定</x:v>
      </x:c>
      <x:c r="P13" s="2236" t="str"/>
    </x:row>
    <x:row r="14">
      <x:c r="A14" s="2237" t="str">
        <x:v>LP-010</x:v>
      </x:c>
      <x:c r="B14" s="2238" t="n">
        <x:v>10</x:v>
      </x:c>
      <x:c r="C14" s="2238" t="str">
        <x:v>フッター・同意</x:v>
      </x:c>
      <x:c r="D14" s="2238" t="str">
        <x:v>法務・連絡先</x:v>
      </x:c>
      <x:c r="E14" s="2238" t="str">
        <x:v>入力情報の取扱い</x:v>
      </x:c>
      <x:c r="F14" s="2238" t="str">
        <x:v>利用目的、個人情報・営業秘密、AI利用、保存・削除、問い合わせ先を表示します。</x:v>
      </x:c>
      <x:c r="G14" s="2238" t="str">
        <x:v>プライバシーポリシー</x:v>
      </x:c>
      <x:c r="H14" s="2238" t="str">
        <x:v>お問い合わせ</x:v>
      </x:c>
      <x:c r="I14" s="2238" t="str">
        <x:v>常時表示</x:v>
      </x:c>
      <x:c r="J14" s="2238" t="str">
        <x:v>常時表示</x:v>
      </x:c>
      <x:c r="K14" s="2238" t="str">
        <x:v>同意取得後のみ送信</x:v>
      </x:c>
      <x:c r="L14" s="2238" t="str">
        <x:v>包括的な二次利用等</x:v>
      </x:c>
      <x:c r="M14" s="2238" t="str">
        <x:v>同意チェック必須</x:v>
      </x:c>
      <x:c r="N14" s="2238" t="str">
        <x:v>管理責任者</x:v>
      </x:c>
      <x:c r="O14" s="2238" t="str">
        <x:v>確定</x:v>
      </x:c>
      <x:c r="P14" s="2239" t="str"/>
    </x:row>
  </x:sheetData>
  <x:mergeCells>
    <x:mergeCell ref="A1:P1"/>
    <x:mergeCell ref="A2:P2"/>
  </x:mergeCells>
  <x:dataValidations count="1">
    <x:dataValidation type="list" sqref="O5:O14">
      <x:formula1>"確定,確認中,修正中,保留"</x:formula1>
    </x:dataValidation>
  </x:dataValidations>
  <x:pageMargins left="0.7" right="0.7" top="0.75" bottom="0.75" header="0.3" footer="0.3"/>
</x:worksheet>
</file>

<file path=xl/worksheets/sheet59.xml><?xml version="1.0" encoding="utf-8"?>
<x:worksheet xmlns:x="http://schemas.openxmlformats.org/spreadsheetml/2006/main">
  <x:sheetFormatPr defaultRowHeight="15"/>
  <x:cols>
    <x:col min="1" max="1" width="12" hidden="0" customWidth="1"/>
    <x:col min="2" max="2" width="16" hidden="0" customWidth="1"/>
    <x:col min="3" max="3" width="28" hidden="0" customWidth="1"/>
    <x:col min="4" max="4" width="16" hidden="0" customWidth="1"/>
    <x:col min="5" max="5" width="12" hidden="0" customWidth="1"/>
    <x:col min="6" max="6" width="34" hidden="0" customWidth="1"/>
    <x:col min="7" max="7" width="14" hidden="0" customWidth="1"/>
    <x:col min="8" max="8" width="18" hidden="0" customWidth="1"/>
    <x:col min="9" max="9" width="20" hidden="0" customWidth="1"/>
    <x:col min="10" max="10" width="14" hidden="0" customWidth="1"/>
    <x:col min="11" max="11" width="18" hidden="0" customWidth="1"/>
    <x:col min="12" max="12" width="32" hidden="0" customWidth="1"/>
    <x:col min="13" max="13" width="20" hidden="0" customWidth="1"/>
    <x:col min="14" max="14" width="10" hidden="0" customWidth="1"/>
    <x:col min="15" max="15" width="14" hidden="0" customWidth="1"/>
    <x:col min="16" max="16" width="22" hidden="0" customWidth="1"/>
  </x:cols>
  <x:sheetData>
    <x:row r="1" ht="28" customHeight="1">
      <x:c r="A1" s="2198" t="str">
        <x:v>58_公開フォーム項目</x:v>
      </x:c>
      <x:c r="B1" s="2198"/>
      <x:c r="C1" s="2198"/>
      <x:c r="D1" s="2198"/>
      <x:c r="E1" s="2198"/>
      <x:c r="F1" s="2198"/>
      <x:c r="G1" s="2198"/>
      <x:c r="H1" s="2198"/>
      <x:c r="I1" s="2198"/>
      <x:c r="J1" s="2198"/>
      <x:c r="K1" s="2198"/>
      <x:c r="L1" s="2198"/>
      <x:c r="M1" s="2198"/>
      <x:c r="N1" s="2198"/>
      <x:c r="O1" s="2198"/>
      <x:c r="P1" s="2198"/>
    </x:row>
    <x:row r="2" ht="36" customHeight="1">
      <x:c r="A2" s="2201" t="str">
        <x:v>公開フォームへ実装する会社・工場・連絡先・診断回答・レポート希望の項目と検証を定義する。</x:v>
      </x:c>
      <x:c r="B2" s="2201"/>
      <x:c r="C2" s="2201"/>
      <x:c r="D2" s="2201"/>
      <x:c r="E2" s="2201"/>
      <x:c r="F2" s="2201"/>
      <x:c r="G2" s="2201"/>
      <x:c r="H2" s="2201"/>
      <x:c r="I2" s="2201"/>
      <x:c r="J2" s="2201"/>
      <x:c r="K2" s="2201"/>
      <x:c r="L2" s="2201"/>
      <x:c r="M2" s="2201"/>
      <x:c r="N2" s="2201"/>
      <x:c r="O2" s="2201"/>
      <x:c r="P2" s="2201"/>
    </x:row>
    <x:row r="4" ht="38" customHeight="1">
      <x:c r="A4" s="2213" t="str">
        <x:v>項目ID</x:v>
      </x:c>
      <x:c r="B4" s="2214" t="str">
        <x:v>セクション</x:v>
      </x:c>
      <x:c r="C4" s="2214" t="str">
        <x:v>表示名</x:v>
      </x:c>
      <x:c r="D4" s="2214" t="str">
        <x:v>入力形式</x:v>
      </x:c>
      <x:c r="E4" s="2214" t="str">
        <x:v>必須</x:v>
      </x:c>
      <x:c r="F4" s="2214" t="str">
        <x:v>選択肢・制約</x:v>
      </x:c>
      <x:c r="G4" s="2214" t="str">
        <x:v>初期値</x:v>
      </x:c>
      <x:c r="H4" s="2214" t="str">
        <x:v>質問マスター</x:v>
      </x:c>
      <x:c r="I4" s="2214" t="str">
        <x:v>診断計算</x:v>
      </x:c>
      <x:c r="J4" s="2214" t="str">
        <x:v>個人情報</x:v>
      </x:c>
      <x:c r="K4" s="2214" t="str">
        <x:v>受付期間外</x:v>
      </x:c>
      <x:c r="L4" s="2214" t="str">
        <x:v>エラー文</x:v>
      </x:c>
      <x:c r="M4" s="2214" t="str">
        <x:v>保存先項目</x:v>
      </x:c>
      <x:c r="N4" s="2214" t="str">
        <x:v>表示順</x:v>
      </x:c>
      <x:c r="O4" s="2214" t="str">
        <x:v>状態</x:v>
      </x:c>
      <x:c r="P4" s="2215" t="str">
        <x:v>備考</x:v>
      </x:c>
    </x:row>
    <x:row r="5">
      <x:c r="A5" s="2232" t="str">
        <x:v>FORM-001</x:v>
      </x:c>
      <x:c r="B5" s="2233" t="str">
        <x:v>基本情報</x:v>
      </x:c>
      <x:c r="C5" s="2233" t="str">
        <x:v>会社名</x:v>
      </x:c>
      <x:c r="D5" s="2233" t="str">
        <x:v>1行テキスト</x:v>
      </x:c>
      <x:c r="E5" s="2233" t="str">
        <x:v>必須</x:v>
      </x:c>
      <x:c r="F5" s="2233" t="str">
        <x:v>200文字以内</x:v>
      </x:c>
      <x:c r="G5" s="2233" t="str"/>
      <x:c r="H5" s="2233" t="str"/>
      <x:c r="I5" s="2233" t="str">
        <x:v>なし</x:v>
      </x:c>
      <x:c r="J5" s="2233" t="str">
        <x:v>該当</x:v>
      </x:c>
      <x:c r="K5" s="2233" t="str">
        <x:v>非表示/送信不可</x:v>
      </x:c>
      <x:c r="L5" s="2233" t="str">
        <x:v>会社名を入力してください。</x:v>
      </x:c>
      <x:c r="M5" s="2233" t="str">
        <x:v>company_name</x:v>
      </x:c>
      <x:c r="N5" s="2233" t="n">
        <x:v>1</x:v>
      </x:c>
      <x:c r="O5" s="2233" t="str">
        <x:v>確定</x:v>
      </x:c>
      <x:c r="P5" s="2234" t="str"/>
    </x:row>
    <x:row r="6">
      <x:c r="A6" s="2235" t="str">
        <x:v>FORM-002</x:v>
      </x:c>
      <x:c r="B6" s="1521" t="str">
        <x:v>基本情報</x:v>
      </x:c>
      <x:c r="C6" s="1521" t="str">
        <x:v>工場・事業所名</x:v>
      </x:c>
      <x:c r="D6" s="1521" t="str">
        <x:v>1行テキスト</x:v>
      </x:c>
      <x:c r="E6" s="1521" t="str">
        <x:v>任意</x:v>
      </x:c>
      <x:c r="F6" s="1521" t="str">
        <x:v>200文字以内</x:v>
      </x:c>
      <x:c r="G6" s="1521" t="str"/>
      <x:c r="H6" s="1521" t="str"/>
      <x:c r="I6" s="1521" t="str">
        <x:v>なし</x:v>
      </x:c>
      <x:c r="J6" s="1521" t="str">
        <x:v>該当</x:v>
      </x:c>
      <x:c r="K6" s="1521" t="str">
        <x:v>非表示/送信不可</x:v>
      </x:c>
      <x:c r="L6" s="1521" t="str"/>
      <x:c r="M6" s="1521" t="str">
        <x:v>site_name</x:v>
      </x:c>
      <x:c r="N6" s="1521" t="n">
        <x:v>2</x:v>
      </x:c>
      <x:c r="O6" s="1521" t="str">
        <x:v>確定</x:v>
      </x:c>
      <x:c r="P6" s="2236" t="str"/>
    </x:row>
    <x:row r="7">
      <x:c r="A7" s="2235" t="str">
        <x:v>FORM-003</x:v>
      </x:c>
      <x:c r="B7" s="1521" t="str">
        <x:v>基本情報</x:v>
      </x:c>
      <x:c r="C7" s="1521" t="str">
        <x:v>業種</x:v>
      </x:c>
      <x:c r="D7" s="1521" t="str">
        <x:v>選択</x:v>
      </x:c>
      <x:c r="E7" s="1521" t="str">
        <x:v>必須</x:v>
      </x:c>
      <x:c r="F7" s="1521" t="str">
        <x:v>製造業分類＋その他</x:v>
      </x:c>
      <x:c r="G7" s="1521" t="str"/>
      <x:c r="H7" s="1521" t="str">
        <x:v>LP基本情報</x:v>
      </x:c>
      <x:c r="I7" s="1521" t="str">
        <x:v>対象条件</x:v>
      </x:c>
      <x:c r="J7" s="1521" t="str">
        <x:v>非該当</x:v>
      </x:c>
      <x:c r="K7" s="1521" t="str">
        <x:v>非表示/送信不可</x:v>
      </x:c>
      <x:c r="L7" s="1521" t="str">
        <x:v>業種を選択してください。</x:v>
      </x:c>
      <x:c r="M7" s="1521" t="str">
        <x:v>industry</x:v>
      </x:c>
      <x:c r="N7" s="1521" t="n">
        <x:v>3</x:v>
      </x:c>
      <x:c r="O7" s="1521" t="str">
        <x:v>確認中</x:v>
      </x:c>
      <x:c r="P7" s="2236" t="str">
        <x:v>選択肢は情シス実装制約確認</x:v>
      </x:c>
    </x:row>
    <x:row r="8">
      <x:c r="A8" s="2235" t="str">
        <x:v>FORM-004</x:v>
      </x:c>
      <x:c r="B8" s="1521" t="str">
        <x:v>連絡先</x:v>
      </x:c>
      <x:c r="C8" s="1521" t="str">
        <x:v>担当者名</x:v>
      </x:c>
      <x:c r="D8" s="1521" t="str">
        <x:v>1行テキスト</x:v>
      </x:c>
      <x:c r="E8" s="1521" t="str">
        <x:v>必須</x:v>
      </x:c>
      <x:c r="F8" s="1521" t="str">
        <x:v>200文字以内</x:v>
      </x:c>
      <x:c r="G8" s="1521" t="str"/>
      <x:c r="H8" s="1521" t="str"/>
      <x:c r="I8" s="1521" t="str">
        <x:v>なし</x:v>
      </x:c>
      <x:c r="J8" s="1521" t="str">
        <x:v>該当</x:v>
      </x:c>
      <x:c r="K8" s="1521" t="str">
        <x:v>非表示/送信不可</x:v>
      </x:c>
      <x:c r="L8" s="1521" t="str">
        <x:v>担当者名を入力してください。</x:v>
      </x:c>
      <x:c r="M8" s="1521" t="str">
        <x:v>contact_name</x:v>
      </x:c>
      <x:c r="N8" s="1521" t="n">
        <x:v>4</x:v>
      </x:c>
      <x:c r="O8" s="1521" t="str">
        <x:v>確定</x:v>
      </x:c>
      <x:c r="P8" s="2236" t="str"/>
    </x:row>
    <x:row r="9">
      <x:c r="A9" s="2235" t="str">
        <x:v>FORM-005</x:v>
      </x:c>
      <x:c r="B9" s="1521" t="str">
        <x:v>連絡先</x:v>
      </x:c>
      <x:c r="C9" s="1521" t="str">
        <x:v>部署・役職</x:v>
      </x:c>
      <x:c r="D9" s="1521" t="str">
        <x:v>1行テキスト</x:v>
      </x:c>
      <x:c r="E9" s="1521" t="str">
        <x:v>任意</x:v>
      </x:c>
      <x:c r="F9" s="1521" t="str">
        <x:v>200文字以内</x:v>
      </x:c>
      <x:c r="G9" s="1521" t="str"/>
      <x:c r="H9" s="1521" t="str"/>
      <x:c r="I9" s="1521" t="str">
        <x:v>なし</x:v>
      </x:c>
      <x:c r="J9" s="1521" t="str">
        <x:v>該当</x:v>
      </x:c>
      <x:c r="K9" s="1521" t="str">
        <x:v>非表示/送信不可</x:v>
      </x:c>
      <x:c r="L9" s="1521" t="str"/>
      <x:c r="M9" s="1521" t="str">
        <x:v>department_title</x:v>
      </x:c>
      <x:c r="N9" s="1521" t="n">
        <x:v>5</x:v>
      </x:c>
      <x:c r="O9" s="1521" t="str">
        <x:v>確定</x:v>
      </x:c>
      <x:c r="P9" s="2236" t="str"/>
    </x:row>
    <x:row r="10">
      <x:c r="A10" s="2235" t="str">
        <x:v>FORM-006</x:v>
      </x:c>
      <x:c r="B10" s="1521" t="str">
        <x:v>連絡先</x:v>
      </x:c>
      <x:c r="C10" s="1521" t="str">
        <x:v>メールアドレス</x:v>
      </x:c>
      <x:c r="D10" s="1521" t="str">
        <x:v>メール</x:v>
      </x:c>
      <x:c r="E10" s="1521" t="str">
        <x:v>必須</x:v>
      </x:c>
      <x:c r="F10" s="1521" t="str">
        <x:v>メール形式</x:v>
      </x:c>
      <x:c r="G10" s="1521" t="str"/>
      <x:c r="H10" s="1521" t="str"/>
      <x:c r="I10" s="1521" t="str">
        <x:v>通知・送付</x:v>
      </x:c>
      <x:c r="J10" s="1521" t="str">
        <x:v>該当</x:v>
      </x:c>
      <x:c r="K10" s="1521" t="str">
        <x:v>非表示/送信不可</x:v>
      </x:c>
      <x:c r="L10" s="1521" t="str">
        <x:v>正しいメールアドレスを入力してください。</x:v>
      </x:c>
      <x:c r="M10" s="1521" t="str">
        <x:v>contact_email</x:v>
      </x:c>
      <x:c r="N10" s="1521" t="n">
        <x:v>6</x:v>
      </x:c>
      <x:c r="O10" s="1521" t="str">
        <x:v>確定</x:v>
      </x:c>
      <x:c r="P10" s="2236" t="str"/>
    </x:row>
    <x:row r="11">
      <x:c r="A11" s="2235" t="str">
        <x:v>FORM-007</x:v>
      </x:c>
      <x:c r="B11" s="1521" t="str">
        <x:v>連絡先</x:v>
      </x:c>
      <x:c r="C11" s="1521" t="str">
        <x:v>電話番号</x:v>
      </x:c>
      <x:c r="D11" s="1521" t="str">
        <x:v>電話</x:v>
      </x:c>
      <x:c r="E11" s="1521" t="str">
        <x:v>任意</x:v>
      </x:c>
      <x:c r="F11" s="1521" t="str">
        <x:v>30文字以内</x:v>
      </x:c>
      <x:c r="G11" s="1521" t="str"/>
      <x:c r="H11" s="1521" t="str"/>
      <x:c r="I11" s="1521" t="str">
        <x:v>営業フォロー</x:v>
      </x:c>
      <x:c r="J11" s="1521" t="str">
        <x:v>該当</x:v>
      </x:c>
      <x:c r="K11" s="1521" t="str">
        <x:v>非表示/送信不可</x:v>
      </x:c>
      <x:c r="L11" s="1521" t="str">
        <x:v>電話番号を確認してください。</x:v>
      </x:c>
      <x:c r="M11" s="1521" t="str">
        <x:v>contact_phone</x:v>
      </x:c>
      <x:c r="N11" s="1521" t="n">
        <x:v>7</x:v>
      </x:c>
      <x:c r="O11" s="1521" t="str">
        <x:v>確定</x:v>
      </x:c>
      <x:c r="P11" s="2236" t="str"/>
    </x:row>
    <x:row r="12">
      <x:c r="A12" s="2235" t="str">
        <x:v>FORM-008</x:v>
      </x:c>
      <x:c r="B12" s="1521" t="str">
        <x:v>診断条件</x:v>
      </x:c>
      <x:c r="C12" s="1521" t="str">
        <x:v>診断の目的</x:v>
      </x:c>
      <x:c r="D12" s="1521" t="str">
        <x:v>複数選択</x:v>
      </x:c>
      <x:c r="E12" s="1521" t="str">
        <x:v>必須</x:v>
      </x:c>
      <x:c r="F12" s="1521" t="str">
        <x:v>設備更新、電力削減、保全、建屋環境、投資優先順位、その他</x:v>
      </x:c>
      <x:c r="G12" s="1521" t="str"/>
      <x:c r="H12" s="1521" t="str"/>
      <x:c r="I12" s="1521" t="str">
        <x:v>DRI/EPI補助</x:v>
      </x:c>
      <x:c r="J12" s="1521" t="str">
        <x:v>非該当</x:v>
      </x:c>
      <x:c r="K12" s="1521" t="str">
        <x:v>非表示/送信不可</x:v>
      </x:c>
      <x:c r="L12" s="1521" t="str">
        <x:v>1つ以上選択してください。</x:v>
      </x:c>
      <x:c r="M12" s="1521" t="str">
        <x:v>diagnosis_purpose</x:v>
      </x:c>
      <x:c r="N12" s="1521" t="n">
        <x:v>8</x:v>
      </x:c>
      <x:c r="O12" s="1521" t="str">
        <x:v>確定</x:v>
      </x:c>
      <x:c r="P12" s="2236" t="str"/>
    </x:row>
    <x:row r="13">
      <x:c r="A13" s="2235" t="str">
        <x:v>FORM-009</x:v>
      </x:c>
      <x:c r="B13" s="1521" t="str">
        <x:v>診断回答</x:v>
      </x:c>
      <x:c r="C13" s="1521" t="str">
        <x:v>設備分野の質問</x:v>
      </x:c>
      <x:c r="D13" s="1521" t="str">
        <x:v>選択群</x:v>
      </x:c>
      <x:c r="E13" s="1521" t="str">
        <x:v>必須</x:v>
      </x:c>
      <x:c r="F13" s="1521" t="str">
        <x:v>01・02シートに準拠</x:v>
      </x:c>
      <x:c r="G13" s="1521" t="str">
        <x:v>不明</x:v>
      </x:c>
      <x:c r="H13" s="1521" t="str">
        <x:v>01/02</x:v>
      </x:c>
      <x:c r="I13" s="1521" t="str">
        <x:v>EDI/EPI/Guardrail</x:v>
      </x:c>
      <x:c r="J13" s="1521" t="str">
        <x:v>非該当</x:v>
      </x:c>
      <x:c r="K13" s="1521" t="str">
        <x:v>非表示/送信不可</x:v>
      </x:c>
      <x:c r="L13" s="1521" t="str">
        <x:v>各質問に回答してください。不明も選択できます。</x:v>
      </x:c>
      <x:c r="M13" s="1521" t="str">
        <x:v>answer_*</x:v>
      </x:c>
      <x:c r="N13" s="1521" t="n">
        <x:v>9</x:v>
      </x:c>
      <x:c r="O13" s="1521" t="str">
        <x:v>確認中</x:v>
      </x:c>
      <x:c r="P13" s="2236" t="str">
        <x:v>MVPでは重要質問を先行</x:v>
      </x:c>
    </x:row>
    <x:row r="14">
      <x:c r="A14" s="2235" t="str">
        <x:v>FORM-010</x:v>
      </x:c>
      <x:c r="B14" s="1521" t="str">
        <x:v>診断回答</x:v>
      </x:c>
      <x:c r="C14" s="1521" t="str">
        <x:v>エネルギー分野の質問</x:v>
      </x:c>
      <x:c r="D14" s="1521" t="str">
        <x:v>選択群</x:v>
      </x:c>
      <x:c r="E14" s="1521" t="str">
        <x:v>必須</x:v>
      </x:c>
      <x:c r="F14" s="1521" t="str">
        <x:v>01・02シートに準拠</x:v>
      </x:c>
      <x:c r="G14" s="1521" t="str">
        <x:v>不明</x:v>
      </x:c>
      <x:c r="H14" s="1521" t="str">
        <x:v>01/02</x:v>
      </x:c>
      <x:c r="I14" s="1521" t="str">
        <x:v>EDI/DRI/EPI</x:v>
      </x:c>
      <x:c r="J14" s="1521" t="str">
        <x:v>非該当</x:v>
      </x:c>
      <x:c r="K14" s="1521" t="str">
        <x:v>非表示/送信不可</x:v>
      </x:c>
      <x:c r="L14" s="1521" t="str">
        <x:v>各質問に回答してください。</x:v>
      </x:c>
      <x:c r="M14" s="1521" t="str">
        <x:v>answer_*</x:v>
      </x:c>
      <x:c r="N14" s="1521" t="n">
        <x:v>10</x:v>
      </x:c>
      <x:c r="O14" s="1521" t="str">
        <x:v>確認中</x:v>
      </x:c>
      <x:c r="P14" s="2236" t="str"/>
    </x:row>
    <x:row r="15">
      <x:c r="A15" s="2235" t="str">
        <x:v>FORM-011</x:v>
      </x:c>
      <x:c r="B15" s="1521" t="str">
        <x:v>診断回答</x:v>
      </x:c>
      <x:c r="C15" s="1521" t="str">
        <x:v>建屋・環境分野の質問</x:v>
      </x:c>
      <x:c r="D15" s="1521" t="str">
        <x:v>選択群</x:v>
      </x:c>
      <x:c r="E15" s="1521" t="str">
        <x:v>必須</x:v>
      </x:c>
      <x:c r="F15" s="1521" t="str">
        <x:v>01・02シートに準拠</x:v>
      </x:c>
      <x:c r="G15" s="1521" t="str">
        <x:v>不明</x:v>
      </x:c>
      <x:c r="H15" s="1521" t="str">
        <x:v>01/02</x:v>
      </x:c>
      <x:c r="I15" s="1521" t="str">
        <x:v>EDI/EPI/Guardrail</x:v>
      </x:c>
      <x:c r="J15" s="1521" t="str">
        <x:v>非該当</x:v>
      </x:c>
      <x:c r="K15" s="1521" t="str">
        <x:v>非表示/送信不可</x:v>
      </x:c>
      <x:c r="L15" s="1521" t="str">
        <x:v>各質問に回答してください。</x:v>
      </x:c>
      <x:c r="M15" s="1521" t="str">
        <x:v>answer_*</x:v>
      </x:c>
      <x:c r="N15" s="1521" t="n">
        <x:v>11</x:v>
      </x:c>
      <x:c r="O15" s="1521" t="str">
        <x:v>確認中</x:v>
      </x:c>
      <x:c r="P15" s="2236" t="str"/>
    </x:row>
    <x:row r="16">
      <x:c r="A16" s="2235" t="str">
        <x:v>FORM-012</x:v>
      </x:c>
      <x:c r="B16" s="1521" t="str">
        <x:v>診断回答</x:v>
      </x:c>
      <x:c r="C16" s="1521" t="str">
        <x:v>管理・運用分野の質問</x:v>
      </x:c>
      <x:c r="D16" s="1521" t="str">
        <x:v>選択群</x:v>
      </x:c>
      <x:c r="E16" s="1521" t="str">
        <x:v>必須</x:v>
      </x:c>
      <x:c r="F16" s="1521" t="str">
        <x:v>01・02シートに準拠</x:v>
      </x:c>
      <x:c r="G16" s="1521" t="str">
        <x:v>不明</x:v>
      </x:c>
      <x:c r="H16" s="1521" t="str">
        <x:v>01/02</x:v>
      </x:c>
      <x:c r="I16" s="1521" t="str">
        <x:v>DRI/EPI</x:v>
      </x:c>
      <x:c r="J16" s="1521" t="str">
        <x:v>非該当</x:v>
      </x:c>
      <x:c r="K16" s="1521" t="str">
        <x:v>非表示/送信不可</x:v>
      </x:c>
      <x:c r="L16" s="1521" t="str">
        <x:v>各質問に回答してください。</x:v>
      </x:c>
      <x:c r="M16" s="1521" t="str">
        <x:v>answer_*</x:v>
      </x:c>
      <x:c r="N16" s="1521" t="n">
        <x:v>12</x:v>
      </x:c>
      <x:c r="O16" s="1521" t="str">
        <x:v>確認中</x:v>
      </x:c>
      <x:c r="P16" s="2236" t="str"/>
    </x:row>
    <x:row r="17">
      <x:c r="A17" s="2235" t="str">
        <x:v>FORM-013</x:v>
      </x:c>
      <x:c r="B17" s="1521" t="str">
        <x:v>レポート</x:v>
      </x:c>
      <x:c r="C17" s="1521" t="str">
        <x:v>A3レポートを希望する</x:v>
      </x:c>
      <x:c r="D17" s="1521" t="str">
        <x:v>単一選択</x:v>
      </x:c>
      <x:c r="E17" s="1521" t="str">
        <x:v>必須</x:v>
      </x:c>
      <x:c r="F17" s="1521" t="str">
        <x:v>希望する／まず相談したい</x:v>
      </x:c>
      <x:c r="G17" s="1521" t="str">
        <x:v>希望する</x:v>
      </x:c>
      <x:c r="H17" s="1521" t="str"/>
      <x:c r="I17" s="1521" t="str">
        <x:v>案件処理</x:v>
      </x:c>
      <x:c r="J17" s="1521" t="str">
        <x:v>非該当</x:v>
      </x:c>
      <x:c r="K17" s="1521" t="str">
        <x:v>非表示/送信不可</x:v>
      </x:c>
      <x:c r="L17" s="1521" t="str">
        <x:v>希望内容を選択してください。</x:v>
      </x:c>
      <x:c r="M17" s="1521" t="str">
        <x:v>report_request</x:v>
      </x:c>
      <x:c r="N17" s="1521" t="n">
        <x:v>13</x:v>
      </x:c>
      <x:c r="O17" s="1521" t="str">
        <x:v>確定</x:v>
      </x:c>
      <x:c r="P17" s="2236" t="str"/>
    </x:row>
    <x:row r="18">
      <x:c r="A18" s="2235" t="str">
        <x:v>FORM-014</x:v>
      </x:c>
      <x:c r="B18" s="1521" t="str">
        <x:v>レポート</x:v>
      </x:c>
      <x:c r="C18" s="1521" t="str">
        <x:v>希望する連絡方法</x:v>
      </x:c>
      <x:c r="D18" s="1521" t="str">
        <x:v>複数選択</x:v>
      </x:c>
      <x:c r="E18" s="1521" t="str">
        <x:v>任意</x:v>
      </x:c>
      <x:c r="F18" s="1521" t="str">
        <x:v>メール、電話、訪問相談</x:v>
      </x:c>
      <x:c r="G18" s="1521" t="str"/>
      <x:c r="H18" s="1521" t="str"/>
      <x:c r="I18" s="1521" t="str">
        <x:v>営業フォロー</x:v>
      </x:c>
      <x:c r="J18" s="1521" t="str">
        <x:v>非該当</x:v>
      </x:c>
      <x:c r="K18" s="1521" t="str">
        <x:v>非表示/送信不可</x:v>
      </x:c>
      <x:c r="L18" s="1521" t="str"/>
      <x:c r="M18" s="1521" t="str">
        <x:v>preferred_contact</x:v>
      </x:c>
      <x:c r="N18" s="1521" t="n">
        <x:v>14</x:v>
      </x:c>
      <x:c r="O18" s="1521" t="str">
        <x:v>確定</x:v>
      </x:c>
      <x:c r="P18" s="2236" t="str"/>
    </x:row>
    <x:row r="19">
      <x:c r="A19" s="2235" t="str">
        <x:v>FORM-015</x:v>
      </x:c>
      <x:c r="B19" s="1521" t="str">
        <x:v>自由記入</x:v>
      </x:c>
      <x:c r="C19" s="1521" t="str">
        <x:v>現在の課題・相談事項</x:v>
      </x:c>
      <x:c r="D19" s="1521" t="str">
        <x:v>複数行テキスト</x:v>
      </x:c>
      <x:c r="E19" s="1521" t="str">
        <x:v>任意</x:v>
      </x:c>
      <x:c r="F19" s="1521" t="str">
        <x:v>1,000文字以内</x:v>
      </x:c>
      <x:c r="G19" s="1521" t="str"/>
      <x:c r="H19" s="1521" t="str"/>
      <x:c r="I19" s="1521" t="str">
        <x:v>コメント補助</x:v>
      </x:c>
      <x:c r="J19" s="1521" t="str">
        <x:v>内容により該当</x:v>
      </x:c>
      <x:c r="K19" s="1521" t="str">
        <x:v>非表示/送信不可</x:v>
      </x:c>
      <x:c r="L19" s="1521" t="str">
        <x:v>1,000文字以内で入力してください。</x:v>
      </x:c>
      <x:c r="M19" s="1521" t="str">
        <x:v>free_comment</x:v>
      </x:c>
      <x:c r="N19" s="1521" t="n">
        <x:v>15</x:v>
      </x:c>
      <x:c r="O19" s="1521" t="str">
        <x:v>確定</x:v>
      </x:c>
      <x:c r="P19" s="2236" t="str"/>
    </x:row>
    <x:row r="20">
      <x:c r="A20" s="2237" t="str">
        <x:v>FORM-016</x:v>
      </x:c>
      <x:c r="B20" s="2238" t="str">
        <x:v>同意</x:v>
      </x:c>
      <x:c r="C20" s="2238" t="str">
        <x:v>入力情報の利用・秘密情報・AI利用への同意</x:v>
      </x:c>
      <x:c r="D20" s="2238" t="str">
        <x:v>チェック</x:v>
      </x:c>
      <x:c r="E20" s="2238" t="str">
        <x:v>必須</x:v>
      </x:c>
      <x:c r="F20" s="2238" t="str">
        <x:v>同意文へのリンク</x:v>
      </x:c>
      <x:c r="G20" s="2238" t="str"/>
      <x:c r="H20" s="2238" t="str"/>
      <x:c r="I20" s="2238" t="str">
        <x:v>受付可否</x:v>
      </x:c>
      <x:c r="J20" s="2238" t="str">
        <x:v>該当</x:v>
      </x:c>
      <x:c r="K20" s="2238" t="str">
        <x:v>非表示/送信不可</x:v>
      </x:c>
      <x:c r="L20" s="2238" t="str">
        <x:v>内容を確認し、同意してください。</x:v>
      </x:c>
      <x:c r="M20" s="2238" t="str">
        <x:v>consent</x:v>
      </x:c>
      <x:c r="N20" s="2238" t="n">
        <x:v>16</x:v>
      </x:c>
      <x:c r="O20" s="2238" t="str">
        <x:v>確定</x:v>
      </x:c>
      <x:c r="P20" s="2239" t="str"/>
    </x:row>
  </x:sheetData>
  <x:mergeCells>
    <x:mergeCell ref="A1:P1"/>
    <x:mergeCell ref="A2:P2"/>
  </x:mergeCells>
  <x:dataValidations count="2">
    <x:dataValidation type="list" sqref="E5:E20">
      <x:formula1>"必須,任意"</x:formula1>
    </x:dataValidation>
    <x:dataValidation type="list" sqref="O5:O20">
      <x:formula1>"確定,確認中,修正中,保留"</x:formula1>
    </x:dataValidation>
  </x:dataValidations>
  <x:pageMargins left="0.7" right="0.7" top="0.75" bottom="0.75" header="0.3" footer="0.3"/>
</x:worksheet>
</file>

<file path=xl/worksheets/sheet60.xml><?xml version="1.0" encoding="utf-8"?>
<x:worksheet xmlns:x="http://schemas.openxmlformats.org/spreadsheetml/2006/main">
  <x:sheetFormatPr defaultRowHeight="15"/>
  <x:cols>
    <x:col min="1" max="1" width="12" hidden="0" customWidth="1"/>
    <x:col min="2" max="2" width="20" hidden="0" customWidth="1"/>
    <x:col min="3" max="3" width="34" hidden="0" customWidth="1"/>
    <x:col min="4" max="4" width="60" hidden="0" customWidth="1"/>
    <x:col min="5" max="5" width="26" hidden="0" customWidth="1"/>
    <x:col min="6" max="6" width="18" hidden="0" customWidth="1"/>
    <x:col min="7" max="7" width="14" hidden="0" customWidth="1"/>
    <x:col min="8" max="8" width="22" hidden="0" customWidth="1"/>
    <x:col min="9" max="9" width="28" hidden="0" customWidth="1"/>
    <x:col min="10" max="10" width="18" hidden="0" customWidth="1"/>
    <x:col min="11" max="11" width="12" hidden="0" customWidth="1"/>
    <x:col min="12" max="12" width="14" hidden="0" customWidth="1"/>
    <x:col min="13" max="13" width="14" hidden="0" customWidth="1"/>
    <x:col min="14" max="14" width="22" hidden="0" customWidth="1"/>
  </x:cols>
  <x:sheetData>
    <x:row r="1" ht="28" customHeight="1">
      <x:c r="A1" s="2198" t="str">
        <x:v>59_Web・メール文面</x:v>
      </x:c>
      <x:c r="B1" s="2198"/>
      <x:c r="C1" s="2198"/>
      <x:c r="D1" s="2198"/>
      <x:c r="E1" s="2198"/>
      <x:c r="F1" s="2198"/>
      <x:c r="G1" s="2198"/>
      <x:c r="H1" s="2198"/>
      <x:c r="I1" s="2198"/>
      <x:c r="J1" s="2198"/>
      <x:c r="K1" s="2198"/>
      <x:c r="L1" s="2198"/>
      <x:c r="M1" s="2198"/>
      <x:c r="N1" s="2198"/>
    </x:row>
    <x:row r="2" ht="36" customHeight="1">
      <x:c r="A2" s="2201" t="str">
        <x:v>受付期間外表示、受付完了、レポート要求受領、資料依頼、A3送付、フォローの標準文面。</x:v>
      </x:c>
      <x:c r="B2" s="2201"/>
      <x:c r="C2" s="2201"/>
      <x:c r="D2" s="2201"/>
      <x:c r="E2" s="2201"/>
      <x:c r="F2" s="2201"/>
      <x:c r="G2" s="2201"/>
      <x:c r="H2" s="2201"/>
      <x:c r="I2" s="2201"/>
      <x:c r="J2" s="2201"/>
      <x:c r="K2" s="2201"/>
      <x:c r="L2" s="2201"/>
      <x:c r="M2" s="2201"/>
      <x:c r="N2" s="2201"/>
    </x:row>
    <x:row r="4" ht="38" customHeight="1">
      <x:c r="A4" s="2213" t="str">
        <x:v>文面ID</x:v>
      </x:c>
      <x:c r="B4" s="2214" t="str">
        <x:v>用途</x:v>
      </x:c>
      <x:c r="C4" s="2214" t="str">
        <x:v>件名・見出し</x:v>
      </x:c>
      <x:c r="D4" s="2214" t="str">
        <x:v>本文案</x:v>
      </x:c>
      <x:c r="E4" s="2214" t="str">
        <x:v>差込項目</x:v>
      </x:c>
      <x:c r="F4" s="2214" t="str">
        <x:v>送信/表示主体</x:v>
      </x:c>
      <x:c r="G4" s="2214" t="str">
        <x:v>自動/手動</x:v>
      </x:c>
      <x:c r="H4" s="2214" t="str">
        <x:v>使用条件</x:v>
      </x:c>
      <x:c r="I4" s="2214" t="str">
        <x:v>禁止事項</x:v>
      </x:c>
      <x:c r="J4" s="2214" t="str">
        <x:v>承認者</x:v>
      </x:c>
      <x:c r="K4" s="2214" t="str">
        <x:v>Version</x:v>
      </x:c>
      <x:c r="L4" s="2214" t="str">
        <x:v>状態</x:v>
      </x:c>
      <x:c r="M4" s="2214" t="str">
        <x:v>確認日</x:v>
      </x:c>
      <x:c r="N4" s="2215" t="str">
        <x:v>備考</x:v>
      </x:c>
    </x:row>
    <x:row r="5">
      <x:c r="A5" s="2232" t="str">
        <x:v>MSG-001</x:v>
      </x:c>
      <x:c r="B5" s="2233" t="str">
        <x:v>受付期間外表示</x:v>
      </x:c>
      <x:c r="C5" s="2233" t="str">
        <x:v>Energy Doctorは現在、受付準備中です。</x:v>
      </x:c>
      <x:c r="D5" s="2233" t="str">
        <x:v>サービス内容はご覧いただけますが、現在は一般受付を開始していません。受付開始後、営業担当より個別にご案内します。お急ぎの場合は、担当営業またはお問い合わせ窓口へご連絡ください。</x:v>
      </x:c>
      <x:c r="E5" s="2233" t="str"/>
      <x:c r="F5" s="2233" t="str">
        <x:v>Web</x:v>
      </x:c>
      <x:c r="G5" s="2233" t="str">
        <x:v>表示</x:v>
      </x:c>
      <x:c r="H5" s="2233" t="str">
        <x:v>期間外</x:v>
      </x:c>
      <x:c r="I5" s="2233" t="str">
        <x:v>開始予定日の断定</x:v>
      </x:c>
      <x:c r="J5" s="2233" t="str">
        <x:v>事業責任者</x:v>
      </x:c>
      <x:c r="K5" s="2233" t="str">
        <x:v>1.0</x:v>
      </x:c>
      <x:c r="L5" s="2233" t="str">
        <x:v>確定</x:v>
      </x:c>
      <x:c r="M5" s="2233" t="str"/>
      <x:c r="N5" s="2234" t="str"/>
    </x:row>
    <x:row r="6">
      <x:c r="A6" s="2235" t="str">
        <x:v>MSG-002</x:v>
      </x:c>
      <x:c r="B6" s="1521" t="str">
        <x:v>受付開始表示</x:v>
      </x:c>
      <x:c r="C6" s="1521" t="str">
        <x:v>Energy Doctor簡易診断を受け付けています。</x:v>
      </x:c>
      <x:c r="D6" s="1521" t="str">
        <x:v>営業担当からご案内を受けた方は、分かる範囲でご回答ください。不明な項目は「不明」を選択できます。図面・写真等の資料添付はありません。</x:v>
      </x:c>
      <x:c r="E6" s="1521" t="str">
        <x:v>受付期間</x:v>
      </x:c>
      <x:c r="F6" s="1521" t="str">
        <x:v>Web</x:v>
      </x:c>
      <x:c r="G6" s="1521" t="str">
        <x:v>表示</x:v>
      </x:c>
      <x:c r="H6" s="1521" t="str">
        <x:v>受付開始</x:v>
      </x:c>
      <x:c r="I6" s="1521" t="str">
        <x:v>即時自動発行の示唆</x:v>
      </x:c>
      <x:c r="J6" s="1521" t="str">
        <x:v>事業責任者</x:v>
      </x:c>
      <x:c r="K6" s="1521" t="str">
        <x:v>1.0</x:v>
      </x:c>
      <x:c r="L6" s="1521" t="str">
        <x:v>確定</x:v>
      </x:c>
      <x:c r="M6" s="1521" t="str"/>
      <x:c r="N6" s="2236" t="str"/>
    </x:row>
    <x:row r="7">
      <x:c r="A7" s="2235" t="str">
        <x:v>MSG-003</x:v>
      </x:c>
      <x:c r="B7" s="1521" t="str">
        <x:v>受付完了画面</x:v>
      </x:c>
      <x:c r="C7" s="1521" t="str">
        <x:v>ご回答を受け付けました。</x:v>
      </x:c>
      <x:c r="D7" s="1521" t="str">
        <x:v>ご回答ありがとうございます。内容を社内で確認し、A3レポートをご希望の場合は担当者より個別にご連絡します。資料が必要な場合は、通常営業と同じ方法で別途ご案内します。</x:v>
      </x:c>
      <x:c r="E7" s="1521" t="str">
        <x:v>診断ID</x:v>
      </x:c>
      <x:c r="F7" s="1521" t="str">
        <x:v>Web</x:v>
      </x:c>
      <x:c r="G7" s="1521" t="str">
        <x:v>自動表示</x:v>
      </x:c>
      <x:c r="H7" s="1521" t="str">
        <x:v>送信成功</x:v>
      </x:c>
      <x:c r="I7" s="1521" t="str">
        <x:v>診断結果の表示</x:v>
      </x:c>
      <x:c r="J7" s="1521" t="str">
        <x:v>営業責任者</x:v>
      </x:c>
      <x:c r="K7" s="1521" t="str">
        <x:v>1.0</x:v>
      </x:c>
      <x:c r="L7" s="1521" t="str">
        <x:v>確定</x:v>
      </x:c>
      <x:c r="M7" s="1521" t="str"/>
      <x:c r="N7" s="2236" t="str"/>
    </x:row>
    <x:row r="8">
      <x:c r="A8" s="2235" t="str">
        <x:v>MSG-004</x:v>
      </x:c>
      <x:c r="B8" s="1521" t="str">
        <x:v>受付完了メール</x:v>
      </x:c>
      <x:c r="C8" s="1521" t="str">
        <x:v>【Energy Doctor】ご回答を受け付けました</x:v>
      </x:c>
      <x:c r="D8" s="1521" t="str">
        <x:v>{会社名} {担当者名} 様
Energy Doctorへご回答いただき、ありがとうございます。
受付番号：{診断ID}
内容を確認後、担当者より個別にご連絡します。図面・写真等の資料が必要な場合は、別途安全な方法をご案内します。</x:v>
      </x:c>
      <x:c r="E8" s="1521" t="str">
        <x:v>会社名、担当者名、診断ID</x:v>
      </x:c>
      <x:c r="F8" s="1521" t="str">
        <x:v>受付メール</x:v>
      </x:c>
      <x:c r="G8" s="1521" t="str">
        <x:v>自動/手動</x:v>
      </x:c>
      <x:c r="H8" s="1521" t="str">
        <x:v>送信成功</x:v>
      </x:c>
      <x:c r="I8" s="1521" t="str">
        <x:v>PDF添付、診断断定</x:v>
      </x:c>
      <x:c r="J8" s="1521" t="str">
        <x:v>営業責任者</x:v>
      </x:c>
      <x:c r="K8" s="1521" t="str">
        <x:v>1.0</x:v>
      </x:c>
      <x:c r="L8" s="1521" t="str">
        <x:v>確定</x:v>
      </x:c>
      <x:c r="M8" s="1521" t="str"/>
      <x:c r="N8" s="2236" t="str"/>
    </x:row>
    <x:row r="9">
      <x:c r="A9" s="2235" t="str">
        <x:v>MSG-005</x:v>
      </x:c>
      <x:c r="B9" s="1521" t="str">
        <x:v>レポート要求受領</x:v>
      </x:c>
      <x:c r="C9" s="1521" t="str">
        <x:v>【Energy Doctor】A3レポートのご依頼を承りました</x:v>
      </x:c>
      <x:c r="D9" s="1521" t="str">
        <x:v>{担当者名} 様
A3レポートのご依頼を承りました。社内で回答内容と必要な根拠情報を確認し、原則3営業日以内を目安にご連絡します。追加確認が必要な場合は、担当者よりメールまたは電話でご連絡します。</x:v>
      </x:c>
      <x:c r="E9" s="1521" t="str">
        <x:v>担当者名、診断ID</x:v>
      </x:c>
      <x:c r="F9" s="1521" t="str">
        <x:v>営業</x:v>
      </x:c>
      <x:c r="G9" s="1521" t="str">
        <x:v>手動/半自動</x:v>
      </x:c>
      <x:c r="H9" s="1521" t="str">
        <x:v>レポート要求</x:v>
      </x:c>
      <x:c r="I9" s="1521" t="str">
        <x:v>必ず3日以内等の保証</x:v>
      </x:c>
      <x:c r="J9" s="1521" t="str">
        <x:v>営業責任者</x:v>
      </x:c>
      <x:c r="K9" s="1521" t="str">
        <x:v>1.0</x:v>
      </x:c>
      <x:c r="L9" s="1521" t="str">
        <x:v>確定</x:v>
      </x:c>
      <x:c r="M9" s="1521" t="str"/>
      <x:c r="N9" s="2236" t="str"/>
    </x:row>
    <x:row r="10">
      <x:c r="A10" s="2235" t="str">
        <x:v>MSG-006</x:v>
      </x:c>
      <x:c r="B10" s="1521" t="str">
        <x:v>資料依頼</x:v>
      </x:c>
      <x:c r="C10" s="1521" t="str">
        <x:v>【Energy Doctor】確認資料ご提供のお願い</x:v>
      </x:c>
      <x:c r="D10" s="1521" t="str">
        <x:v>診断内容の確認のため、以下の資料を可能な範囲でご提供ください。
{資料一覧}
資料は通常営業と同じ秘密情報として管理し、診断・提案目的にのみ利用します。提出方法は{提出方法}です。</x:v>
      </x:c>
      <x:c r="E10" s="1521" t="str">
        <x:v>資料一覧、提出方法</x:v>
      </x:c>
      <x:c r="F10" s="1521" t="str">
        <x:v>営業/診断担当</x:v>
      </x:c>
      <x:c r="G10" s="1521" t="str">
        <x:v>手動</x:v>
      </x:c>
      <x:c r="H10" s="1521" t="str">
        <x:v>必要資料あり</x:v>
      </x:c>
      <x:c r="I10" s="1521" t="str">
        <x:v>公開フォームへの返信添付誘導</x:v>
      </x:c>
      <x:c r="J10" s="1521" t="str">
        <x:v>診断責任者</x:v>
      </x:c>
      <x:c r="K10" s="1521" t="str">
        <x:v>1.0</x:v>
      </x:c>
      <x:c r="L10" s="1521" t="str">
        <x:v>確定</x:v>
      </x:c>
      <x:c r="M10" s="1521" t="str"/>
      <x:c r="N10" s="2236" t="str"/>
    </x:row>
    <x:row r="11">
      <x:c r="A11" s="2235" t="str">
        <x:v>MSG-007</x:v>
      </x:c>
      <x:c r="B11" s="1521" t="str">
        <x:v>A3送付</x:v>
      </x:c>
      <x:c r="C11" s="1521" t="str">
        <x:v>【Energy Doctor】A3診断レポート送付のご案内</x:v>
      </x:c>
      <x:c r="D11" s="1521" t="str">
        <x:v>{担当者名} 様
ご回答内容をもとに作成したA3診断レポートをお送りします。本レポートは簡易診断であり、現地確認や正式調査に代わるものではありません。内容のご説明や追加確認について、担当者より改めてご連絡します。</x:v>
      </x:c>
      <x:c r="E11" s="1521" t="str">
        <x:v>担当者名、診断ID、担当営業</x:v>
      </x:c>
      <x:c r="F11" s="1521" t="str">
        <x:v>営業</x:v>
      </x:c>
      <x:c r="G11" s="1521" t="str">
        <x:v>手動</x:v>
      </x:c>
      <x:c r="H11" s="1521" t="str">
        <x:v>承認済み</x:v>
      </x:c>
      <x:c r="I11" s="1521" t="str">
        <x:v>投資・効果の保証</x:v>
      </x:c>
      <x:c r="J11" s="1521" t="str">
        <x:v>診断責任者</x:v>
      </x:c>
      <x:c r="K11" s="1521" t="str">
        <x:v>1.0</x:v>
      </x:c>
      <x:c r="L11" s="1521" t="str">
        <x:v>確定</x:v>
      </x:c>
      <x:c r="M11" s="1521" t="str"/>
      <x:c r="N11" s="2236" t="str"/>
    </x:row>
    <x:row r="12">
      <x:c r="A12" s="2237" t="str">
        <x:v>MSG-008</x:v>
      </x:c>
      <x:c r="B12" s="2238" t="str">
        <x:v>電話・訪問フォロー</x:v>
      </x:c>
      <x:c r="C12" s="2238" t="str">
        <x:v>Energy Doctorご説明のお願い</x:v>
      </x:c>
      <x:c r="D12" s="2238" t="str">
        <x:v>A3レポートの内容と、優先して確認すべき事項をご説明します。現在の課題認識、追加資料の有無、現地確認の必要性、次の具体提案について30分程度で確認します。</x:v>
      </x:c>
      <x:c r="E12" s="2238" t="str">
        <x:v>候補日時、担当者</x:v>
      </x:c>
      <x:c r="F12" s="2238" t="str">
        <x:v>営業</x:v>
      </x:c>
      <x:c r="G12" s="2238" t="str">
        <x:v>手動</x:v>
      </x:c>
      <x:c r="H12" s="2238" t="str">
        <x:v>A3送付後</x:v>
      </x:c>
      <x:c r="I12" s="2238" t="str">
        <x:v>一方的な商品提案</x:v>
      </x:c>
      <x:c r="J12" s="2238" t="str">
        <x:v>営業責任者</x:v>
      </x:c>
      <x:c r="K12" s="2238" t="str">
        <x:v>1.0</x:v>
      </x:c>
      <x:c r="L12" s="2238" t="str">
        <x:v>確定</x:v>
      </x:c>
      <x:c r="M12" s="2238" t="str"/>
      <x:c r="N12" s="2239" t="str"/>
    </x:row>
  </x:sheetData>
  <x:mergeCells>
    <x:mergeCell ref="A1:N1"/>
    <x:mergeCell ref="A2:N2"/>
  </x:mergeCells>
  <x:dataValidations count="1">
    <x:dataValidation type="list" sqref="L5:L12">
      <x:formula1>"確定,確認中,修正中,保留"</x:formula1>
    </x:dataValidation>
  </x:dataValidations>
  <x:pageMargins left="0.7" right="0.7" top="0.75" bottom="0.75" header="0.3" footer="0.3"/>
</x:worksheet>
</file>

<file path=xl/worksheets/sheet61.xml><?xml version="1.0" encoding="utf-8"?>
<x:worksheet xmlns:x="http://schemas.openxmlformats.org/spreadsheetml/2006/main">
  <x:sheetFormatPr defaultRowHeight="15"/>
  <x:cols>
    <x:col min="1" max="1" width="12" hidden="0" customWidth="1"/>
    <x:col min="2" max="2" width="16" hidden="0" customWidth="1"/>
    <x:col min="3" max="3" width="34" hidden="0" customWidth="1"/>
    <x:col min="4" max="4" width="18" hidden="0" customWidth="1"/>
    <x:col min="5" max="5" width="20" hidden="0" customWidth="1"/>
    <x:col min="6" max="6" width="22" hidden="0" customWidth="1"/>
    <x:col min="7" max="7" width="36" hidden="0" customWidth="1"/>
    <x:col min="8" max="8" width="30" hidden="0" customWidth="1"/>
    <x:col min="9" max="9" width="24" hidden="0" customWidth="1"/>
    <x:col min="10" max="10" width="12" hidden="0" customWidth="1"/>
    <x:col min="11" max="11" width="14" hidden="0" customWidth="1"/>
    <x:col min="12" max="12" width="26" hidden="0" customWidth="1"/>
    <x:col min="13" max="13" width="14" hidden="0" customWidth="1"/>
    <x:col min="14" max="14" width="14" hidden="0" customWidth="1"/>
    <x:col min="15" max="15" width="18" hidden="0" customWidth="1"/>
    <x:col min="16" max="16" width="22" hidden="0" customWidth="1"/>
  </x:cols>
  <x:sheetData>
    <x:row r="1" ht="28" customHeight="1">
      <x:c r="A1" s="2198" t="str">
        <x:v>60_Web変更作業指示</x:v>
      </x:c>
      <x:c r="B1" s="2198"/>
      <x:c r="C1" s="2198"/>
      <x:c r="D1" s="2198"/>
      <x:c r="E1" s="2198"/>
      <x:c r="F1" s="2198"/>
      <x:c r="G1" s="2198"/>
      <x:c r="H1" s="2198"/>
      <x:c r="I1" s="2198"/>
      <x:c r="J1" s="2198"/>
      <x:c r="K1" s="2198"/>
      <x:c r="L1" s="2198"/>
      <x:c r="M1" s="2198"/>
      <x:c r="N1" s="2198"/>
      <x:c r="O1" s="2198"/>
      <x:c r="P1" s="2198"/>
    </x:row>
    <x:row r="2" ht="36" customHeight="1">
      <x:c r="A2" s="2201" t="str">
        <x:v>情シス・LP担当が独立サブドメイン上でStage1Aを実装し、既存公式サイトとは関連サイトとして相互リンクする作業を定義する。</x:v>
      </x:c>
      <x:c r="B2" s="2201"/>
      <x:c r="C2" s="2201"/>
      <x:c r="D2" s="2201"/>
      <x:c r="E2" s="2201"/>
      <x:c r="F2" s="2201"/>
      <x:c r="G2" s="2201"/>
      <x:c r="H2" s="2201"/>
      <x:c r="I2" s="2201"/>
      <x:c r="J2" s="2201"/>
      <x:c r="K2" s="2201"/>
      <x:c r="L2" s="2201"/>
      <x:c r="M2" s="2201"/>
      <x:c r="N2" s="2201"/>
      <x:c r="O2" s="2201"/>
      <x:c r="P2" s="2201"/>
    </x:row>
    <x:row r="4" ht="38" customHeight="1">
      <x:c r="A4" s="2213" t="str">
        <x:v>作業ID</x:v>
      </x:c>
      <x:c r="B4" s="2214" t="str">
        <x:v>作業区分</x:v>
      </x:c>
      <x:c r="C4" s="2214" t="str">
        <x:v>作業内容</x:v>
      </x:c>
      <x:c r="D4" s="2214" t="str">
        <x:v>参照仕様</x:v>
      </x:c>
      <x:c r="E4" s="2214" t="str">
        <x:v>担当</x:v>
      </x:c>
      <x:c r="F4" s="2214" t="str">
        <x:v>前提</x:v>
      </x:c>
      <x:c r="G4" s="2214" t="str">
        <x:v>実施手順要約</x:v>
      </x:c>
      <x:c r="H4" s="2214" t="str">
        <x:v>確認方法</x:v>
      </x:c>
      <x:c r="I4" s="2214" t="str">
        <x:v>完了証跡</x:v>
      </x:c>
      <x:c r="J4" s="2214" t="str">
        <x:v>重要度</x:v>
      </x:c>
      <x:c r="K4" s="2214" t="str">
        <x:v>受付影響</x:v>
      </x:c>
      <x:c r="L4" s="2214" t="str">
        <x:v>ロールバック</x:v>
      </x:c>
      <x:c r="M4" s="2214" t="str">
        <x:v>期限</x:v>
      </x:c>
      <x:c r="N4" s="2214" t="str">
        <x:v>状態</x:v>
      </x:c>
      <x:c r="O4" s="2214" t="str">
        <x:v>確認者</x:v>
      </x:c>
      <x:c r="P4" s="2215" t="str">
        <x:v>備考</x:v>
      </x:c>
    </x:row>
    <x:row r="5">
      <x:c r="A5" s="2286" t="str">
        <x:v>WEB-001</x:v>
      </x:c>
      <x:c r="B5" s="2287" t="str">
        <x:v>基盤</x:v>
      </x:c>
      <x:c r="C5" s="2287" t="str">
        <x:v>独立LP公開基盤を確定</x:v>
      </x:c>
      <x:c r="D5" s="2287" t="str">
        <x:v>62/63</x:v>
      </x:c>
      <x:c r="E5" s="2287" t="str">
        <x:v>情シス/LP担当</x:v>
      </x:c>
      <x:c r="F5" s="2287" t="str">
        <x:v>公開基盤・権限</x:v>
      </x:c>
      <x:c r="G5" s="2287" t="str">
        <x:v>基盤選定→管理者設定→仮URL発行</x:v>
      </x:c>
      <x:c r="H5" s="2287" t="str">
        <x:v>仮URL表示確認</x:v>
      </x:c>
      <x:c r="I5" s="2287" t="str">
        <x:v>管理画面・URL</x:v>
      </x:c>
      <x:c r="J5" s="2287" t="str">
        <x:v>S</x:v>
      </x:c>
      <x:c r="K5" s="2287" t="str">
        <x:v>なし</x:v>
      </x:c>
      <x:c r="L5" s="2287" t="str">
        <x:v>仮公開停止</x:v>
      </x:c>
      <x:c r="M5" s="2287" t="str"/>
      <x:c r="N5" s="2287" t="str">
        <x:v>未着手</x:v>
      </x:c>
      <x:c r="O5" s="2287" t="str"/>
      <x:c r="P5" s="2288" t="str"/>
    </x:row>
    <x:row r="6">
      <x:c r="A6" s="2289" t="str">
        <x:v>WEB-002</x:v>
      </x:c>
      <x:c r="B6" s="1521" t="str">
        <x:v>DNS/SSL</x:v>
      </x:c>
      <x:c r="C6" s="1521" t="str">
        <x:v>energy-doctor.sawa-em.co.jpを設定</x:v>
      </x:c>
      <x:c r="D6" s="1521" t="str">
        <x:v>62/63</x:v>
      </x:c>
      <x:c r="E6" s="1521" t="str">
        <x:v>情シス/DNS管理者</x:v>
      </x:c>
      <x:c r="F6" s="1521" t="str">
        <x:v>ホスティング先確定</x:v>
      </x:c>
      <x:c r="G6" s="1521" t="str">
        <x:v>DNS設定→SSL確認→疎通</x:v>
      </x:c>
      <x:c r="H6" s="1521" t="str">
        <x:v>HTTPS表示・証明書確認</x:v>
      </x:c>
      <x:c r="I6" s="1521" t="str">
        <x:v>DNS/SSL証跡</x:v>
      </x:c>
      <x:c r="J6" s="1521" t="str">
        <x:v>S</x:v>
      </x:c>
      <x:c r="K6" s="1521" t="str">
        <x:v>なし</x:v>
      </x:c>
      <x:c r="L6" s="1521" t="str">
        <x:v>DNS切戻し</x:v>
      </x:c>
      <x:c r="M6" s="1521" t="str"/>
      <x:c r="N6" s="1521" t="str">
        <x:v>未着手</x:v>
      </x:c>
      <x:c r="O6" s="1521" t="str"/>
      <x:c r="P6" s="2290" t="str"/>
    </x:row>
    <x:row r="7">
      <x:c r="A7" s="2289" t="str">
        <x:v>WEB-003</x:v>
      </x:c>
      <x:c r="B7" s="1521" t="str">
        <x:v>ページ</x:v>
      </x:c>
      <x:c r="C7" s="1521" t="str">
        <x:v>Energy Doctor LPページを構築</x:v>
      </x:c>
      <x:c r="D7" s="1521" t="str">
        <x:v>57/62</x:v>
      </x:c>
      <x:c r="E7" s="1521" t="str">
        <x:v>LP担当</x:v>
      </x:c>
      <x:c r="F7" s="1521" t="str">
        <x:v>編集権限</x:v>
      </x:c>
      <x:c r="G7" s="1521" t="str">
        <x:v>下書き作成→社内確認→公開</x:v>
      </x:c>
      <x:c r="H7" s="1521" t="str">
        <x:v>PC/スマホ表示確認</x:v>
      </x:c>
      <x:c r="I7" s="1521" t="str">
        <x:v>URL・画面</x:v>
      </x:c>
      <x:c r="J7" s="1521" t="str">
        <x:v>S</x:v>
      </x:c>
      <x:c r="K7" s="1521" t="str">
        <x:v>なし</x:v>
      </x:c>
      <x:c r="L7" s="1521" t="str">
        <x:v>期間外表示のみへ戻す</x:v>
      </x:c>
      <x:c r="M7" s="1521" t="str"/>
      <x:c r="N7" s="1521" t="str">
        <x:v>未着手</x:v>
      </x:c>
      <x:c r="O7" s="1521" t="str"/>
      <x:c r="P7" s="2290" t="str"/>
    </x:row>
    <x:row r="8">
      <x:c r="A8" s="2289" t="str">
        <x:v>WEB-004</x:v>
      </x:c>
      <x:c r="B8" s="1521" t="str">
        <x:v>フォーム</x:v>
      </x:c>
      <x:c r="C8" s="1521" t="str">
        <x:v>ファイル添付なしの公開フォームを新設</x:v>
      </x:c>
      <x:c r="D8" s="1521" t="str">
        <x:v>58/62</x:v>
      </x:c>
      <x:c r="E8" s="1521" t="str">
        <x:v>LP担当/情シス</x:v>
      </x:c>
      <x:c r="F8" s="1521" t="str">
        <x:v>フォーム機能確認</x:v>
      </x:c>
      <x:c r="G8" s="1521" t="str">
        <x:v>項目作成→検証→テスト送信</x:v>
      </x:c>
      <x:c r="H8" s="1521" t="str">
        <x:v>必須・形式・文字数確認</x:v>
      </x:c>
      <x:c r="I8" s="1521" t="str">
        <x:v>設定画面・テスト記録</x:v>
      </x:c>
      <x:c r="J8" s="1521" t="str">
        <x:v>S</x:v>
      </x:c>
      <x:c r="K8" s="1521" t="str">
        <x:v>期間外</x:v>
      </x:c>
      <x:c r="L8" s="1521" t="str">
        <x:v>フォーム停止</x:v>
      </x:c>
      <x:c r="M8" s="1521" t="str"/>
      <x:c r="N8" s="1521" t="str">
        <x:v>未着手</x:v>
      </x:c>
      <x:c r="O8" s="1521" t="str"/>
      <x:c r="P8" s="2290" t="str"/>
    </x:row>
    <x:row r="9">
      <x:c r="A9" s="2289" t="str">
        <x:v>WEB-005</x:v>
      </x:c>
      <x:c r="B9" s="1521" t="str">
        <x:v>期間外制御</x:v>
      </x:c>
      <x:c r="C9" s="1521" t="str">
        <x:v>期間外表示と送信不可状態を実装</x:v>
      </x:c>
      <x:c r="D9" s="1521" t="str">
        <x:v>57/59/56/62</x:v>
      </x:c>
      <x:c r="E9" s="1521" t="str">
        <x:v>LP担当/情シス</x:v>
      </x:c>
      <x:c r="F9" s="1521" t="str">
        <x:v>状態切替方法確定</x:v>
      </x:c>
      <x:c r="G9" s="1521" t="str">
        <x:v>CTA無効化またはフォーム非表示→MSG-001表示</x:v>
      </x:c>
      <x:c r="H9" s="1521" t="str">
        <x:v>外部端末から送信不可確認</x:v>
      </x:c>
      <x:c r="I9" s="1521" t="str">
        <x:v>画面・テスト</x:v>
      </x:c>
      <x:c r="J9" s="1521" t="str">
        <x:v>S</x:v>
      </x:c>
      <x:c r="K9" s="1521" t="str">
        <x:v>停止</x:v>
      </x:c>
      <x:c r="L9" s="1521" t="str">
        <x:v>即時期間外へ切替</x:v>
      </x:c>
      <x:c r="M9" s="1521" t="str"/>
      <x:c r="N9" s="1521" t="str">
        <x:v>未着手</x:v>
      </x:c>
      <x:c r="O9" s="1521" t="str"/>
      <x:c r="P9" s="2290" t="str"/>
    </x:row>
    <x:row r="10">
      <x:c r="A10" s="2289" t="str">
        <x:v>WEB-006</x:v>
      </x:c>
      <x:c r="B10" s="1521" t="str">
        <x:v>社内テスト経路</x:v>
      </x:c>
      <x:c r="C10" s="1521" t="str">
        <x:v>一般受付停止中でも社内テスト送信を可能にする</x:v>
      </x:c>
      <x:c r="D10" s="1521" t="str">
        <x:v>55/56/63</x:v>
      </x:c>
      <x:c r="E10" s="1521" t="str">
        <x:v>情シス</x:v>
      </x:c>
      <x:c r="F10" s="1521" t="str">
        <x:v>アクセス制御方法</x:v>
      </x:c>
      <x:c r="G10" s="1521" t="str">
        <x:v>限定URL、認証、時間限定公開等から選択</x:v>
      </x:c>
      <x:c r="H10" s="1521" t="str">
        <x:v>社外一般利用者は不可、社内テストは可</x:v>
      </x:c>
      <x:c r="I10" s="1521" t="str">
        <x:v>テスト記録</x:v>
      </x:c>
      <x:c r="J10" s="1521" t="str">
        <x:v>S</x:v>
      </x:c>
      <x:c r="K10" s="1521" t="str">
        <x:v>期間外</x:v>
      </x:c>
      <x:c r="L10" s="1521" t="str">
        <x:v>テスト経路停止</x:v>
      </x:c>
      <x:c r="M10" s="1521" t="str"/>
      <x:c r="N10" s="1521" t="str">
        <x:v>未着手</x:v>
      </x:c>
      <x:c r="O10" s="1521" t="str"/>
      <x:c r="P10" s="2290" t="str"/>
    </x:row>
    <x:row r="11">
      <x:c r="A11" s="2289" t="str">
        <x:v>WEB-007</x:v>
      </x:c>
      <x:c r="B11" s="1521" t="str">
        <x:v>通知/同意</x:v>
      </x:c>
      <x:c r="C11" s="1521" t="str">
        <x:v>通知、自動返信、同意チェックを実装</x:v>
      </x:c>
      <x:c r="D11" s="1521" t="str">
        <x:v>59/45/49</x:v>
      </x:c>
      <x:c r="E11" s="1521" t="str">
        <x:v>情シス/管理</x:v>
      </x:c>
      <x:c r="F11" s="1521" t="str">
        <x:v>受付先・同意文確定</x:v>
      </x:c>
      <x:c r="G11" s="1521" t="str">
        <x:v>通知先、MSG-003/004、同意制御を設定</x:v>
      </x:c>
      <x:c r="H11" s="1521" t="str">
        <x:v>送信・差込・未同意停止確認</x:v>
      </x:c>
      <x:c r="I11" s="1521" t="str">
        <x:v>画面・メール</x:v>
      </x:c>
      <x:c r="J11" s="1521" t="str">
        <x:v>S</x:v>
      </x:c>
      <x:c r="K11" s="1521" t="str">
        <x:v>なし</x:v>
      </x:c>
      <x:c r="L11" s="1521" t="str">
        <x:v>手動返信・フォーム停止</x:v>
      </x:c>
      <x:c r="M11" s="1521" t="str"/>
      <x:c r="N11" s="1521" t="str">
        <x:v>未着手</x:v>
      </x:c>
      <x:c r="O11" s="1521" t="str"/>
      <x:c r="P11" s="2290" t="str"/>
    </x:row>
    <x:row r="12">
      <x:c r="A12" s="2289" t="str">
        <x:v>WEB-008</x:v>
      </x:c>
      <x:c r="B12" s="1521" t="str">
        <x:v>相互リンク</x:v>
      </x:c>
      <x:c r="C12" s="1521" t="str">
        <x:v>既存公式サイトとLPを関連サイトとして相互リンク</x:v>
      </x:c>
      <x:c r="D12" s="1521" t="str">
        <x:v>62</x:v>
      </x:c>
      <x:c r="E12" s="1521" t="str">
        <x:v>既存Web担当/LP担当</x:v>
      </x:c>
      <x:c r="F12" s="1521" t="str">
        <x:v>リンク文言承認</x:v>
      </x:c>
      <x:c r="G12" s="1521" t="str">
        <x:v>既存サイトにEnergy Doctorリンク、LPに会社概要等リンク</x:v>
      </x:c>
      <x:c r="H12" s="1521" t="str">
        <x:v>双方のリンク・戻り動線確認</x:v>
      </x:c>
      <x:c r="I12" s="1521" t="str">
        <x:v>公開画面</x:v>
      </x:c>
      <x:c r="J12" s="1521" t="str">
        <x:v>S</x:v>
      </x:c>
      <x:c r="K12" s="1521" t="str">
        <x:v>なし</x:v>
      </x:c>
      <x:c r="L12" s="1521" t="str">
        <x:v>リンク削除</x:v>
      </x:c>
      <x:c r="M12" s="1521" t="str"/>
      <x:c r="N12" s="1521" t="str">
        <x:v>未着手</x:v>
      </x:c>
      <x:c r="O12" s="1521" t="str"/>
      <x:c r="P12" s="2290" t="str"/>
    </x:row>
    <x:row r="13">
      <x:c r="A13" s="2289" t="str">
        <x:v>WEB-009</x:v>
      </x:c>
      <x:c r="B13" s="1521" t="str">
        <x:v>総合試験</x:v>
      </x:c>
      <x:c r="C13" s="1521" t="str">
        <x:v>独立LP起点で模擬案件3件を処理</x:v>
      </x:c>
      <x:c r="D13" s="1521" t="str">
        <x:v>55/56/61</x:v>
      </x:c>
      <x:c r="E13" s="1521" t="str">
        <x:v>QA/全担当</x:v>
      </x:c>
      <x:c r="F13" s="1521" t="str">
        <x:v>Stage1B準備完了</x:v>
      </x:c>
      <x:c r="G13" s="1521" t="str">
        <x:v>フォーム→通知→台帳→A3→模擬送付</x:v>
      </x:c>
      <x:c r="H13" s="1521" t="str">
        <x:v>ST1-021合格</x:v>
      </x:c>
      <x:c r="I13" s="1521" t="str">
        <x:v>通し試験記録</x:v>
      </x:c>
      <x:c r="J13" s="1521" t="str">
        <x:v>S</x:v>
      </x:c>
      <x:c r="K13" s="1521" t="str">
        <x:v>期間外</x:v>
      </x:c>
      <x:c r="L13" s="1521" t="str">
        <x:v>受付停止継続</x:v>
      </x:c>
      <x:c r="M13" s="1521" t="str"/>
      <x:c r="N13" s="1521" t="str">
        <x:v>未着手</x:v>
      </x:c>
      <x:c r="O13" s="1521" t="str"/>
      <x:c r="P13" s="2290" t="str"/>
    </x:row>
    <x:row r="14">
      <x:c r="A14" s="2291" t="str">
        <x:v>WEB-010</x:v>
      </x:c>
      <x:c r="B14" s="2292" t="str">
        <x:v>受付開始</x:v>
      </x:c>
      <x:c r="C14" s="2292" t="str">
        <x:v>Go判定後に受付状態を開始へ変更</x:v>
      </x:c>
      <x:c r="D14" s="2292" t="str">
        <x:v>56</x:v>
      </x:c>
      <x:c r="E14" s="2292" t="str">
        <x:v>事業責任者/LP担当</x:v>
      </x:c>
      <x:c r="F14" s="2292" t="str">
        <x:v>全S適合</x:v>
      </x:c>
      <x:c r="G14" s="2292" t="str">
        <x:v>開始日・対象営業を確認→CTA有効化</x:v>
      </x:c>
      <x:c r="H14" s="2292" t="str">
        <x:v>外部端末で送信成功</x:v>
      </x:c>
      <x:c r="I14" s="2292" t="str">
        <x:v>承認・画面</x:v>
      </x:c>
      <x:c r="J14" s="2292" t="str">
        <x:v>S</x:v>
      </x:c>
      <x:c r="K14" s="2292" t="str">
        <x:v>開始</x:v>
      </x:c>
      <x:c r="L14" s="2292" t="str">
        <x:v>即時期間外へ戻す</x:v>
      </x:c>
      <x:c r="M14" s="2292" t="str"/>
      <x:c r="N14" s="2292" t="str">
        <x:v>未着手</x:v>
      </x:c>
      <x:c r="O14" s="2292" t="str"/>
      <x:c r="P14" s="2293" t="str"/>
    </x:row>
  </x:sheetData>
  <x:mergeCells>
    <x:mergeCell ref="A1:P1"/>
    <x:mergeCell ref="A2:P2"/>
  </x:mergeCells>
  <x:dataValidations count="2">
    <x:dataValidation type="list" sqref="J5:J14">
      <x:formula1>"S,A,B,C"</x:formula1>
    </x:dataValidation>
    <x:dataValidation type="list" sqref="N5:N14">
      <x:formula1>"未着手,確認中,作業中,テスト中,完了,保留"</x:formula1>
    </x:dataValidation>
  </x:dataValidations>
  <x:pageMargins left="0.7" right="0.7" top="0.75" bottom="0.75" header="0.3" footer="0.3"/>
</x:worksheet>
</file>

<file path=xl/worksheets/sheet62.xml><?xml version="1.0" encoding="utf-8"?>
<x:worksheet xmlns:x="http://schemas.openxmlformats.org/spreadsheetml/2006/main">
  <x:sheetFormatPr defaultRowHeight="15"/>
  <x:cols>
    <x:col min="1" max="1" width="12" hidden="0" customWidth="1"/>
    <x:col min="2" max="2" width="16" hidden="0" customWidth="1"/>
    <x:col min="3" max="3" width="34" hidden="0" customWidth="1"/>
    <x:col min="4" max="4" width="28" hidden="0" customWidth="1"/>
    <x:col min="5" max="5" width="34" hidden="0" customWidth="1"/>
    <x:col min="6" max="6" width="12" hidden="0" customWidth="1"/>
    <x:col min="7" max="7" width="18" hidden="0" customWidth="1"/>
    <x:col min="8" max="8" width="18" hidden="0" customWidth="1"/>
    <x:col min="9" max="9" width="14" hidden="0" customWidth="1"/>
    <x:col min="10" max="10" width="14" hidden="0" customWidth="1"/>
    <x:col min="11" max="11" width="14" hidden="0" customWidth="1"/>
    <x:col min="12" max="12" width="22" hidden="0" customWidth="1"/>
    <x:col min="13" max="13" width="14" hidden="0" customWidth="1"/>
    <x:col min="14" max="14" width="14" hidden="0" customWidth="1"/>
    <x:col min="15" max="15" width="12" hidden="0" customWidth="1"/>
    <x:col min="16" max="16" width="22" hidden="0" customWidth="1"/>
  </x:cols>
  <x:sheetData>
    <x:row r="1" ht="28" customHeight="1">
      <x:c r="A1" s="2198" t="str">
        <x:v>61_Stage1A_Web受入テスト</x:v>
      </x:c>
      <x:c r="B1" s="2198"/>
      <x:c r="C1" s="2198"/>
      <x:c r="D1" s="2198"/>
      <x:c r="E1" s="2198"/>
      <x:c r="F1" s="2198"/>
      <x:c r="G1" s="2198"/>
      <x:c r="H1" s="2198"/>
      <x:c r="I1" s="2198"/>
      <x:c r="J1" s="2198"/>
      <x:c r="K1" s="2198"/>
      <x:c r="L1" s="2198"/>
      <x:c r="M1" s="2198"/>
      <x:c r="N1" s="2198"/>
      <x:c r="O1" s="2198"/>
      <x:c r="P1" s="2198"/>
    </x:row>
    <x:row r="2" ht="36" customHeight="1">
      <x:c r="A2" s="2201" t="str">
        <x:v>LP・フォーム・期間外制御・通知・同意・表示品質を公開前後に確認するStage1A専用テスト。</x:v>
      </x:c>
      <x:c r="B2" s="2201"/>
      <x:c r="C2" s="2201"/>
      <x:c r="D2" s="2201"/>
      <x:c r="E2" s="2201"/>
      <x:c r="F2" s="2201"/>
      <x:c r="G2" s="2201"/>
      <x:c r="H2" s="2201"/>
      <x:c r="I2" s="2201"/>
      <x:c r="J2" s="2201"/>
      <x:c r="K2" s="2201"/>
      <x:c r="L2" s="2201"/>
      <x:c r="M2" s="2201"/>
      <x:c r="N2" s="2201"/>
      <x:c r="O2" s="2201"/>
      <x:c r="P2" s="2201"/>
    </x:row>
    <x:row r="4" ht="38" customHeight="1">
      <x:c r="A4" s="2213" t="str">
        <x:v>Test ID</x:v>
      </x:c>
      <x:c r="B4" s="2214" t="str">
        <x:v>分類</x:v>
      </x:c>
      <x:c r="C4" s="2214" t="str">
        <x:v>テスト内容</x:v>
      </x:c>
      <x:c r="D4" s="2214" t="str">
        <x:v>前提・入力</x:v>
      </x:c>
      <x:c r="E4" s="2214" t="str">
        <x:v>期待結果</x:v>
      </x:c>
      <x:c r="F4" s="2214" t="str">
        <x:v>重要度</x:v>
      </x:c>
      <x:c r="G4" s="2214" t="str">
        <x:v>実施環境</x:v>
      </x:c>
      <x:c r="H4" s="2214" t="str">
        <x:v>実施者</x:v>
      </x:c>
      <x:c r="I4" s="2214" t="str">
        <x:v>実施日</x:v>
      </x:c>
      <x:c r="J4" s="2214" t="str">
        <x:v>結果</x:v>
      </x:c>
      <x:c r="K4" s="2214" t="str">
        <x:v>不具合ID</x:v>
      </x:c>
      <x:c r="L4" s="2214" t="str">
        <x:v>証跡</x:v>
      </x:c>
      <x:c r="M4" s="2214" t="str">
        <x:v>再試験</x:v>
      </x:c>
      <x:c r="N4" s="2214" t="str">
        <x:v>状態</x:v>
      </x:c>
      <x:c r="O4" s="2214" t="str">
        <x:v>Gate</x:v>
      </x:c>
      <x:c r="P4" s="2215" t="str">
        <x:v>備考</x:v>
      </x:c>
    </x:row>
    <x:row r="5">
      <x:c r="A5" s="2232" t="str">
        <x:v>WEB-T01</x:v>
      </x:c>
      <x:c r="B5" s="2233" t="str">
        <x:v>LP</x:v>
      </x:c>
      <x:c r="C5" s="2233" t="str">
        <x:v>主要ブロックとCTAを表示</x:v>
      </x:c>
      <x:c r="D5" s="2233" t="str">
        <x:v>PC/スマホ</x:v>
      </x:c>
      <x:c r="E5" s="2233" t="str">
        <x:v>57の順序・文面が表示される</x:v>
      </x:c>
      <x:c r="F5" s="2233" t="str">
        <x:v>S</x:v>
      </x:c>
      <x:c r="G5" s="2233" t="str">
        <x:v>PC/スマホ</x:v>
      </x:c>
      <x:c r="H5" s="2233" t="str"/>
      <x:c r="I5" s="2233" t="str"/>
      <x:c r="J5" s="2233" t="str"/>
      <x:c r="K5" s="2233" t="str"/>
      <x:c r="L5" s="2233" t="str"/>
      <x:c r="M5" s="2233" t="str"/>
      <x:c r="N5" s="2233" t="str">
        <x:v>未実施</x:v>
      </x:c>
      <x:c r="O5" s="2233" t="str">
        <x:v>GT-I1A</x:v>
      </x:c>
      <x:c r="P5" s="2234" t="str"/>
    </x:row>
    <x:row r="6">
      <x:c r="A6" s="2235" t="str">
        <x:v>WEB-T02</x:v>
      </x:c>
      <x:c r="B6" s="1521" t="str">
        <x:v>期間外</x:v>
      </x:c>
      <x:c r="C6" s="1521" t="str">
        <x:v>一般利用者がフォーム送信できない</x:v>
      </x:c>
      <x:c r="D6" s="1521" t="str">
        <x:v>受付期間外</x:v>
      </x:c>
      <x:c r="E6" s="1521" t="str">
        <x:v>MSG-001表示、送信不可</x:v>
      </x:c>
      <x:c r="F6" s="1521" t="str">
        <x:v>S</x:v>
      </x:c>
      <x:c r="G6" s="1521" t="str">
        <x:v>社外回線</x:v>
      </x:c>
      <x:c r="H6" s="1521" t="str"/>
      <x:c r="I6" s="1521" t="str"/>
      <x:c r="J6" s="1521" t="str"/>
      <x:c r="K6" s="1521" t="str"/>
      <x:c r="L6" s="1521" t="str"/>
      <x:c r="M6" s="1521" t="str"/>
      <x:c r="N6" s="1521" t="str">
        <x:v>未実施</x:v>
      </x:c>
      <x:c r="O6" s="1521" t="str">
        <x:v>GT-I1A</x:v>
      </x:c>
      <x:c r="P6" s="2236" t="str"/>
    </x:row>
    <x:row r="7">
      <x:c r="A7" s="2235" t="str">
        <x:v>WEB-T03</x:v>
      </x:c>
      <x:c r="B7" s="1521" t="str">
        <x:v>テスト経路</x:v>
      </x:c>
      <x:c r="C7" s="1521" t="str">
        <x:v>社内テスト担当が送信できる</x:v>
      </x:c>
      <x:c r="D7" s="1521" t="str">
        <x:v>限定経路</x:v>
      </x:c>
      <x:c r="E7" s="1521" t="str">
        <x:v>回答・通知が正常に届く</x:v>
      </x:c>
      <x:c r="F7" s="1521" t="str">
        <x:v>S</x:v>
      </x:c>
      <x:c r="G7" s="1521" t="str">
        <x:v>社内/限定</x:v>
      </x:c>
      <x:c r="H7" s="1521" t="str"/>
      <x:c r="I7" s="1521" t="str"/>
      <x:c r="J7" s="1521" t="str"/>
      <x:c r="K7" s="1521" t="str"/>
      <x:c r="L7" s="1521" t="str"/>
      <x:c r="M7" s="1521" t="str"/>
      <x:c r="N7" s="1521" t="str">
        <x:v>未実施</x:v>
      </x:c>
      <x:c r="O7" s="1521" t="str">
        <x:v>GT-I1A</x:v>
      </x:c>
      <x:c r="P7" s="2236" t="str"/>
    </x:row>
    <x:row r="8">
      <x:c r="A8" s="2235" t="str">
        <x:v>WEB-T04</x:v>
      </x:c>
      <x:c r="B8" s="1521" t="str">
        <x:v>必須入力</x:v>
      </x:c>
      <x:c r="C8" s="1521" t="str">
        <x:v>必須項目未入力で送信</x:v>
      </x:c>
      <x:c r="D8" s="1521" t="str">
        <x:v>必須欠落</x:v>
      </x:c>
      <x:c r="E8" s="1521" t="str">
        <x:v>58のエラー文を表示し送信しない</x:v>
      </x:c>
      <x:c r="F8" s="1521" t="str">
        <x:v>S</x:v>
      </x:c>
      <x:c r="G8" s="1521" t="str">
        <x:v>各ブラウザ</x:v>
      </x:c>
      <x:c r="H8" s="1521" t="str"/>
      <x:c r="I8" s="1521" t="str"/>
      <x:c r="J8" s="1521" t="str"/>
      <x:c r="K8" s="1521" t="str"/>
      <x:c r="L8" s="1521" t="str"/>
      <x:c r="M8" s="1521" t="str"/>
      <x:c r="N8" s="1521" t="str">
        <x:v>未実施</x:v>
      </x:c>
      <x:c r="O8" s="1521" t="str">
        <x:v>GT-I1A</x:v>
      </x:c>
      <x:c r="P8" s="2236" t="str"/>
    </x:row>
    <x:row r="9">
      <x:c r="A9" s="2235" t="str">
        <x:v>WEB-T05</x:v>
      </x:c>
      <x:c r="B9" s="1521" t="str">
        <x:v>形式</x:v>
      </x:c>
      <x:c r="C9" s="1521" t="str">
        <x:v>メール・文字数の不正入力</x:v>
      </x:c>
      <x:c r="D9" s="1521" t="str">
        <x:v>不正値</x:v>
      </x:c>
      <x:c r="E9" s="1521" t="str">
        <x:v>形式・上限エラーを表示</x:v>
      </x:c>
      <x:c r="F9" s="1521" t="str">
        <x:v>A</x:v>
      </x:c>
      <x:c r="G9" s="1521" t="str">
        <x:v>各ブラウザ</x:v>
      </x:c>
      <x:c r="H9" s="1521" t="str"/>
      <x:c r="I9" s="1521" t="str"/>
      <x:c r="J9" s="1521" t="str"/>
      <x:c r="K9" s="1521" t="str"/>
      <x:c r="L9" s="1521" t="str"/>
      <x:c r="M9" s="1521" t="str"/>
      <x:c r="N9" s="1521" t="str">
        <x:v>未実施</x:v>
      </x:c>
      <x:c r="O9" s="1521" t="str">
        <x:v>GT-I1A</x:v>
      </x:c>
      <x:c r="P9" s="2236" t="str"/>
    </x:row>
    <x:row r="10">
      <x:c r="A10" s="2235" t="str">
        <x:v>WEB-T06</x:v>
      </x:c>
      <x:c r="B10" s="1521" t="str">
        <x:v>不明回答</x:v>
      </x:c>
      <x:c r="C10" s="1521" t="str">
        <x:v>診断質問で不明を選択</x:v>
      </x:c>
      <x:c r="D10" s="1521" t="str">
        <x:v>不明選択</x:v>
      </x:c>
      <x:c r="E10" s="1521" t="str">
        <x:v>正常に保存される</x:v>
      </x:c>
      <x:c r="F10" s="1521" t="str">
        <x:v>S</x:v>
      </x:c>
      <x:c r="G10" s="1521" t="str">
        <x:v>各ブラウザ</x:v>
      </x:c>
      <x:c r="H10" s="1521" t="str"/>
      <x:c r="I10" s="1521" t="str"/>
      <x:c r="J10" s="1521" t="str"/>
      <x:c r="K10" s="1521" t="str"/>
      <x:c r="L10" s="1521" t="str"/>
      <x:c r="M10" s="1521" t="str"/>
      <x:c r="N10" s="1521" t="str">
        <x:v>未実施</x:v>
      </x:c>
      <x:c r="O10" s="1521" t="str">
        <x:v>GT-I1A</x:v>
      </x:c>
      <x:c r="P10" s="2236" t="str"/>
    </x:row>
    <x:row r="11">
      <x:c r="A11" s="2235" t="str">
        <x:v>WEB-T07</x:v>
      </x:c>
      <x:c r="B11" s="1521" t="str">
        <x:v>資料分離</x:v>
      </x:c>
      <x:c r="C11" s="1521" t="str">
        <x:v>フォームにファイル添付がない</x:v>
      </x:c>
      <x:c r="D11" s="1521" t="str">
        <x:v>画面確認</x:v>
      </x:c>
      <x:c r="E11" s="1521" t="str">
        <x:v>添付欄なし、個別案内文あり</x:v>
      </x:c>
      <x:c r="F11" s="1521" t="str">
        <x:v>S</x:v>
      </x:c>
      <x:c r="G11" s="1521" t="str">
        <x:v>PC/スマホ</x:v>
      </x:c>
      <x:c r="H11" s="1521" t="str"/>
      <x:c r="I11" s="1521" t="str"/>
      <x:c r="J11" s="1521" t="str"/>
      <x:c r="K11" s="1521" t="str"/>
      <x:c r="L11" s="1521" t="str"/>
      <x:c r="M11" s="1521" t="str"/>
      <x:c r="N11" s="1521" t="str">
        <x:v>未実施</x:v>
      </x:c>
      <x:c r="O11" s="1521" t="str">
        <x:v>GT-I1A</x:v>
      </x:c>
      <x:c r="P11" s="2236" t="str"/>
    </x:row>
    <x:row r="12">
      <x:c r="A12" s="2235" t="str">
        <x:v>WEB-T08</x:v>
      </x:c>
      <x:c r="B12" s="1521" t="str">
        <x:v>同意</x:v>
      </x:c>
      <x:c r="C12" s="1521" t="str">
        <x:v>同意せず送信</x:v>
      </x:c>
      <x:c r="D12" s="1521" t="str">
        <x:v>未同意</x:v>
      </x:c>
      <x:c r="E12" s="1521" t="str">
        <x:v>送信不可、同意エラー表示</x:v>
      </x:c>
      <x:c r="F12" s="1521" t="str">
        <x:v>S</x:v>
      </x:c>
      <x:c r="G12" s="1521" t="str">
        <x:v>各ブラウザ</x:v>
      </x:c>
      <x:c r="H12" s="1521" t="str"/>
      <x:c r="I12" s="1521" t="str"/>
      <x:c r="J12" s="1521" t="str"/>
      <x:c r="K12" s="1521" t="str"/>
      <x:c r="L12" s="1521" t="str"/>
      <x:c r="M12" s="1521" t="str"/>
      <x:c r="N12" s="1521" t="str">
        <x:v>未実施</x:v>
      </x:c>
      <x:c r="O12" s="1521" t="str">
        <x:v>GT-I1A</x:v>
      </x:c>
      <x:c r="P12" s="2236" t="str"/>
    </x:row>
    <x:row r="13">
      <x:c r="A13" s="2235" t="str">
        <x:v>WEB-T09</x:v>
      </x:c>
      <x:c r="B13" s="1521" t="str">
        <x:v>受付完了</x:v>
      </x:c>
      <x:c r="C13" s="1521" t="str">
        <x:v>正常送信</x:v>
      </x:c>
      <x:c r="D13" s="1521" t="str">
        <x:v>全必須入力</x:v>
      </x:c>
      <x:c r="E13" s="1521" t="str">
        <x:v>MSG-003表示、診断IDを確認</x:v>
      </x:c>
      <x:c r="F13" s="1521" t="str">
        <x:v>S</x:v>
      </x:c>
      <x:c r="G13" s="1521" t="str">
        <x:v>限定経路</x:v>
      </x:c>
      <x:c r="H13" s="1521" t="str"/>
      <x:c r="I13" s="1521" t="str"/>
      <x:c r="J13" s="1521" t="str"/>
      <x:c r="K13" s="1521" t="str"/>
      <x:c r="L13" s="1521" t="str"/>
      <x:c r="M13" s="1521" t="str"/>
      <x:c r="N13" s="1521" t="str">
        <x:v>未実施</x:v>
      </x:c>
      <x:c r="O13" s="1521" t="str">
        <x:v>GT-I1A</x:v>
      </x:c>
      <x:c r="P13" s="2236" t="str"/>
    </x:row>
    <x:row r="14">
      <x:c r="A14" s="2235" t="str">
        <x:v>WEB-T10</x:v>
      </x:c>
      <x:c r="B14" s="1521" t="str">
        <x:v>通知</x:v>
      </x:c>
      <x:c r="C14" s="1521" t="str">
        <x:v>正常送信後の社内通知</x:v>
      </x:c>
      <x:c r="D14" s="1521" t="str">
        <x:v>全必須入力</x:v>
      </x:c>
      <x:c r="E14" s="1521" t="str">
        <x:v>指定先に案件識別可能な通知</x:v>
      </x:c>
      <x:c r="F14" s="1521" t="str">
        <x:v>S</x:v>
      </x:c>
      <x:c r="G14" s="1521" t="str">
        <x:v>メール</x:v>
      </x:c>
      <x:c r="H14" s="1521" t="str"/>
      <x:c r="I14" s="1521" t="str"/>
      <x:c r="J14" s="1521" t="str"/>
      <x:c r="K14" s="1521" t="str"/>
      <x:c r="L14" s="1521" t="str"/>
      <x:c r="M14" s="1521" t="str"/>
      <x:c r="N14" s="1521" t="str">
        <x:v>未実施</x:v>
      </x:c>
      <x:c r="O14" s="1521" t="str">
        <x:v>GT-I1A</x:v>
      </x:c>
      <x:c r="P14" s="2236" t="str"/>
    </x:row>
    <x:row r="15">
      <x:c r="A15" s="2235" t="str">
        <x:v>WEB-T11</x:v>
      </x:c>
      <x:c r="B15" s="1521" t="str">
        <x:v>自動返信</x:v>
      </x:c>
      <x:c r="C15" s="1521" t="str">
        <x:v>正常送信後の顧客返信</x:v>
      </x:c>
      <x:c r="D15" s="1521" t="str">
        <x:v>テスト宛先</x:v>
      </x:c>
      <x:c r="E15" s="1521" t="str">
        <x:v>MSG-004が届く。添付なし</x:v>
      </x:c>
      <x:c r="F15" s="1521" t="str">
        <x:v>A</x:v>
      </x:c>
      <x:c r="G15" s="1521" t="str">
        <x:v>外部メール</x:v>
      </x:c>
      <x:c r="H15" s="1521" t="str"/>
      <x:c r="I15" s="1521" t="str"/>
      <x:c r="J15" s="1521" t="str"/>
      <x:c r="K15" s="1521" t="str"/>
      <x:c r="L15" s="1521" t="str"/>
      <x:c r="M15" s="1521" t="str"/>
      <x:c r="N15" s="1521" t="str">
        <x:v>未実施</x:v>
      </x:c>
      <x:c r="O15" s="1521" t="str">
        <x:v>GT-I1A</x:v>
      </x:c>
      <x:c r="P15" s="2236" t="str"/>
    </x:row>
    <x:row r="16">
      <x:c r="A16" s="2235" t="str">
        <x:v>WEB-T12</x:v>
      </x:c>
      <x:c r="B16" s="1521" t="str">
        <x:v>ブラウザ</x:v>
      </x:c>
      <x:c r="C16" s="1521" t="str">
        <x:v>主要ブラウザ・iPhoneで表示</x:v>
      </x:c>
      <x:c r="D16" s="1521" t="str">
        <x:v>Chrome/Edge/Safari</x:v>
      </x:c>
      <x:c r="E16" s="1521" t="str">
        <x:v>崩れ・重なり・操作不能なし</x:v>
      </x:c>
      <x:c r="F16" s="1521" t="str">
        <x:v>A</x:v>
      </x:c>
      <x:c r="G16" s="1521" t="str">
        <x:v>複数端末</x:v>
      </x:c>
      <x:c r="H16" s="1521" t="str"/>
      <x:c r="I16" s="1521" t="str"/>
      <x:c r="J16" s="1521" t="str"/>
      <x:c r="K16" s="1521" t="str"/>
      <x:c r="L16" s="1521" t="str"/>
      <x:c r="M16" s="1521" t="str"/>
      <x:c r="N16" s="1521" t="str">
        <x:v>未実施</x:v>
      </x:c>
      <x:c r="O16" s="1521" t="str">
        <x:v>GT-I1A</x:v>
      </x:c>
      <x:c r="P16" s="2236" t="str"/>
    </x:row>
    <x:row r="17">
      <x:c r="A17" s="2235" t="str">
        <x:v>WEB-T13</x:v>
      </x:c>
      <x:c r="B17" s="1521" t="str">
        <x:v>セキュリティ</x:v>
      </x:c>
      <x:c r="C17" s="1521" t="str">
        <x:v>不正連続送信・スクリプト入力</x:v>
      </x:c>
      <x:c r="D17" s="1521" t="str">
        <x:v>テスト値</x:v>
      </x:c>
      <x:c r="E17" s="1521" t="str">
        <x:v>既存対策またはログ検知が機能</x:v>
      </x:c>
      <x:c r="F17" s="1521" t="str">
        <x:v>A</x:v>
      </x:c>
      <x:c r="G17" s="1521" t="str">
        <x:v>テスト環境</x:v>
      </x:c>
      <x:c r="H17" s="1521" t="str"/>
      <x:c r="I17" s="1521" t="str"/>
      <x:c r="J17" s="1521" t="str"/>
      <x:c r="K17" s="1521" t="str"/>
      <x:c r="L17" s="1521" t="str"/>
      <x:c r="M17" s="1521" t="str"/>
      <x:c r="N17" s="1521" t="str">
        <x:v>未実施</x:v>
      </x:c>
      <x:c r="O17" s="1521" t="str">
        <x:v>GT-I1A</x:v>
      </x:c>
      <x:c r="P17" s="2236" t="str"/>
    </x:row>
    <x:row r="18">
      <x:c r="A18" s="2235" t="str">
        <x:v>WEB-T14</x:v>
      </x:c>
      <x:c r="B18" s="1521" t="str">
        <x:v>切替</x:v>
      </x:c>
      <x:c r="C18" s="1521" t="str">
        <x:v>期間外→受付開始→一時停止</x:v>
      </x:c>
      <x:c r="D18" s="1521" t="str">
        <x:v>状態変更</x:v>
      </x:c>
      <x:c r="E18" s="1521" t="str">
        <x:v>各表示・送信可否が正しく切替</x:v>
      </x:c>
      <x:c r="F18" s="1521" t="str">
        <x:v>S</x:v>
      </x:c>
      <x:c r="G18" s="1521" t="str">
        <x:v>本番設定</x:v>
      </x:c>
      <x:c r="H18" s="1521" t="str"/>
      <x:c r="I18" s="1521" t="str"/>
      <x:c r="J18" s="1521" t="str"/>
      <x:c r="K18" s="1521" t="str"/>
      <x:c r="L18" s="1521" t="str"/>
      <x:c r="M18" s="1521" t="str"/>
      <x:c r="N18" s="1521" t="str">
        <x:v>未実施</x:v>
      </x:c>
      <x:c r="O18" s="1521" t="str">
        <x:v>GT-I1C</x:v>
      </x:c>
      <x:c r="P18" s="2236" t="str"/>
    </x:row>
    <x:row r="19">
      <x:c r="A19" s="2237" t="str">
        <x:v>WEB-T15</x:v>
      </x:c>
      <x:c r="B19" s="2238" t="str">
        <x:v>ロールバック</x:v>
      </x:c>
      <x:c r="C19" s="2238" t="str">
        <x:v>障害想定で即時停止</x:v>
      </x:c>
      <x:c r="D19" s="2238" t="str">
        <x:v>受付中</x:v>
      </x:c>
      <x:c r="E19" s="2238" t="str">
        <x:v>期間外表示へ戻り送信停止</x:v>
      </x:c>
      <x:c r="F19" s="2238" t="str">
        <x:v>S</x:v>
      </x:c>
      <x:c r="G19" s="2238" t="str">
        <x:v>本番設定</x:v>
      </x:c>
      <x:c r="H19" s="2238" t="str"/>
      <x:c r="I19" s="2238" t="str"/>
      <x:c r="J19" s="2238" t="str"/>
      <x:c r="K19" s="2238" t="str"/>
      <x:c r="L19" s="2238" t="str"/>
      <x:c r="M19" s="2238" t="str"/>
      <x:c r="N19" s="2238" t="str">
        <x:v>未実施</x:v>
      </x:c>
      <x:c r="O19" s="2238" t="str">
        <x:v>GT-I1C</x:v>
      </x:c>
      <x:c r="P19" s="2239" t="str"/>
    </x:row>
  </x:sheetData>
  <x:mergeCells>
    <x:mergeCell ref="A1:P1"/>
    <x:mergeCell ref="A2:P2"/>
  </x:mergeCells>
  <x:conditionalFormatting sqref="J5:J19">
    <x:cfRule type="expression" dxfId="27" priority="1">
      <x:formula>J5="合格"</x:formula>
    </x:cfRule>
    <x:cfRule type="expression" dxfId="28" priority="2">
      <x:formula>J5="条件付き合格"</x:formula>
    </x:cfRule>
    <x:cfRule type="expression" dxfId="29" priority="3">
      <x:formula>J5="不合格"</x:formula>
    </x:cfRule>
  </x:conditionalFormatting>
  <x:dataValidations count="3">
    <x:dataValidation type="list" sqref="F5:F19">
      <x:formula1>"S,A,B,C"</x:formula1>
    </x:dataValidation>
    <x:dataValidation type="list" sqref="J5:J19">
      <x:formula1>"合格,条件付き合格,不合格,未実施"</x:formula1>
    </x:dataValidation>
    <x:dataValidation type="list" sqref="N5:N19">
      <x:formula1>"未実施,実施中,完了,保留"</x:formula1>
    </x:dataValidation>
  </x:dataValidations>
  <x:pageMargins left="0.7" right="0.7" top="0.75" bottom="0.75" header="0.3" footer="0.3"/>
</x:worksheet>
</file>

<file path=xl/worksheets/sheet63.xml><?xml version="1.0" encoding="utf-8"?>
<x:worksheet xmlns:x="http://schemas.openxmlformats.org/spreadsheetml/2006/main">
  <x:sheetFormatPr defaultRowHeight="15"/>
  <x:cols>
    <x:col min="1" max="1" width="12" hidden="0" customWidth="1"/>
    <x:col min="2" max="2" width="18" hidden="0" customWidth="1"/>
    <x:col min="3" max="3" width="34" hidden="0" customWidth="1"/>
    <x:col min="4" max="4" width="30" hidden="0" customWidth="1"/>
    <x:col min="5" max="5" width="18" hidden="0" customWidth="1"/>
    <x:col min="6" max="6" width="26" hidden="0" customWidth="1"/>
    <x:col min="7" max="7" width="28" hidden="0" customWidth="1"/>
    <x:col min="8" max="8" width="38" hidden="0" customWidth="1"/>
    <x:col min="9" max="9" width="20" hidden="0" customWidth="1"/>
    <x:col min="10" max="10" width="24" hidden="0" customWidth="1"/>
    <x:col min="11" max="11" width="18" hidden="0" customWidth="1"/>
    <x:col min="12" max="12" width="18" hidden="0" customWidth="1"/>
    <x:col min="13" max="13" width="24" hidden="0" customWidth="1"/>
    <x:col min="14" max="14" width="12" hidden="0" customWidth="1"/>
    <x:col min="15" max="15" width="14" hidden="0" customWidth="1"/>
    <x:col min="16" max="16" width="22" hidden="0" customWidth="1"/>
  </x:cols>
  <x:sheetData>
    <x:row r="1" ht="28" customHeight="1">
      <x:c r="A1" s="2252" t="str">
        <x:v>62_独立LP構成</x:v>
      </x:c>
      <x:c r="B1" s="2252"/>
      <x:c r="C1" s="2252"/>
      <x:c r="D1" s="2252"/>
      <x:c r="E1" s="2252"/>
      <x:c r="F1" s="2252"/>
      <x:c r="G1" s="2252"/>
      <x:c r="H1" s="2252"/>
      <x:c r="I1" s="2252"/>
      <x:c r="J1" s="2252"/>
      <x:c r="K1" s="2252"/>
      <x:c r="L1" s="2252"/>
      <x:c r="M1" s="2252"/>
      <x:c r="N1" s="2252"/>
      <x:c r="O1" s="2252"/>
      <x:c r="P1" s="2252"/>
    </x:row>
    <x:row r="2" ht="36" customHeight="1">
      <x:c r="A2" s="2255" t="str">
        <x:v>Energy Doctorを独立サブドメインで先行公開し、澤電気機械公式サイトとは関連サイトとして相互リンクする。</x:v>
      </x:c>
      <x:c r="B2" s="2255"/>
      <x:c r="C2" s="2255"/>
      <x:c r="D2" s="2255"/>
      <x:c r="E2" s="2255"/>
      <x:c r="F2" s="2255"/>
      <x:c r="G2" s="2255"/>
      <x:c r="H2" s="2255"/>
      <x:c r="I2" s="2255"/>
      <x:c r="J2" s="2255"/>
      <x:c r="K2" s="2255"/>
      <x:c r="L2" s="2255"/>
      <x:c r="M2" s="2255"/>
      <x:c r="N2" s="2255"/>
      <x:c r="O2" s="2255"/>
      <x:c r="P2" s="2255"/>
    </x:row>
    <x:row r="4" ht="38" customHeight="1">
      <x:c r="A4" s="2267" t="str">
        <x:v>構成ID</x:v>
      </x:c>
      <x:c r="B4" s="2268" t="str">
        <x:v>対象</x:v>
      </x:c>
      <x:c r="C4" s="2268" t="str">
        <x:v>URL・名称</x:v>
      </x:c>
      <x:c r="D4" s="2268" t="str">
        <x:v>役割</x:v>
      </x:c>
      <x:c r="E4" s="2268" t="str">
        <x:v>公開主体</x:v>
      </x:c>
      <x:c r="F4" s="2268" t="str">
        <x:v>リンク元</x:v>
      </x:c>
      <x:c r="G4" s="2268" t="str">
        <x:v>リンク先</x:v>
      </x:c>
      <x:c r="H4" s="2268" t="str">
        <x:v>表示内容</x:v>
      </x:c>
      <x:c r="I4" s="2268" t="str">
        <x:v>更新担当</x:v>
      </x:c>
      <x:c r="J4" s="2268" t="str">
        <x:v>DNS/SSL</x:v>
      </x:c>
      <x:c r="K4" s="2268" t="str">
        <x:v>ログ</x:v>
      </x:c>
      <x:c r="L4" s="2268" t="str">
        <x:v>受付状態</x:v>
      </x:c>
      <x:c r="M4" s="2268" t="str">
        <x:v>ロールバック</x:v>
      </x:c>
      <x:c r="N4" s="2268" t="str">
        <x:v>Gate</x:v>
      </x:c>
      <x:c r="O4" s="2268" t="str">
        <x:v>状態</x:v>
      </x:c>
      <x:c r="P4" s="2269" t="str">
        <x:v>備考</x:v>
      </x:c>
    </x:row>
    <x:row r="5">
      <x:c r="A5" s="2286" t="str">
        <x:v>ARC-001</x:v>
      </x:c>
      <x:c r="B5" s="2287" t="str">
        <x:v>既存公式サイト</x:v>
      </x:c>
      <x:c r="C5" s="2287" t="str">
        <x:v>https://www.sawa-em.co.jp/</x:v>
      </x:c>
      <x:c r="D5" s="2287" t="str">
        <x:v>澤電気機械の公式企業サイト</x:v>
      </x:c>
      <x:c r="E5" s="2287" t="str">
        <x:v>澤電気機械</x:v>
      </x:c>
      <x:c r="F5" s="2287" t="str">
        <x:v>既存ナビ/サービス欄</x:v>
      </x:c>
      <x:c r="G5" s="2287" t="str">
        <x:v>Energy Doctor専用LP</x:v>
      </x:c>
      <x:c r="H5" s="2287" t="str">
        <x:v>Energy Doctor紹介リンクのみ追加</x:v>
      </x:c>
      <x:c r="I5" s="2287" t="str">
        <x:v>既存Web担当</x:v>
      </x:c>
      <x:c r="J5" s="2287" t="str">
        <x:v>既存環境</x:v>
      </x:c>
      <x:c r="K5" s="2287" t="str">
        <x:v>既存ログ</x:v>
      </x:c>
      <x:c r="L5" s="2287" t="str">
        <x:v>常時公開</x:v>
      </x:c>
      <x:c r="M5" s="2287" t="str">
        <x:v>リンク削除</x:v>
      </x:c>
      <x:c r="N5" s="2287" t="str">
        <x:v>GT-I1A</x:v>
      </x:c>
      <x:c r="O5" s="2287" t="str">
        <x:v>確定</x:v>
      </x:c>
      <x:c r="P5" s="2288" t="str"/>
    </x:row>
    <x:row r="6">
      <x:c r="A6" s="2289" t="str">
        <x:v>ARC-002</x:v>
      </x:c>
      <x:c r="B6" s="1521" t="str">
        <x:v>Energy Doctor LP</x:v>
      </x:c>
      <x:c r="C6" s="1521" t="str">
        <x:v>https://energy-doctor.sawa-em.co.jp/</x:v>
      </x:c>
      <x:c r="D6" s="1521" t="str">
        <x:v>サービス説明・A3例・FAQ・診断受付</x:v>
      </x:c>
      <x:c r="E6" s="1521" t="str">
        <x:v>澤電気機械</x:v>
      </x:c>
      <x:c r="F6" s="1521" t="str">
        <x:v>既存公式サイト、営業メール、QR</x:v>
      </x:c>
      <x:c r="G6" s="1521" t="str">
        <x:v>既存公式サイト、公開診断フォーム</x:v>
      </x:c>
      <x:c r="H6" s="1521" t="str">
        <x:v>57_LPページ仕様に準拠</x:v>
      </x:c>
      <x:c r="I6" s="1521" t="str">
        <x:v>LP担当/情シス</x:v>
      </x:c>
      <x:c r="J6" s="1521" t="str">
        <x:v>新規サブドメイン＋SSL</x:v>
      </x:c>
      <x:c r="K6" s="1521" t="str">
        <x:v>LPアクセスログ</x:v>
      </x:c>
      <x:c r="L6" s="1521" t="str">
        <x:v>期間外→受付開始</x:v>
      </x:c>
      <x:c r="M6" s="1521" t="str">
        <x:v>期間外表示へ切替</x:v>
      </x:c>
      <x:c r="N6" s="1521" t="str">
        <x:v>GT-I1A</x:v>
      </x:c>
      <x:c r="O6" s="1521" t="str">
        <x:v>確定</x:v>
      </x:c>
      <x:c r="P6" s="2290" t="str">
        <x:v>第一候補URL</x:v>
      </x:c>
    </x:row>
    <x:row r="7">
      <x:c r="A7" s="2289" t="str">
        <x:v>ARC-003</x:v>
      </x:c>
      <x:c r="B7" s="1521" t="str">
        <x:v>公開診断フォーム</x:v>
      </x:c>
      <x:c r="C7" s="1521" t="str">
        <x:v>LP内または同一サブドメイン配下</x:v>
      </x:c>
      <x:c r="D7" s="1521" t="str">
        <x:v>診断回答・連絡先・レポート希望の受付</x:v>
      </x:c>
      <x:c r="E7" s="1521" t="str">
        <x:v>澤電気機械</x:v>
      </x:c>
      <x:c r="F7" s="1521" t="str">
        <x:v>Energy Doctor LP</x:v>
      </x:c>
      <x:c r="G7" s="1521" t="str">
        <x:v>受付完了画面</x:v>
      </x:c>
      <x:c r="H7" s="1521" t="str">
        <x:v>58_公開フォーム項目に準拠、ファイル添付なし</x:v>
      </x:c>
      <x:c r="I7" s="1521" t="str">
        <x:v>LP担当/情シス</x:v>
      </x:c>
      <x:c r="J7" s="1521" t="str">
        <x:v>LP環境に含む</x:v>
      </x:c>
      <x:c r="K7" s="1521" t="str">
        <x:v>受付・送信ログ</x:v>
      </x:c>
      <x:c r="L7" s="1521" t="str">
        <x:v>期間外→受付開始</x:v>
      </x:c>
      <x:c r="M7" s="1521" t="str">
        <x:v>送信停止</x:v>
      </x:c>
      <x:c r="N7" s="1521" t="str">
        <x:v>GT-I1A/1C</x:v>
      </x:c>
      <x:c r="O7" s="1521" t="str">
        <x:v>確定</x:v>
      </x:c>
      <x:c r="P7" s="2290" t="str"/>
    </x:row>
    <x:row r="8">
      <x:c r="A8" s="2289" t="str">
        <x:v>ARC-004</x:v>
      </x:c>
      <x:c r="B8" s="1521" t="str">
        <x:v>会社情報</x:v>
      </x:c>
      <x:c r="C8" s="1521" t="str">
        <x:v>既存公式サイト会社概要</x:v>
      </x:c>
      <x:c r="D8" s="1521" t="str">
        <x:v>運営主体の明示</x:v>
      </x:c>
      <x:c r="E8" s="1521" t="str">
        <x:v>澤電気機械</x:v>
      </x:c>
      <x:c r="F8" s="1521" t="str">
        <x:v>Energy Doctor LPフッター</x:v>
      </x:c>
      <x:c r="G8" s="1521" t="str">
        <x:v>既存公式サイト</x:v>
      </x:c>
      <x:c r="H8" s="1521" t="str">
        <x:v>会社概要、所在地、連絡先</x:v>
      </x:c>
      <x:c r="I8" s="1521" t="str">
        <x:v>既存Web担当</x:v>
      </x:c>
      <x:c r="J8" s="1521" t="str">
        <x:v>既存環境</x:v>
      </x:c>
      <x:c r="K8" s="1521" t="str">
        <x:v>既存ログ</x:v>
      </x:c>
      <x:c r="L8" s="1521" t="str">
        <x:v>常時公開</x:v>
      </x:c>
      <x:c r="M8" s="1521" t="str">
        <x:v>リンク削除</x:v>
      </x:c>
      <x:c r="N8" s="1521" t="str">
        <x:v>GT-I1A</x:v>
      </x:c>
      <x:c r="O8" s="1521" t="str">
        <x:v>確定</x:v>
      </x:c>
      <x:c r="P8" s="2290" t="str">
        <x:v>重複制作しない</x:v>
      </x:c>
    </x:row>
    <x:row r="9">
      <x:c r="A9" s="2291" t="str">
        <x:v>ARC-005</x:v>
      </x:c>
      <x:c r="B9" s="2292" t="str">
        <x:v>プライバシー情報</x:v>
      </x:c>
      <x:c r="C9" s="2292" t="str">
        <x:v>既存ポリシー＋Energy Doctor追記ページ候補</x:v>
      </x:c>
      <x:c r="D9" s="2292" t="str">
        <x:v>入力情報・AI利用・秘密情報の説明</x:v>
      </x:c>
      <x:c r="E9" s="2292" t="str">
        <x:v>澤電気機械</x:v>
      </x:c>
      <x:c r="F9" s="2292" t="str">
        <x:v>LP同意欄・フッター</x:v>
      </x:c>
      <x:c r="G9" s="2292" t="str">
        <x:v>既存サイトまたはLP詳細</x:v>
      </x:c>
      <x:c r="H9" s="2292" t="str">
        <x:v>利用目的、保存、削除、AI利用、問い合わせ先</x:v>
      </x:c>
      <x:c r="I9" s="2292" t="str">
        <x:v>管理/情シス</x:v>
      </x:c>
      <x:c r="J9" s="2292" t="str">
        <x:v>配置先による</x:v>
      </x:c>
      <x:c r="K9" s="2292" t="str">
        <x:v>閲覧ログ候補</x:v>
      </x:c>
      <x:c r="L9" s="2292" t="str">
        <x:v>常時公開</x:v>
      </x:c>
      <x:c r="M9" s="2292" t="str">
        <x:v>旧版へ戻す</x:v>
      </x:c>
      <x:c r="N9" s="2292" t="str">
        <x:v>GT-I1A</x:v>
      </x:c>
      <x:c r="O9" s="2292" t="str">
        <x:v>確認中</x:v>
      </x:c>
      <x:c r="P9" s="2293" t="str">
        <x:v>追記方法は情シス確認</x:v>
      </x:c>
    </x:row>
  </x:sheetData>
  <x:mergeCells>
    <x:mergeCell ref="A1:P1"/>
    <x:mergeCell ref="A2:P2"/>
  </x:mergeCells>
  <x:dataValidations count="2">
    <x:dataValidation type="list" sqref="L5:L9">
      <x:formula1>"期間外,社内テスト,受付開始,一時停止,常時公開"</x:formula1>
    </x:dataValidation>
    <x:dataValidation type="list" sqref="O5:O9">
      <x:formula1>"確定,確認中,修正中,保留"</x:formula1>
    </x:dataValidation>
  </x:dataValidations>
  <x:pageMargins left="0.7" right="0.7" top="0.75" bottom="0.75" header="0.3" footer="0.3"/>
</x:worksheet>
</file>

<file path=xl/worksheets/sheet64.xml><?xml version="1.0" encoding="utf-8"?>
<x:worksheet xmlns:x="http://schemas.openxmlformats.org/spreadsheetml/2006/main">
  <x:sheetFormatPr defaultRowHeight="15"/>
  <x:cols>
    <x:col min="1" max="1" width="12" hidden="0" customWidth="1"/>
    <x:col min="2" max="2" width="20" hidden="0" customWidth="1"/>
    <x:col min="3" max="3" width="38" hidden="0" customWidth="1"/>
    <x:col min="4" max="4" width="34" hidden="0" customWidth="1"/>
    <x:col min="5" max="5" width="38" hidden="0" customWidth="1"/>
    <x:col min="6" max="6" width="34" hidden="0" customWidth="1"/>
    <x:col min="7" max="7" width="14" hidden="0" customWidth="1"/>
    <x:col min="8" max="8" width="30" hidden="0" customWidth="1"/>
    <x:col min="9" max="9" width="22" hidden="0" customWidth="1"/>
    <x:col min="10" max="10" width="16" hidden="0" customWidth="1"/>
    <x:col min="11" max="11" width="14" hidden="0" customWidth="1"/>
    <x:col min="12" max="12" width="24" hidden="0" customWidth="1"/>
    <x:col min="13" max="13" width="30" hidden="0" customWidth="1"/>
    <x:col min="14" max="14" width="14" hidden="0" customWidth="1"/>
    <x:col min="15" max="15" width="14" hidden="0" customWidth="1"/>
    <x:col min="16" max="16" width="22" hidden="0" customWidth="1"/>
  </x:cols>
  <x:sheetData>
    <x:row r="1" ht="28" customHeight="1">
      <x:c r="A1" s="2252" t="str">
        <x:v>63_サブドメイン仮決定・情シス確認票</x:v>
      </x:c>
      <x:c r="B1" s="2252"/>
      <x:c r="C1" s="2252"/>
      <x:c r="D1" s="2252"/>
      <x:c r="E1" s="2252"/>
      <x:c r="F1" s="2252"/>
      <x:c r="G1" s="2252"/>
      <x:c r="H1" s="2252"/>
      <x:c r="I1" s="2252"/>
      <x:c r="J1" s="2252"/>
      <x:c r="K1" s="2252"/>
      <x:c r="L1" s="2252"/>
      <x:c r="M1" s="2252"/>
      <x:c r="N1" s="2252"/>
      <x:c r="O1" s="2252"/>
      <x:c r="P1" s="2252"/>
    </x:row>
    <x:row r="2" ht="36" customHeight="1">
      <x:c r="A2" s="2255" t="str">
        <x:v>事業側でDNS・SSL・LP公開基盤の仮構成を定め、情シスには実現可否、制約、担当範囲、代替案、追加費用を確認してもらう。</x:v>
      </x:c>
      <x:c r="B2" s="2255"/>
      <x:c r="C2" s="2255"/>
      <x:c r="D2" s="2255"/>
      <x:c r="E2" s="2255"/>
      <x:c r="F2" s="2255"/>
      <x:c r="G2" s="2255"/>
      <x:c r="H2" s="2255"/>
      <x:c r="I2" s="2255"/>
      <x:c r="J2" s="2255"/>
      <x:c r="K2" s="2255"/>
      <x:c r="L2" s="2255"/>
      <x:c r="M2" s="2255"/>
      <x:c r="N2" s="2255"/>
      <x:c r="O2" s="2255"/>
      <x:c r="P2" s="2255"/>
    </x:row>
    <x:row r="4" ht="38" customHeight="1">
      <x:c r="A4" s="2308" t="str">
        <x:v>確認ID</x:v>
      </x:c>
      <x:c r="B4" s="2309" t="str">
        <x:v>対象項目</x:v>
      </x:c>
      <x:c r="C4" s="2309" t="str">
        <x:v>事業側仮決定</x:v>
      </x:c>
      <x:c r="D4" s="2309" t="str">
        <x:v>仮決定理由</x:v>
      </x:c>
      <x:c r="E4" s="2309" t="str">
        <x:v>情シス確認事項</x:v>
      </x:c>
      <x:c r="F4" s="2309" t="str">
        <x:v>情シス回答</x:v>
      </x:c>
      <x:c r="G4" s="2309" t="str">
        <x:v>判定</x:v>
      </x:c>
      <x:c r="H4" s="2309" t="str">
        <x:v>条件・制約</x:v>
      </x:c>
      <x:c r="I4" s="2309" t="str">
        <x:v>担当区分</x:v>
      </x:c>
      <x:c r="J4" s="2309" t="str">
        <x:v>外部依頼</x:v>
      </x:c>
      <x:c r="K4" s="2309" t="str">
        <x:v>追加費用</x:v>
      </x:c>
      <x:c r="L4" s="2309" t="str">
        <x:v>証跡</x:v>
      </x:c>
      <x:c r="M4" s="2309" t="str">
        <x:v>最終方針</x:v>
      </x:c>
      <x:c r="N4" s="2309" t="str">
        <x:v>状態</x:v>
      </x:c>
      <x:c r="O4" s="2309" t="str">
        <x:v>確認日</x:v>
      </x:c>
      <x:c r="P4" s="2310" t="str">
        <x:v>備考</x:v>
      </x:c>
    </x:row>
    <x:row r="5">
      <x:c r="A5" s="2312" t="str">
        <x:v>SUB-001</x:v>
      </x:c>
      <x:c r="B5" s="2313" t="str">
        <x:v>URL</x:v>
      </x:c>
      <x:c r="C5" s="2313" t="str">
        <x:v>https://energy-doctor.sawa-em.co.jp/</x:v>
      </x:c>
      <x:c r="D5" s="2313" t="str">
        <x:v>澤電気機械公式サービスと分かりやすく、既存サイトと運用を分離できる</x:v>
      </x:c>
      <x:c r="E5" s="2313" t="str">
        <x:v>サブドメイン発行可否、DNS管理者、命名上の制約</x:v>
      </x:c>
      <x:c r="F5" s="2313" t="str"/>
      <x:c r="G5" s="2313" t="str">
        <x:v>未確認</x:v>
      </x:c>
      <x:c r="H5" s="2313" t="str"/>
      <x:c r="I5" s="2314" t="str">
        <x:v>情シス/DNS管理者</x:v>
      </x:c>
      <x:c r="J5" s="2313" t="str">
        <x:v>未確認</x:v>
      </x:c>
      <x:c r="K5" s="2314" t="n">
        <x:v>0</x:v>
      </x:c>
      <x:c r="L5" s="2313" t="str">
        <x:v>DNS設定・回答記録</x:v>
      </x:c>
      <x:c r="M5" s="2313" t="str"/>
      <x:c r="N5" s="2313" t="str">
        <x:v>仮決定</x:v>
      </x:c>
      <x:c r="O5" s="2313" t="str"/>
      <x:c r="P5" s="2315" t="str"/>
    </x:row>
    <x:row r="6">
      <x:c r="A6" s="2316" t="str">
        <x:v>SUB-002</x:v>
      </x:c>
      <x:c r="B6" s="1521" t="str">
        <x:v>DNS</x:v>
      </x:c>
      <x:c r="C6" s="1521" t="str">
        <x:v>LP公開先へCNAMEまたは必要なDNSレコードを設定</x:v>
      </x:c>
      <x:c r="D6" s="1521" t="str">
        <x:v>ホスティング先を既存サイトから独立させるため</x:v>
      </x:c>
      <x:c r="E6" s="1521" t="str">
        <x:v>使用可能なレコード、変更手順、反映時間、切戻し方法</x:v>
      </x:c>
      <x:c r="F6" s="1521" t="str"/>
      <x:c r="G6" s="1521" t="str">
        <x:v>未確認</x:v>
      </x:c>
      <x:c r="H6" s="1521" t="str"/>
      <x:c r="I6" s="1594" t="str">
        <x:v>情シス/DNS管理者</x:v>
      </x:c>
      <x:c r="J6" s="1521" t="str">
        <x:v>未確認</x:v>
      </x:c>
      <x:c r="K6" s="1594" t="n">
        <x:v>0</x:v>
      </x:c>
      <x:c r="L6" s="1521" t="str">
        <x:v>変更記録</x:v>
      </x:c>
      <x:c r="M6" s="1521" t="str"/>
      <x:c r="N6" s="1521" t="str">
        <x:v>仮決定</x:v>
      </x:c>
      <x:c r="O6" s="1521" t="str"/>
      <x:c r="P6" s="2317" t="str"/>
    </x:row>
    <x:row r="7">
      <x:c r="A7" s="2316" t="str">
        <x:v>SUB-003</x:v>
      </x:c>
      <x:c r="B7" s="1521" t="str">
        <x:v>SSL</x:v>
      </x:c>
      <x:c r="C7" s="1521" t="str">
        <x:v>LP基盤の自動発行・自動更新証明書を使用</x:v>
      </x:c>
      <x:c r="D7" s="1521" t="str">
        <x:v>手動更新による失効リスクを避けるため</x:v>
      </x:c>
      <x:c r="E7" s="1521" t="str">
        <x:v>自動更新可否、証明書管理者、失効・更新失敗の確認方法</x:v>
      </x:c>
      <x:c r="F7" s="1521" t="str"/>
      <x:c r="G7" s="1521" t="str">
        <x:v>未確認</x:v>
      </x:c>
      <x:c r="H7" s="1521" t="str"/>
      <x:c r="I7" s="1594" t="str">
        <x:v>情シス/LP管理者</x:v>
      </x:c>
      <x:c r="J7" s="1521" t="str">
        <x:v>未確認</x:v>
      </x:c>
      <x:c r="K7" s="1594" t="n">
        <x:v>0</x:v>
      </x:c>
      <x:c r="L7" s="1521" t="str">
        <x:v>証明書情報</x:v>
      </x:c>
      <x:c r="M7" s="1521" t="str"/>
      <x:c r="N7" s="1521" t="str">
        <x:v>仮決定</x:v>
      </x:c>
      <x:c r="O7" s="1521" t="str"/>
      <x:c r="P7" s="2317" t="str"/>
    </x:row>
    <x:row r="8">
      <x:c r="A8" s="2316" t="str">
        <x:v>SUB-004</x:v>
      </x:c>
      <x:c r="B8" s="1521" t="str">
        <x:v>LP公開基盤</x:v>
      </x:c>
      <x:c r="C8" s="1521" t="str">
        <x:v>既存契約または無償範囲で、独自サブドメイン・SSL・フォーム・状態切替・ログ・バックアップに対応する基盤</x:v>
      </x:c>
      <x:c r="D8" s="1521" t="str">
        <x:v>追加外部費用をかけず、社内更新可能な独立LPを早期に立ち上げるため</x:v>
      </x:c>
      <x:c r="E8" s="1521" t="str">
        <x:v>該当する社内基盤・既存契約サービス、利用条件、管理者、制約</x:v>
      </x:c>
      <x:c r="F8" s="1521" t="str"/>
      <x:c r="G8" s="1521" t="str">
        <x:v>未確認</x:v>
      </x:c>
      <x:c r="H8" s="1521" t="str"/>
      <x:c r="I8" s="1594" t="str">
        <x:v>情シス/Web担当</x:v>
      </x:c>
      <x:c r="J8" s="1521" t="str">
        <x:v>未確認</x:v>
      </x:c>
      <x:c r="K8" s="1594" t="n">
        <x:v>0</x:v>
      </x:c>
      <x:c r="L8" s="1521" t="str">
        <x:v>契約・管理画面</x:v>
      </x:c>
      <x:c r="M8" s="1521" t="str"/>
      <x:c r="N8" s="1521" t="str">
        <x:v>仮決定</x:v>
      </x:c>
      <x:c r="O8" s="1521" t="str"/>
      <x:c r="P8" s="2317" t="str">
        <x:v>製品名は情シス回答後確定</x:v>
      </x:c>
    </x:row>
    <x:row r="9">
      <x:c r="A9" s="2316" t="str">
        <x:v>SUB-005</x:v>
      </x:c>
      <x:c r="B9" s="1521" t="str">
        <x:v>LP編集権限</x:v>
      </x:c>
      <x:c r="C9" s="1521" t="str">
        <x:v>情シスと事業担当の複数名で更新可能</x:v>
      </x:c>
      <x:c r="D9" s="1521" t="str">
        <x:v>属人化と更新待ちを避けるため</x:v>
      </x:c>
      <x:c r="E9" s="1521" t="str">
        <x:v>編集者・管理者権限の設定可否、承認フロー、操作ログ</x:v>
      </x:c>
      <x:c r="F9" s="1521" t="str"/>
      <x:c r="G9" s="1521" t="str">
        <x:v>未確認</x:v>
      </x:c>
      <x:c r="H9" s="1521" t="str"/>
      <x:c r="I9" s="1594" t="str">
        <x:v>情シス/事業担当</x:v>
      </x:c>
      <x:c r="J9" s="1521" t="str">
        <x:v>未確認</x:v>
      </x:c>
      <x:c r="K9" s="1594" t="n">
        <x:v>0</x:v>
      </x:c>
      <x:c r="L9" s="1521" t="str">
        <x:v>権限画面</x:v>
      </x:c>
      <x:c r="M9" s="1521" t="str"/>
      <x:c r="N9" s="1521" t="str">
        <x:v>仮決定</x:v>
      </x:c>
      <x:c r="O9" s="1521" t="str"/>
      <x:c r="P9" s="2317" t="str"/>
    </x:row>
    <x:row r="10">
      <x:c r="A10" s="2316" t="str">
        <x:v>SUB-006</x:v>
      </x:c>
      <x:c r="B10" s="1521" t="str">
        <x:v>受付状態制御</x:v>
      </x:c>
      <x:c r="C10" s="1521" t="str">
        <x:v>期間外・社内テスト・受付開始・一時停止を即時切替</x:v>
      </x:c>
      <x:c r="D10" s="1521" t="str">
        <x:v>Webを先行公開し、受付だけをGate管理するため</x:v>
      </x:c>
      <x:c r="E10" s="1521" t="str">
        <x:v>切替方法、必要権限、切替所要時間、緊急停止方法</x:v>
      </x:c>
      <x:c r="F10" s="1521" t="str"/>
      <x:c r="G10" s="1521" t="str">
        <x:v>未確認</x:v>
      </x:c>
      <x:c r="H10" s="1521" t="str"/>
      <x:c r="I10" s="1594" t="str">
        <x:v>情シス/Web担当</x:v>
      </x:c>
      <x:c r="J10" s="1521" t="str">
        <x:v>未確認</x:v>
      </x:c>
      <x:c r="K10" s="1594" t="n">
        <x:v>0</x:v>
      </x:c>
      <x:c r="L10" s="1521" t="str">
        <x:v>切替テスト</x:v>
      </x:c>
      <x:c r="M10" s="1521" t="str"/>
      <x:c r="N10" s="1521" t="str">
        <x:v>仮決定</x:v>
      </x:c>
      <x:c r="O10" s="1521" t="str"/>
      <x:c r="P10" s="2317" t="str"/>
    </x:row>
    <x:row r="11">
      <x:c r="A11" s="2316" t="str">
        <x:v>SUB-007</x:v>
      </x:c>
      <x:c r="B11" s="1521" t="str">
        <x:v>社内テスト経路</x:v>
      </x:c>
      <x:c r="C11" s="1521" t="str">
        <x:v>限定URL、認証、時間限定公開のいずれかを採用</x:v>
      </x:c>
      <x:c r="D11" s="1521" t="str">
        <x:v>一般受付停止中に模擬案件3件を処理するため</x:v>
      </x:c>
      <x:c r="E11" s="1521" t="str">
        <x:v>利用可能な方式、社外一般からの遮断、ログ取得</x:v>
      </x:c>
      <x:c r="F11" s="1521" t="str"/>
      <x:c r="G11" s="1521" t="str">
        <x:v>未確認</x:v>
      </x:c>
      <x:c r="H11" s="1521" t="str"/>
      <x:c r="I11" s="1594" t="str">
        <x:v>情シス</x:v>
      </x:c>
      <x:c r="J11" s="1521" t="str">
        <x:v>未確認</x:v>
      </x:c>
      <x:c r="K11" s="1594" t="n">
        <x:v>0</x:v>
      </x:c>
      <x:c r="L11" s="1521" t="str">
        <x:v>テスト記録</x:v>
      </x:c>
      <x:c r="M11" s="1521" t="str"/>
      <x:c r="N11" s="1521" t="str">
        <x:v>仮決定</x:v>
      </x:c>
      <x:c r="O11" s="1521" t="str"/>
      <x:c r="P11" s="2317" t="str"/>
    </x:row>
    <x:row r="12">
      <x:c r="A12" s="2316" t="str">
        <x:v>SUB-008</x:v>
      </x:c>
      <x:c r="B12" s="1521" t="str">
        <x:v>公開フォーム</x:v>
      </x:c>
      <x:c r="C12" s="1521" t="str">
        <x:v>LP内または同一ブランド画面で、ファイル添付なし</x:v>
      </x:c>
      <x:c r="D12" s="1521" t="str">
        <x:v>資料提出を個別対応に分離し、秘密情報の公開受付を避けるため</x:v>
      </x:c>
      <x:c r="E12" s="1521" t="str">
        <x:v>フォーム製品、保存先、通知、CSV等の取得方法、入力制約</x:v>
      </x:c>
      <x:c r="F12" s="1521" t="str"/>
      <x:c r="G12" s="1521" t="str">
        <x:v>未確認</x:v>
      </x:c>
      <x:c r="H12" s="1521" t="str"/>
      <x:c r="I12" s="1594" t="str">
        <x:v>情シス/Web担当</x:v>
      </x:c>
      <x:c r="J12" s="1521" t="str">
        <x:v>未確認</x:v>
      </x:c>
      <x:c r="K12" s="1594" t="n">
        <x:v>0</x:v>
      </x:c>
      <x:c r="L12" s="1521" t="str">
        <x:v>フォーム設定</x:v>
      </x:c>
      <x:c r="M12" s="1521" t="str"/>
      <x:c r="N12" s="1521" t="str">
        <x:v>仮決定</x:v>
      </x:c>
      <x:c r="O12" s="1521" t="str"/>
      <x:c r="P12" s="2317" t="str"/>
    </x:row>
    <x:row r="13">
      <x:c r="A13" s="2316" t="str">
        <x:v>SUB-009</x:v>
      </x:c>
      <x:c r="B13" s="1521" t="str">
        <x:v>受付通知</x:v>
      </x:c>
      <x:c r="C13" s="1521" t="str">
        <x:v>指定メールアドレスへ通知し、初期はExcelへの手動転記を許容</x:v>
      </x:c>
      <x:c r="D13" s="1521" t="str">
        <x:v>月数件のため完全自動化を急がない</x:v>
      </x:c>
      <x:c r="E13" s="1521" t="str">
        <x:v>共有メールまたは専用アドレス、通知内容、自動返信可否</x:v>
      </x:c>
      <x:c r="F13" s="1521" t="str"/>
      <x:c r="G13" s="1521" t="str">
        <x:v>未確認</x:v>
      </x:c>
      <x:c r="H13" s="1521" t="str"/>
      <x:c r="I13" s="1594" t="str">
        <x:v>情シス/営業</x:v>
      </x:c>
      <x:c r="J13" s="1521" t="str">
        <x:v>未確認</x:v>
      </x:c>
      <x:c r="K13" s="1594" t="n">
        <x:v>0</x:v>
      </x:c>
      <x:c r="L13" s="1521" t="str">
        <x:v>メールテスト</x:v>
      </x:c>
      <x:c r="M13" s="1521" t="str"/>
      <x:c r="N13" s="1521" t="str">
        <x:v>仮決定</x:v>
      </x:c>
      <x:c r="O13" s="1521" t="str"/>
      <x:c r="P13" s="2317" t="str"/>
    </x:row>
    <x:row r="14">
      <x:c r="A14" s="2316" t="str">
        <x:v>SUB-010</x:v>
      </x:c>
      <x:c r="B14" s="1521" t="str">
        <x:v>アクセスログ</x:v>
      </x:c>
      <x:c r="C14" s="1521" t="str">
        <x:v>アクセス数、流入元、フォーム送信、エラーを確認可能</x:v>
      </x:c>
      <x:c r="D14" s="1521" t="str">
        <x:v>パイロット評価と障害確認に必要</x:v>
      </x:c>
      <x:c r="E14" s="1521" t="str">
        <x:v>取得可能なログ、閲覧者、保存期間、集計方法</x:v>
      </x:c>
      <x:c r="F14" s="1521" t="str"/>
      <x:c r="G14" s="1521" t="str">
        <x:v>未確認</x:v>
      </x:c>
      <x:c r="H14" s="1521" t="str"/>
      <x:c r="I14" s="1594" t="str">
        <x:v>情シス/事業担当</x:v>
      </x:c>
      <x:c r="J14" s="1521" t="str">
        <x:v>未確認</x:v>
      </x:c>
      <x:c r="K14" s="1594" t="n">
        <x:v>0</x:v>
      </x:c>
      <x:c r="L14" s="1521" t="str">
        <x:v>ログ画面</x:v>
      </x:c>
      <x:c r="M14" s="1521" t="str"/>
      <x:c r="N14" s="1521" t="str">
        <x:v>仮決定</x:v>
      </x:c>
      <x:c r="O14" s="1521" t="str"/>
      <x:c r="P14" s="2317" t="str"/>
    </x:row>
    <x:row r="15">
      <x:c r="A15" s="2316" t="str">
        <x:v>SUB-011</x:v>
      </x:c>
      <x:c r="B15" s="1521" t="str">
        <x:v>バックアップ・復旧</x:v>
      </x:c>
      <x:c r="C15" s="1521" t="str">
        <x:v>ページ本文・設定・フォーム定義を復旧可能</x:v>
      </x:c>
      <x:c r="D15" s="1521" t="str">
        <x:v>小規模でも再構築可能性を確保するため</x:v>
      </x:c>
      <x:c r="E15" s="1521" t="str">
        <x:v>バックアップ方法、復旧責任者、復旧時間、テスト可否</x:v>
      </x:c>
      <x:c r="F15" s="1521" t="str"/>
      <x:c r="G15" s="1521" t="str">
        <x:v>未確認</x:v>
      </x:c>
      <x:c r="H15" s="1521" t="str"/>
      <x:c r="I15" s="1594" t="str">
        <x:v>情シス</x:v>
      </x:c>
      <x:c r="J15" s="1521" t="str">
        <x:v>未確認</x:v>
      </x:c>
      <x:c r="K15" s="1594" t="n">
        <x:v>0</x:v>
      </x:c>
      <x:c r="L15" s="1521" t="str">
        <x:v>復旧手順</x:v>
      </x:c>
      <x:c r="M15" s="1521" t="str"/>
      <x:c r="N15" s="1521" t="str">
        <x:v>仮決定</x:v>
      </x:c>
      <x:c r="O15" s="1521" t="str"/>
      <x:c r="P15" s="2317" t="str"/>
    </x:row>
    <x:row r="16">
      <x:c r="A16" s="2318" t="str">
        <x:v>SUB-012</x:v>
      </x:c>
      <x:c r="B16" s="2292" t="str">
        <x:v>既存公式サイトとのリンク</x:v>
      </x:c>
      <x:c r="C16" s="2292" t="str">
        <x:v>既存サイトからEnergy Doctorへ1か所以上、LPから会社概要・問い合わせ・プライバシーへリンク</x:v>
      </x:c>
      <x:c r="D16" s="2292" t="str">
        <x:v>公式性と顧客の安心感を担保するため</x:v>
      </x:c>
      <x:c r="E16" s="2292" t="str">
        <x:v>既存サイト側の変更担当、掲載位置、公開手順、費用</x:v>
      </x:c>
      <x:c r="F16" s="2292" t="str"/>
      <x:c r="G16" s="2292" t="str">
        <x:v>未確認</x:v>
      </x:c>
      <x:c r="H16" s="2292" t="str"/>
      <x:c r="I16" s="2295" t="str">
        <x:v>既存Web担当/LP担当</x:v>
      </x:c>
      <x:c r="J16" s="2292" t="str">
        <x:v>未確認</x:v>
      </x:c>
      <x:c r="K16" s="2295" t="n">
        <x:v>0</x:v>
      </x:c>
      <x:c r="L16" s="2292" t="str">
        <x:v>公開画面</x:v>
      </x:c>
      <x:c r="M16" s="2292" t="str"/>
      <x:c r="N16" s="2292" t="str">
        <x:v>仮決定</x:v>
      </x:c>
      <x:c r="O16" s="2292" t="str"/>
      <x:c r="P16" s="2319" t="str"/>
    </x:row>
    <x:row r="17">
      <x:c r="A17" s="2326" t="str">
        <x:v>SUB-013</x:v>
      </x:c>
      <x:c r="B17" s="2327" t="str">
        <x:v>追加費用</x:v>
      </x:c>
      <x:c r="C17" s="2327" t="str">
        <x:v>当面0円を原則とし、発生時は個別承認</x:v>
      </x:c>
      <x:c r="D17" s="2327" t="str">
        <x:v>スモールスタート方針を維持するため</x:v>
      </x:c>
      <x:c r="E17" s="2327" t="str">
        <x:v>初期費用、月額費用、ドメイン・SSL・フォーム・ログ等の費用</x:v>
      </x:c>
      <x:c r="F17" s="2327" t="str"/>
      <x:c r="G17" s="2327" t="str">
        <x:v>未確認</x:v>
      </x:c>
      <x:c r="H17" s="2327" t="str"/>
      <x:c r="I17" s="2327" t="str">
        <x:v>情シス/事業責任者</x:v>
      </x:c>
      <x:c r="J17" s="2327" t="str">
        <x:v>未確認</x:v>
      </x:c>
      <x:c r="K17" s="2329" t="n">
        <x:v>0</x:v>
      </x:c>
      <x:c r="L17" s="2327" t="str">
        <x:v>見積・契約</x:v>
      </x:c>
      <x:c r="M17" s="2327" t="str"/>
      <x:c r="N17" s="2327" t="str">
        <x:v>仮決定</x:v>
      </x:c>
      <x:c r="O17" s="2327" t="str"/>
      <x:c r="P17" s="2328" t="str"/>
    </x:row>
  </x:sheetData>
  <x:mergeCells>
    <x:mergeCell ref="A1:P1"/>
    <x:mergeCell ref="A2:P2"/>
  </x:mergeCells>
  <x:dataValidations count="7">
    <x:dataValidation type="list" sqref="E5:E16">
      <x:formula1>"可,条件付き可,不可,未確認"</x:formula1>
    </x:dataValidation>
    <x:dataValidation type="list" sqref="H5:H16">
      <x:formula1>"不要,必要,未確認"</x:formula1>
    </x:dataValidation>
    <x:dataValidation type="list" sqref="L5:L16">
      <x:formula1>"S,A,B,C"</x:formula1>
    </x:dataValidation>
    <x:dataValidation type="list" sqref="N5:N16">
      <x:formula1>"未確認,確認中,回答済,要追加確認,確定"</x:formula1>
    </x:dataValidation>
    <x:dataValidation type="list" sqref="G5:G17">
      <x:formula1>"可,条件付き可,不可,未確認"</x:formula1>
    </x:dataValidation>
    <x:dataValidation type="list" sqref="J5:J17">
      <x:formula1>"不要,必要,未確認"</x:formula1>
    </x:dataValidation>
    <x:dataValidation type="list" sqref="N5:N17">
      <x:formula1>"仮決定,確認中,回答済,要修正,確定"</x:formula1>
    </x:dataValidation>
  </x:dataValidations>
  <x:pageMargins left="0.7" right="0.7" top="0.75" bottom="0.75" header="0.3" footer="0.3"/>
</x:worksheet>
</file>

<file path=xl/worksheets/sheet65.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8" max="8" width="18" hidden="0" customWidth="1"/>
    <x:col min="9" max="9" width="34" hidden="0" customWidth="1"/>
    <x:col min="10" max="10" width="14" hidden="0" customWidth="1"/>
    <x:col min="11" max="11" width="18" hidden="0" customWidth="1"/>
    <x:col min="12" max="12" width="14" hidden="0" customWidth="1"/>
    <x:col min="13" max="13" width="14" hidden="0" customWidth="1"/>
    <x:col min="14" max="14" width="22" hidden="0" customWidth="1"/>
  </x:cols>
  <x:sheetData>
    <x:row r="1" ht="28" customHeight="1">
      <x:c r="A1" s="2333" t="str">
        <x:v>64_情シス提示書</x:v>
      </x:c>
      <x:c r="B1" s="2333"/>
      <x:c r="C1" s="2333"/>
      <x:c r="D1" s="2333"/>
      <x:c r="E1" s="2333"/>
      <x:c r="F1" s="2333"/>
      <x:c r="G1" s="2333"/>
      <x:c r="H1" s="2333"/>
      <x:c r="I1" s="2333"/>
      <x:c r="J1" s="2333"/>
      <x:c r="K1" s="2333"/>
      <x:c r="L1" s="2333"/>
      <x:c r="M1" s="2333"/>
      <x:c r="N1" s="2333"/>
    </x:row>
    <x:row r="2" ht="36" customHeight="1">
      <x:c r="A2" s="2336" t="str">
        <x:v>山元氏が情シスへ個別に確認する際の説明・回答記録用資料。会議・一括提示イベントは前提としない。</x:v>
      </x:c>
      <x:c r="B2" s="2336"/>
      <x:c r="C2" s="2336"/>
      <x:c r="D2" s="2336"/>
      <x:c r="E2" s="2336"/>
      <x:c r="F2" s="2336"/>
      <x:c r="G2" s="2336"/>
      <x:c r="H2" s="2336"/>
      <x:c r="I2" s="2336"/>
      <x:c r="J2" s="2336"/>
      <x:c r="K2" s="2336"/>
      <x:c r="L2" s="2336"/>
      <x:c r="M2" s="2336"/>
      <x:c r="N2" s="2336"/>
    </x:row>
    <x:row r="4">
      <x:c r="A4" s="2339" t="str">
        <x:v>1．提示目的</x:v>
      </x:c>
      <x:c r="B4" s="2340"/>
      <x:c r="C4" s="2340"/>
      <x:c r="D4" s="2340"/>
      <x:c r="E4" s="2340"/>
      <x:c r="F4" s="2340"/>
      <x:c r="G4" s="2340"/>
      <x:c r="H4" s="2340"/>
      <x:c r="I4" s="2340"/>
      <x:c r="J4" s="2340"/>
      <x:c r="K4" s="2340"/>
      <x:c r="L4" s="2340"/>
      <x:c r="M4" s="2340"/>
      <x:c r="N4" s="2341"/>
    </x:row>
    <x:row r="5" ht="24" customHeight="1">
      <x:c r="A5" s="2360" t="str">
        <x:v>Energy Doctorは、既存公式サイト内に組み込まず、https://energy-doctor.sawa-em.co.jp/ を第一候補とする独立LPとして構築します。既存公式サイトとは関連サイトとして相互リンクし、LPは先に公開しますが、一般診断受付は準備期間中停止します。本書では事業側の仮構成を提示し、情シスには実現可否、利用可能な基盤、設定担当、制約、代替案、追加費用の確認をお願いします。</x:v>
      </x:c>
      <x:c r="B5" s="2361"/>
      <x:c r="C5" s="2361"/>
      <x:c r="D5" s="2361"/>
      <x:c r="E5" s="2361"/>
      <x:c r="F5" s="2361"/>
      <x:c r="G5" s="2361"/>
      <x:c r="H5" s="2361"/>
      <x:c r="I5" s="2361"/>
      <x:c r="J5" s="2361"/>
      <x:c r="K5" s="2361"/>
      <x:c r="L5" s="2361"/>
      <x:c r="M5" s="2361"/>
      <x:c r="N5" s="2362"/>
    </x:row>
    <x:row r="6" ht="24" customHeight="1">
      <x:c r="A6" s="2363"/>
      <x:c r="B6" s="2364"/>
      <x:c r="C6" s="2364"/>
      <x:c r="D6" s="2364"/>
      <x:c r="E6" s="2364"/>
      <x:c r="F6" s="2364"/>
      <x:c r="G6" s="2364"/>
      <x:c r="H6" s="2364"/>
      <x:c r="I6" s="2364"/>
      <x:c r="J6" s="2364"/>
      <x:c r="K6" s="2364"/>
      <x:c r="L6" s="2364"/>
      <x:c r="M6" s="2364"/>
      <x:c r="N6" s="2365"/>
    </x:row>
    <x:row r="7" ht="24" customHeight="1">
      <x:c r="A7" s="2366"/>
      <x:c r="B7" s="2367"/>
      <x:c r="C7" s="2367"/>
      <x:c r="D7" s="2367"/>
      <x:c r="E7" s="2367"/>
      <x:c r="F7" s="2367"/>
      <x:c r="G7" s="2367"/>
      <x:c r="H7" s="2367"/>
      <x:c r="I7" s="2367"/>
      <x:c r="J7" s="2367"/>
      <x:c r="K7" s="2367"/>
      <x:c r="L7" s="2367"/>
      <x:c r="M7" s="2367"/>
      <x:c r="N7" s="2368"/>
    </x:row>
    <x:row r="9">
      <x:c r="A9" s="2339" t="str">
        <x:v>2．事業側仮決定事項</x:v>
      </x:c>
      <x:c r="B9" s="2340"/>
      <x:c r="C9" s="2340"/>
      <x:c r="D9" s="2340"/>
      <x:c r="E9" s="2340"/>
      <x:c r="F9" s="2340"/>
      <x:c r="G9" s="2340"/>
      <x:c r="H9" s="2339" t="str">
        <x:v>4．情シス回答・結論</x:v>
      </x:c>
      <x:c r="I9" s="2340"/>
      <x:c r="J9" s="2340"/>
      <x:c r="K9" s="2340"/>
      <x:c r="L9" s="2340"/>
      <x:c r="M9" s="2340"/>
      <x:c r="N9" s="2341"/>
    </x:row>
    <x:row r="10" ht="38" customHeight="1">
      <x:c r="A10" s="2308" t="str">
        <x:v>項目</x:v>
      </x:c>
      <x:c r="B10" s="2309" t="str">
        <x:v>仮決定内容</x:v>
      </x:c>
      <x:c r="C10" s="2309"/>
      <x:c r="D10" s="2309"/>
      <x:c r="E10" s="2309"/>
      <x:c r="F10" s="2310"/>
      <x:c r="H10" s="2308" t="str">
        <x:v>区分</x:v>
      </x:c>
      <x:c r="I10" s="2309" t="str">
        <x:v>回答・提案</x:v>
      </x:c>
      <x:c r="J10" s="2309" t="str">
        <x:v>判定</x:v>
      </x:c>
      <x:c r="K10" s="2309" t="str">
        <x:v>担当</x:v>
      </x:c>
      <x:c r="L10" s="2309" t="str">
        <x:v>期限</x:v>
      </x:c>
      <x:c r="M10" s="2309" t="str">
        <x:v>費用</x:v>
      </x:c>
      <x:c r="N10" s="2310" t="str">
        <x:v>備考</x:v>
      </x:c>
    </x:row>
    <x:row r="11">
      <x:c r="A11" s="2312" t="str">
        <x:v>URL</x:v>
      </x:c>
      <x:c r="B11" s="2313" t="str">
        <x:v>https://energy-doctor.sawa-em.co.jp/</x:v>
      </x:c>
      <x:c r="C11" s="2313"/>
      <x:c r="D11" s="2313"/>
      <x:c r="E11" s="2313"/>
      <x:c r="F11" s="2315"/>
      <x:c r="H11" s="2312" t="str">
        <x:v>DNS</x:v>
      </x:c>
      <x:c r="I11" s="2313" t="str"/>
      <x:c r="J11" s="2313" t="str">
        <x:v>未確認</x:v>
      </x:c>
      <x:c r="K11" s="2313" t="str"/>
      <x:c r="L11" s="2313" t="str"/>
      <x:c r="M11" s="2314" t="n">
        <x:v>0</x:v>
      </x:c>
      <x:c r="N11" s="2315" t="str"/>
    </x:row>
    <x:row r="12">
      <x:c r="A12" s="2316" t="str">
        <x:v>サイト構成</x:v>
      </x:c>
      <x:c r="B12" s="1521" t="str">
        <x:v>既存公式サイトとは別の独立LP。双方を関連サイトとして相互リンク</x:v>
      </x:c>
      <x:c r="C12" s="1521"/>
      <x:c r="D12" s="1521"/>
      <x:c r="E12" s="1521"/>
      <x:c r="F12" s="2317"/>
      <x:c r="H12" s="2316" t="str">
        <x:v>SSL</x:v>
      </x:c>
      <x:c r="I12" s="1521" t="str"/>
      <x:c r="J12" s="1521" t="str">
        <x:v>未確認</x:v>
      </x:c>
      <x:c r="K12" s="1521" t="str"/>
      <x:c r="L12" s="1521" t="str"/>
      <x:c r="M12" s="1594" t="n">
        <x:v>0</x:v>
      </x:c>
      <x:c r="N12" s="2317" t="str"/>
    </x:row>
    <x:row r="13">
      <x:c r="A13" s="2316" t="str">
        <x:v>公開順序</x:v>
      </x:c>
      <x:c r="B13" s="1521" t="str">
        <x:v>LPを先行公開し、診断フォームは受付期間外として停止</x:v>
      </x:c>
      <x:c r="C13" s="1521"/>
      <x:c r="D13" s="1521"/>
      <x:c r="E13" s="1521"/>
      <x:c r="F13" s="2317"/>
      <x:c r="H13" s="2316" t="str">
        <x:v>公開基盤</x:v>
      </x:c>
      <x:c r="I13" s="1521" t="str"/>
      <x:c r="J13" s="1521" t="str">
        <x:v>未確認</x:v>
      </x:c>
      <x:c r="K13" s="1521" t="str"/>
      <x:c r="L13" s="1521" t="str"/>
      <x:c r="M13" s="1594" t="n">
        <x:v>0</x:v>
      </x:c>
      <x:c r="N13" s="2317" t="str"/>
    </x:row>
    <x:row r="14">
      <x:c r="A14" s="2316" t="str">
        <x:v>受付開始条件</x:v>
      </x:c>
      <x:c r="B14" s="1521" t="str">
        <x:v>公開Web起点の模擬案件3件、全Sランク試験、責任者Go判定</x:v>
      </x:c>
      <x:c r="C14" s="1521"/>
      <x:c r="D14" s="1521"/>
      <x:c r="E14" s="1521"/>
      <x:c r="F14" s="2317"/>
      <x:c r="H14" s="2316" t="str">
        <x:v>フォーム</x:v>
      </x:c>
      <x:c r="I14" s="1521" t="str"/>
      <x:c r="J14" s="1521" t="str">
        <x:v>未確認</x:v>
      </x:c>
      <x:c r="K14" s="1521" t="str"/>
      <x:c r="L14" s="1521" t="str"/>
      <x:c r="M14" s="1594" t="n">
        <x:v>0</x:v>
      </x:c>
      <x:c r="N14" s="2317" t="str"/>
    </x:row>
    <x:row r="15">
      <x:c r="A15" s="2316" t="str">
        <x:v>フォーム</x:v>
      </x:c>
      <x:c r="B15" s="1521" t="str">
        <x:v>会社・工場・連絡先・診断回答・レポート希望。ファイル添付なし</x:v>
      </x:c>
      <x:c r="C15" s="1521"/>
      <x:c r="D15" s="1521"/>
      <x:c r="E15" s="1521"/>
      <x:c r="F15" s="2317"/>
      <x:c r="H15" s="2316" t="str">
        <x:v>ログ・復旧</x:v>
      </x:c>
      <x:c r="I15" s="1521" t="str"/>
      <x:c r="J15" s="1521" t="str">
        <x:v>未確認</x:v>
      </x:c>
      <x:c r="K15" s="1521" t="str"/>
      <x:c r="L15" s="1521" t="str"/>
      <x:c r="M15" s="1594" t="n">
        <x:v>0</x:v>
      </x:c>
      <x:c r="N15" s="2317" t="str"/>
    </x:row>
    <x:row r="16">
      <x:c r="A16" s="2316" t="str">
        <x:v>顧客資料</x:v>
      </x:c>
      <x:c r="B16" s="1521" t="str">
        <x:v>メール・電話・訪問後に通常営業の方法で個別受領</x:v>
      </x:c>
      <x:c r="C16" s="1521"/>
      <x:c r="D16" s="1521"/>
      <x:c r="E16" s="1521"/>
      <x:c r="F16" s="2317"/>
      <x:c r="H16" s="2316" t="str">
        <x:v>相互リンク</x:v>
      </x:c>
      <x:c r="I16" s="1521" t="str"/>
      <x:c r="J16" s="1521" t="str">
        <x:v>未確認</x:v>
      </x:c>
      <x:c r="K16" s="1521" t="str"/>
      <x:c r="L16" s="1521" t="str"/>
      <x:c r="M16" s="1594" t="n">
        <x:v>0</x:v>
      </x:c>
      <x:c r="N16" s="2317" t="str"/>
    </x:row>
    <x:row r="17">
      <x:c r="A17" s="2316" t="str">
        <x:v>SSL</x:v>
      </x:c>
      <x:c r="B17" s="1521" t="str">
        <x:v>公開基盤による自動発行・自動更新を必須</x:v>
      </x:c>
      <x:c r="C17" s="1521"/>
      <x:c r="D17" s="1521"/>
      <x:c r="E17" s="1521"/>
      <x:c r="F17" s="2317"/>
      <x:c r="H17" s="2326" t="str">
        <x:v>総合結論</x:v>
      </x:c>
      <x:c r="I17" s="2327" t="str"/>
      <x:c r="J17" s="2327" t="str">
        <x:v>未確認</x:v>
      </x:c>
      <x:c r="K17" s="2327" t="str"/>
      <x:c r="L17" s="2327" t="str"/>
      <x:c r="M17" s="2329" t="n">
        <x:v>0</x:v>
      </x:c>
      <x:c r="N17" s="2328" t="str"/>
    </x:row>
    <x:row r="18">
      <x:c r="A18" s="2316" t="str">
        <x:v>LP公開基盤</x:v>
      </x:c>
      <x:c r="B18" s="1521" t="str">
        <x:v>独自サブドメイン、SSL、社内更新、フォーム、受付状態切替、ログ、バックアップに対応</x:v>
      </x:c>
      <x:c r="C18" s="1521"/>
      <x:c r="D18" s="1521"/>
      <x:c r="E18" s="1521"/>
      <x:c r="F18" s="2317"/>
    </x:row>
    <x:row r="19">
      <x:c r="A19" s="2326" t="str">
        <x:v>費用</x:v>
      </x:c>
      <x:c r="B19" s="2327" t="str">
        <x:v>既存契約または無償範囲を優先し、追加費用は個別承認</x:v>
      </x:c>
      <x:c r="C19" s="2327"/>
      <x:c r="D19" s="2327"/>
      <x:c r="E19" s="2327"/>
      <x:c r="F19" s="2328"/>
    </x:row>
    <x:row r="21">
      <x:c r="A21" s="2339" t="str">
        <x:v>3．情シスへの確認依頼</x:v>
      </x:c>
      <x:c r="B21" s="2340"/>
      <x:c r="C21" s="2340"/>
      <x:c r="D21" s="2340"/>
      <x:c r="E21" s="2340"/>
      <x:c r="F21" s="2340"/>
      <x:c r="G21" s="2340"/>
      <x:c r="H21" s="2340"/>
      <x:c r="I21" s="2340"/>
      <x:c r="J21" s="2340"/>
      <x:c r="K21" s="2340"/>
      <x:c r="L21" s="2340"/>
      <x:c r="M21" s="2340"/>
      <x:c r="N21" s="2341"/>
    </x:row>
    <x:row r="22" ht="38" customHeight="1">
      <x:c r="A22" s="2308" t="str">
        <x:v>確認区分</x:v>
      </x:c>
      <x:c r="B22" s="2309" t="str">
        <x:v>依頼内容</x:v>
      </x:c>
      <x:c r="C22" s="2309"/>
      <x:c r="D22" s="2309"/>
      <x:c r="E22" s="2309"/>
      <x:c r="F22" s="2310"/>
    </x:row>
    <x:row r="23">
      <x:c r="A23" s="2312" t="str">
        <x:v>DNS</x:v>
      </x:c>
      <x:c r="B23" s="2313" t="str">
        <x:v>サブドメイン発行、DNS管理者、設定方法、反映・切戻し</x:v>
      </x:c>
      <x:c r="C23" s="2313"/>
      <x:c r="D23" s="2313"/>
      <x:c r="E23" s="2313"/>
      <x:c r="F23" s="2315"/>
    </x:row>
    <x:row r="24">
      <x:c r="A24" s="2316" t="str">
        <x:v>SSL</x:v>
      </x:c>
      <x:c r="B24" s="1521" t="str">
        <x:v>自動発行・自動更新、管理者、失効時対応</x:v>
      </x:c>
      <x:c r="C24" s="1521"/>
      <x:c r="D24" s="1521"/>
      <x:c r="E24" s="1521"/>
      <x:c r="F24" s="2317"/>
    </x:row>
    <x:row r="25">
      <x:c r="A25" s="2316" t="str">
        <x:v>公開基盤</x:v>
      </x:c>
      <x:c r="B25" s="1521" t="str">
        <x:v>利用可能な既存基盤・サービス、機能、権限、制約</x:v>
      </x:c>
      <x:c r="C25" s="1521"/>
      <x:c r="D25" s="1521"/>
      <x:c r="E25" s="1521"/>
      <x:c r="F25" s="2317"/>
    </x:row>
    <x:row r="26">
      <x:c r="A26" s="2316" t="str">
        <x:v>フォーム</x:v>
      </x:c>
      <x:c r="B26" s="1521" t="str">
        <x:v>製品、保存先、通知、回答取得、受付停止、社内テスト経路</x:v>
      </x:c>
      <x:c r="C26" s="1521"/>
      <x:c r="D26" s="1521"/>
      <x:c r="E26" s="1521"/>
      <x:c r="F26" s="2317"/>
    </x:row>
    <x:row r="27">
      <x:c r="A27" s="2316" t="str">
        <x:v>ログ・復旧</x:v>
      </x:c>
      <x:c r="B27" s="1521" t="str">
        <x:v>アクセス・送信ログ、保存期間、バックアップ、復旧手順</x:v>
      </x:c>
      <x:c r="C27" s="1521"/>
      <x:c r="D27" s="1521"/>
      <x:c r="E27" s="1521"/>
      <x:c r="F27" s="2317"/>
    </x:row>
    <x:row r="28">
      <x:c r="A28" s="2316" t="str">
        <x:v>相互リンク</x:v>
      </x:c>
      <x:c r="B28" s="1521" t="str">
        <x:v>既存公式サイト側の担当、掲載位置、公開手順</x:v>
      </x:c>
      <x:c r="C28" s="1521"/>
      <x:c r="D28" s="1521"/>
      <x:c r="E28" s="1521"/>
      <x:c r="F28" s="2317"/>
    </x:row>
    <x:row r="29">
      <x:c r="A29" s="2316" t="str">
        <x:v>費用</x:v>
      </x:c>
      <x:c r="B29" s="1521" t="str">
        <x:v>初期・月額・設定作業費の有無</x:v>
      </x:c>
      <x:c r="C29" s="1521"/>
      <x:c r="D29" s="1521"/>
      <x:c r="E29" s="1521"/>
      <x:c r="F29" s="2317"/>
    </x:row>
    <x:row r="30">
      <x:c r="A30" s="2326" t="str">
        <x:v>担当範囲</x:v>
      </x:c>
      <x:c r="B30" s="2327" t="str">
        <x:v>情シス、事業担当、既存Web担当の分担</x:v>
      </x:c>
      <x:c r="C30" s="2327"/>
      <x:c r="D30" s="2327"/>
      <x:c r="E30" s="2327"/>
      <x:c r="F30" s="2328"/>
    </x:row>
  </x:sheetData>
  <x:mergeCells>
    <x:mergeCell ref="A1:N1"/>
    <x:mergeCell ref="A2:N2"/>
    <x:mergeCell ref="A4:N4"/>
    <x:mergeCell ref="A5:N7"/>
    <x:mergeCell ref="A9:N9"/>
    <x:mergeCell ref="B10:F10"/>
    <x:mergeCell ref="B11:F11"/>
    <x:mergeCell ref="B12:F12"/>
    <x:mergeCell ref="B13:F13"/>
    <x:mergeCell ref="B14:F14"/>
    <x:mergeCell ref="B15:F15"/>
    <x:mergeCell ref="B16:F16"/>
    <x:mergeCell ref="B17:F17"/>
    <x:mergeCell ref="B18:F18"/>
    <x:mergeCell ref="B19:F19"/>
    <x:mergeCell ref="A21:N21"/>
    <x:mergeCell ref="B22:F22"/>
    <x:mergeCell ref="B23:F23"/>
    <x:mergeCell ref="B24:F24"/>
    <x:mergeCell ref="B25:F25"/>
    <x:mergeCell ref="B26:F26"/>
    <x:mergeCell ref="B27:F27"/>
    <x:mergeCell ref="B28:F28"/>
    <x:mergeCell ref="B29:F29"/>
    <x:mergeCell ref="B30:F30"/>
    <x:mergeCell ref="H9:N9"/>
  </x:mergeCells>
  <x:dataValidations count="1">
    <x:dataValidation type="list" sqref="J11:J17">
      <x:formula1>"可,条件付き可,不可,未確認"</x:formula1>
    </x:dataValidation>
  </x:dataValidations>
  <x:pageMargins left="0.7" right="0.7" top="0.75" bottom="0.75" header="0.3" footer="0.3"/>
</x:worksheet>
</file>

<file path=xl/worksheets/sheet66.xml><?xml version="1.0" encoding="utf-8"?>
<x:worksheet xmlns:x="http://schemas.openxmlformats.org/spreadsheetml/2006/main">
  <x:sheetFormatPr defaultRowHeight="15"/>
  <x:cols>
    <x:col min="1" max="1" width="12"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3" hidden="0" customWidth="1"/>
    <x:col min="12" max="12" width="11" hidden="0" customWidth="1"/>
    <x:col min="13" max="13" width="11" hidden="0" customWidth="1"/>
    <x:col min="14" max="14" width="11" hidden="0" customWidth="1"/>
  </x:cols>
  <x:sheetData>
    <x:row r="1" ht="30" customHeight="1">
      <x:c r="A1" s="2401" t="str">
        <x:v>65_LPワイヤーフレーム</x:v>
      </x:c>
      <x:c r="B1" s="2401"/>
      <x:c r="C1" s="2401"/>
      <x:c r="D1" s="2401"/>
      <x:c r="E1" s="2401"/>
      <x:c r="F1" s="2401"/>
      <x:c r="G1" s="2401"/>
      <x:c r="H1" s="2401"/>
      <x:c r="I1" s="2401"/>
      <x:c r="J1" s="2401"/>
      <x:c r="K1" s="2401"/>
      <x:c r="L1" s="2401"/>
      <x:c r="M1" s="2401"/>
      <x:c r="N1" s="2401"/>
    </x:row>
    <x:row r="2" ht="38" customHeight="1">
      <x:c r="A2" s="2404" t="str">
        <x:v>57_LPページ仕様を基に、PC版とスマートフォン版の情報順序、CTA、受付期間外表示、相互リンクを画面単位で整理する。</x:v>
      </x:c>
      <x:c r="B2" s="2404"/>
      <x:c r="C2" s="2404"/>
      <x:c r="D2" s="2404"/>
      <x:c r="E2" s="2404"/>
      <x:c r="F2" s="2404"/>
      <x:c r="G2" s="2404"/>
      <x:c r="H2" s="2404"/>
      <x:c r="I2" s="2404"/>
      <x:c r="J2" s="2404"/>
      <x:c r="K2" s="2404"/>
      <x:c r="L2" s="2404"/>
      <x:c r="M2" s="2404"/>
      <x:c r="N2" s="2404"/>
    </x:row>
    <x:row r="4" ht="22" customHeight="1">
      <x:c r="A4" s="2410" t="str">
        <x:v>PC版ワイヤーフレーム（幅広画面）</x:v>
      </x:c>
      <x:c r="B4" s="2411"/>
      <x:c r="C4" s="2411"/>
      <x:c r="D4" s="2411"/>
      <x:c r="E4" s="2411"/>
      <x:c r="F4" s="2411"/>
      <x:c r="G4" s="2411"/>
      <x:c r="H4" s="2411"/>
      <x:c r="I4" s="2411"/>
      <x:c r="J4" s="2412"/>
      <x:c r="L4" s="2410" t="str">
        <x:v>スマートフォン版</x:v>
      </x:c>
      <x:c r="M4" s="2411"/>
      <x:c r="N4" s="2412"/>
    </x:row>
    <x:row r="5" ht="22" customHeight="1">
      <x:c r="A5" s="2432" t="str">
        <x:v>ヘッダー
［澤電気機械ロゴ］　Energy Doctor　｜　サービス概要　診断内容　利用の流れ　FAQ　［公式サイトへ］</x:v>
      </x:c>
      <x:c r="B5" s="2433"/>
      <x:c r="C5" s="2433"/>
      <x:c r="D5" s="2433"/>
      <x:c r="E5" s="2433"/>
      <x:c r="F5" s="2433"/>
      <x:c r="G5" s="2433"/>
      <x:c r="H5" s="2433"/>
      <x:c r="I5" s="2433"/>
      <x:c r="J5" s="2434"/>
      <x:c r="L5" s="2582" t="str">
        <x:v>ヘッダー
［ロゴ］［メニュー］</x:v>
      </x:c>
      <x:c r="M5" s="2583"/>
      <x:c r="N5" s="2584"/>
    </x:row>
    <x:row r="6" ht="22" customHeight="1">
      <x:c r="A6" s="2435"/>
      <x:c r="B6" s="2436"/>
      <x:c r="C6" s="2436"/>
      <x:c r="D6" s="2436"/>
      <x:c r="E6" s="2436"/>
      <x:c r="F6" s="2436"/>
      <x:c r="G6" s="2436"/>
      <x:c r="H6" s="2436"/>
      <x:c r="I6" s="2436"/>
      <x:c r="J6" s="2437"/>
      <x:c r="L6" s="2585"/>
      <x:c r="M6" s="2586"/>
      <x:c r="N6" s="2587"/>
    </x:row>
    <x:row r="7" ht="22" customHeight="1">
      <x:c r="A7" s="2466" t="str">
        <x:v>ファーストビュー
設備・エネルギー・建屋・管理の課題を、A3一枚で見える化
［サービス説明］簡単な質問への回答をもとに、設備状態・判断材料・対応時期を整理します。
［主要CTA：診断を開始する］　［補助CTA：A3レポート例を見る］
※受付期間外は主要CTAを無効化し「現在は受付準備中です」と表示</x:v>
      </x:c>
      <x:c r="B7" s="2467"/>
      <x:c r="C7" s="2467"/>
      <x:c r="D7" s="2467"/>
      <x:c r="E7" s="2467"/>
      <x:c r="F7" s="2467"/>
      <x:c r="G7" s="2467"/>
      <x:c r="H7" s="2467"/>
      <x:c r="I7" s="2467"/>
      <x:c r="J7" s="2468"/>
      <x:c r="L7" s="2616" t="str">
        <x:v>ファーストビュー
見出し
説明文
［診断を開始する］
［A3例を見る］</x:v>
      </x:c>
      <x:c r="M7" s="2617"/>
      <x:c r="N7" s="2618"/>
    </x:row>
    <x:row r="8" ht="22" customHeight="1">
      <x:c r="A8" s="2469"/>
      <x:c r="B8" s="2470"/>
      <x:c r="C8" s="2470"/>
      <x:c r="D8" s="2470"/>
      <x:c r="E8" s="2470"/>
      <x:c r="F8" s="2470"/>
      <x:c r="G8" s="2470"/>
      <x:c r="H8" s="2470"/>
      <x:c r="I8" s="2470"/>
      <x:c r="J8" s="2471"/>
      <x:c r="L8" s="2619"/>
      <x:c r="M8" s="2620"/>
      <x:c r="N8" s="2621"/>
    </x:row>
    <x:row r="9" ht="22" customHeight="1">
      <x:c r="A9" s="2469"/>
      <x:c r="B9" s="2470"/>
      <x:c r="C9" s="2470"/>
      <x:c r="D9" s="2470"/>
      <x:c r="E9" s="2470"/>
      <x:c r="F9" s="2470"/>
      <x:c r="G9" s="2470"/>
      <x:c r="H9" s="2470"/>
      <x:c r="I9" s="2470"/>
      <x:c r="J9" s="2471"/>
      <x:c r="L9" s="2619"/>
      <x:c r="M9" s="2620"/>
      <x:c r="N9" s="2621"/>
    </x:row>
    <x:row r="10" ht="22" customHeight="1">
      <x:c r="A10" s="2469"/>
      <x:c r="B10" s="2470"/>
      <x:c r="C10" s="2470"/>
      <x:c r="D10" s="2470"/>
      <x:c r="E10" s="2470"/>
      <x:c r="F10" s="2470"/>
      <x:c r="G10" s="2470"/>
      <x:c r="H10" s="2470"/>
      <x:c r="I10" s="2470"/>
      <x:c r="J10" s="2471"/>
      <x:c r="L10" s="2619"/>
      <x:c r="M10" s="2620"/>
      <x:c r="N10" s="2621"/>
    </x:row>
    <x:row r="11" ht="22" customHeight="1">
      <x:c r="A11" s="2472"/>
      <x:c r="B11" s="2473"/>
      <x:c r="C11" s="2473"/>
      <x:c r="D11" s="2473"/>
      <x:c r="E11" s="2473"/>
      <x:c r="F11" s="2473"/>
      <x:c r="G11" s="2473"/>
      <x:c r="H11" s="2473"/>
      <x:c r="I11" s="2473"/>
      <x:c r="J11" s="2474"/>
      <x:c r="L11" s="2622"/>
      <x:c r="M11" s="2623"/>
      <x:c r="N11" s="2624"/>
    </x:row>
    <x:row r="12" ht="22" customHeight="1">
      <x:c r="A12" s="2504" t="str">
        <x:v>Energy Doctorで分かること
［EDI：設備状態］［DRI：判断可能性］［EPI：対応時期］［診断信頼度］［情報充足率］
30秒で把握し、3分で理解し、30分で意思決定する。</x:v>
      </x:c>
      <x:c r="B12" s="2505"/>
      <x:c r="C12" s="2505"/>
      <x:c r="D12" s="2505"/>
      <x:c r="E12" s="2505"/>
      <x:c r="F12" s="2505"/>
      <x:c r="G12" s="2505"/>
      <x:c r="H12" s="2505"/>
      <x:c r="I12" s="2505"/>
      <x:c r="J12" s="2506"/>
      <x:c r="L12" s="2653" t="str">
        <x:v>5指標カード
横スワイプまたは2列表示</x:v>
      </x:c>
      <x:c r="M12" s="2654"/>
      <x:c r="N12" s="2655"/>
    </x:row>
    <x:row r="13" ht="22" customHeight="1">
      <x:c r="A13" s="2507"/>
      <x:c r="B13" s="2508"/>
      <x:c r="C13" s="2508"/>
      <x:c r="D13" s="2508"/>
      <x:c r="E13" s="2508"/>
      <x:c r="F13" s="2508"/>
      <x:c r="G13" s="2508"/>
      <x:c r="H13" s="2508"/>
      <x:c r="I13" s="2508"/>
      <x:c r="J13" s="2509"/>
      <x:c r="L13" s="2656"/>
      <x:c r="M13" s="2657"/>
      <x:c r="N13" s="2658"/>
    </x:row>
    <x:row r="14" ht="22" customHeight="1">
      <x:c r="A14" s="2507"/>
      <x:c r="B14" s="2508"/>
      <x:c r="C14" s="2508"/>
      <x:c r="D14" s="2508"/>
      <x:c r="E14" s="2508"/>
      <x:c r="F14" s="2508"/>
      <x:c r="G14" s="2508"/>
      <x:c r="H14" s="2508"/>
      <x:c r="I14" s="2508"/>
      <x:c r="J14" s="2509"/>
      <x:c r="L14" s="2656"/>
      <x:c r="M14" s="2657"/>
      <x:c r="N14" s="2658"/>
    </x:row>
    <x:row r="15" ht="22" customHeight="1">
      <x:c r="A15" s="2510"/>
      <x:c r="B15" s="2511"/>
      <x:c r="C15" s="2511"/>
      <x:c r="D15" s="2511"/>
      <x:c r="E15" s="2511"/>
      <x:c r="F15" s="2511"/>
      <x:c r="G15" s="2511"/>
      <x:c r="H15" s="2511"/>
      <x:c r="I15" s="2511"/>
      <x:c r="J15" s="2512"/>
      <x:c r="L15" s="2659"/>
      <x:c r="M15" s="2660"/>
      <x:c r="N15" s="2661"/>
    </x:row>
    <x:row r="16" ht="22" customHeight="1">
      <x:c r="A16" s="2542" t="str">
        <x:v>このような課題に適しています
□ 設備更新の優先順位が決められない　□ 電力使用の改善余地が見えない
□ 建屋環境や保全課題が分散している　□ 現地調査前に論点を整理したい</x:v>
      </x:c>
      <x:c r="B16" s="2543"/>
      <x:c r="C16" s="2543"/>
      <x:c r="D16" s="2543"/>
      <x:c r="E16" s="2543"/>
      <x:c r="F16" s="2543"/>
      <x:c r="G16" s="2543"/>
      <x:c r="H16" s="2543"/>
      <x:c r="I16" s="2543"/>
      <x:c r="J16" s="2544"/>
      <x:c r="L16" s="2690" t="str">
        <x:v>対象課題
4項目カード</x:v>
      </x:c>
      <x:c r="M16" s="2691"/>
      <x:c r="N16" s="2692"/>
    </x:row>
    <x:row r="17" ht="22" customHeight="1">
      <x:c r="A17" s="2545"/>
      <x:c r="B17" s="2546"/>
      <x:c r="C17" s="2546"/>
      <x:c r="D17" s="2546"/>
      <x:c r="E17" s="2546"/>
      <x:c r="F17" s="2546"/>
      <x:c r="G17" s="2546"/>
      <x:c r="H17" s="2546"/>
      <x:c r="I17" s="2546"/>
      <x:c r="J17" s="2547"/>
      <x:c r="L17" s="2693"/>
      <x:c r="M17" s="2694"/>
      <x:c r="N17" s="2695"/>
    </x:row>
    <x:row r="18" ht="22" customHeight="1">
      <x:c r="A18" s="2545"/>
      <x:c r="B18" s="2546"/>
      <x:c r="C18" s="2546"/>
      <x:c r="D18" s="2546"/>
      <x:c r="E18" s="2546"/>
      <x:c r="F18" s="2546"/>
      <x:c r="G18" s="2546"/>
      <x:c r="H18" s="2546"/>
      <x:c r="I18" s="2546"/>
      <x:c r="J18" s="2547"/>
      <x:c r="L18" s="2693"/>
      <x:c r="M18" s="2694"/>
      <x:c r="N18" s="2695"/>
    </x:row>
    <x:row r="19" ht="22" customHeight="1">
      <x:c r="A19" s="2548"/>
      <x:c r="B19" s="2549"/>
      <x:c r="C19" s="2549"/>
      <x:c r="D19" s="2549"/>
      <x:c r="E19" s="2549"/>
      <x:c r="F19" s="2549"/>
      <x:c r="G19" s="2549"/>
      <x:c r="H19" s="2549"/>
      <x:c r="I19" s="2549"/>
      <x:c r="J19" s="2550"/>
      <x:c r="L19" s="2696"/>
      <x:c r="M19" s="2697"/>
      <x:c r="N19" s="2698"/>
    </x:row>
    <x:row r="20" ht="22" customHeight="1">
      <x:c r="A20" s="2504" t="str">
        <x:v>4分野を横断して確認
［設備］更新・保全・故障・予備品
［エネルギー］使用量・負荷・計測・改善
［建屋・環境］結露・暑熱・断熱・劣化
［管理・運用］点検・記録・判断・投資計画
※分からない項目は「不明」を選択できます。</x:v>
      </x:c>
      <x:c r="B20" s="2505"/>
      <x:c r="C20" s="2505"/>
      <x:c r="D20" s="2505"/>
      <x:c r="E20" s="2505"/>
      <x:c r="F20" s="2505"/>
      <x:c r="G20" s="2505"/>
      <x:c r="H20" s="2505"/>
      <x:c r="I20" s="2505"/>
      <x:c r="J20" s="2506"/>
      <x:c r="L20" s="2653" t="str">
        <x:v>4分野
1列カード表示</x:v>
      </x:c>
      <x:c r="M20" s="2654"/>
      <x:c r="N20" s="2655"/>
    </x:row>
    <x:row r="21" ht="22" customHeight="1">
      <x:c r="A21" s="2507"/>
      <x:c r="B21" s="2508"/>
      <x:c r="C21" s="2508"/>
      <x:c r="D21" s="2508"/>
      <x:c r="E21" s="2508"/>
      <x:c r="F21" s="2508"/>
      <x:c r="G21" s="2508"/>
      <x:c r="H21" s="2508"/>
      <x:c r="I21" s="2508"/>
      <x:c r="J21" s="2509"/>
      <x:c r="L21" s="2656"/>
      <x:c r="M21" s="2657"/>
      <x:c r="N21" s="2658"/>
    </x:row>
    <x:row r="22" ht="22" customHeight="1">
      <x:c r="A22" s="2507"/>
      <x:c r="B22" s="2508"/>
      <x:c r="C22" s="2508"/>
      <x:c r="D22" s="2508"/>
      <x:c r="E22" s="2508"/>
      <x:c r="F22" s="2508"/>
      <x:c r="G22" s="2508"/>
      <x:c r="H22" s="2508"/>
      <x:c r="I22" s="2508"/>
      <x:c r="J22" s="2509"/>
      <x:c r="L22" s="2656"/>
      <x:c r="M22" s="2657"/>
      <x:c r="N22" s="2658"/>
    </x:row>
    <x:row r="23" ht="22" customHeight="1">
      <x:c r="A23" s="2507"/>
      <x:c r="B23" s="2508"/>
      <x:c r="C23" s="2508"/>
      <x:c r="D23" s="2508"/>
      <x:c r="E23" s="2508"/>
      <x:c r="F23" s="2508"/>
      <x:c r="G23" s="2508"/>
      <x:c r="H23" s="2508"/>
      <x:c r="I23" s="2508"/>
      <x:c r="J23" s="2509"/>
      <x:c r="L23" s="2656"/>
      <x:c r="M23" s="2657"/>
      <x:c r="N23" s="2658"/>
    </x:row>
    <x:row r="24" ht="22" customHeight="1">
      <x:c r="A24" s="2510"/>
      <x:c r="B24" s="2511"/>
      <x:c r="C24" s="2511"/>
      <x:c r="D24" s="2511"/>
      <x:c r="E24" s="2511"/>
      <x:c r="F24" s="2511"/>
      <x:c r="G24" s="2511"/>
      <x:c r="H24" s="2511"/>
      <x:c r="I24" s="2511"/>
      <x:c r="J24" s="2512"/>
      <x:c r="L24" s="2659"/>
      <x:c r="M24" s="2660"/>
      <x:c r="N24" s="2661"/>
    </x:row>
    <x:row r="25" ht="22" customHeight="1">
      <x:c r="A25" s="2466" t="str">
        <x:v>A3レポートで整理します
［左：A3サンプル画像］　［右：5指標／Decision Guardrail／TOP5／ロードマップ／根拠情報］
［CTA：A3レポート例を見る］</x:v>
      </x:c>
      <x:c r="B25" s="2467"/>
      <x:c r="C25" s="2467"/>
      <x:c r="D25" s="2467"/>
      <x:c r="E25" s="2467"/>
      <x:c r="F25" s="2467"/>
      <x:c r="G25" s="2467"/>
      <x:c r="H25" s="2467"/>
      <x:c r="I25" s="2467"/>
      <x:c r="J25" s="2468"/>
      <x:c r="L25" s="2616" t="str">
        <x:v>A3レポート例
画像→要点→CTA</x:v>
      </x:c>
      <x:c r="M25" s="2617"/>
      <x:c r="N25" s="2618"/>
    </x:row>
    <x:row r="26" ht="22" customHeight="1">
      <x:c r="A26" s="2469"/>
      <x:c r="B26" s="2470"/>
      <x:c r="C26" s="2470"/>
      <x:c r="D26" s="2470"/>
      <x:c r="E26" s="2470"/>
      <x:c r="F26" s="2470"/>
      <x:c r="G26" s="2470"/>
      <x:c r="H26" s="2470"/>
      <x:c r="I26" s="2470"/>
      <x:c r="J26" s="2471"/>
      <x:c r="L26" s="2619"/>
      <x:c r="M26" s="2620"/>
      <x:c r="N26" s="2621"/>
    </x:row>
    <x:row r="27" ht="22" customHeight="1">
      <x:c r="A27" s="2469"/>
      <x:c r="B27" s="2470"/>
      <x:c r="C27" s="2470"/>
      <x:c r="D27" s="2470"/>
      <x:c r="E27" s="2470"/>
      <x:c r="F27" s="2470"/>
      <x:c r="G27" s="2470"/>
      <x:c r="H27" s="2470"/>
      <x:c r="I27" s="2470"/>
      <x:c r="J27" s="2471"/>
      <x:c r="L27" s="2619"/>
      <x:c r="M27" s="2620"/>
      <x:c r="N27" s="2621"/>
    </x:row>
    <x:row r="28" ht="22" customHeight="1">
      <x:c r="A28" s="2469"/>
      <x:c r="B28" s="2470"/>
      <x:c r="C28" s="2470"/>
      <x:c r="D28" s="2470"/>
      <x:c r="E28" s="2470"/>
      <x:c r="F28" s="2470"/>
      <x:c r="G28" s="2470"/>
      <x:c r="H28" s="2470"/>
      <x:c r="I28" s="2470"/>
      <x:c r="J28" s="2471"/>
      <x:c r="L28" s="2619"/>
      <x:c r="M28" s="2620"/>
      <x:c r="N28" s="2621"/>
    </x:row>
    <x:row r="29" ht="22" customHeight="1">
      <x:c r="A29" s="2472"/>
      <x:c r="B29" s="2473"/>
      <x:c r="C29" s="2473"/>
      <x:c r="D29" s="2473"/>
      <x:c r="E29" s="2473"/>
      <x:c r="F29" s="2473"/>
      <x:c r="G29" s="2473"/>
      <x:c r="H29" s="2473"/>
      <x:c r="I29" s="2473"/>
      <x:c r="J29" s="2474"/>
      <x:c r="L29" s="2622"/>
      <x:c r="M29" s="2623"/>
      <x:c r="N29" s="2624"/>
    </x:row>
    <x:row r="30" ht="22" customHeight="1">
      <x:c r="A30" s="2542" t="str">
        <x:v>ご利用の流れ
1. Webで回答　→　2. メールでA3レポートを要求　→　3. 社内で確認
→　4. A3レポートを個別送付　→　5. メール・電話・訪問でフォロー
※入力直後の自動発行ではありません。</x:v>
      </x:c>
      <x:c r="B30" s="2543"/>
      <x:c r="C30" s="2543"/>
      <x:c r="D30" s="2543"/>
      <x:c r="E30" s="2543"/>
      <x:c r="F30" s="2543"/>
      <x:c r="G30" s="2543"/>
      <x:c r="H30" s="2543"/>
      <x:c r="I30" s="2543"/>
      <x:c r="J30" s="2544"/>
      <x:c r="L30" s="2690" t="str">
        <x:v>利用の流れ
縦型5ステップ</x:v>
      </x:c>
      <x:c r="M30" s="2691"/>
      <x:c r="N30" s="2692"/>
    </x:row>
    <x:row r="31" ht="22" customHeight="1">
      <x:c r="A31" s="2545"/>
      <x:c r="B31" s="2546"/>
      <x:c r="C31" s="2546"/>
      <x:c r="D31" s="2546"/>
      <x:c r="E31" s="2546"/>
      <x:c r="F31" s="2546"/>
      <x:c r="G31" s="2546"/>
      <x:c r="H31" s="2546"/>
      <x:c r="I31" s="2546"/>
      <x:c r="J31" s="2547"/>
      <x:c r="L31" s="2693"/>
      <x:c r="M31" s="2694"/>
      <x:c r="N31" s="2695"/>
    </x:row>
    <x:row r="32" ht="22" customHeight="1">
      <x:c r="A32" s="2545"/>
      <x:c r="B32" s="2546"/>
      <x:c r="C32" s="2546"/>
      <x:c r="D32" s="2546"/>
      <x:c r="E32" s="2546"/>
      <x:c r="F32" s="2546"/>
      <x:c r="G32" s="2546"/>
      <x:c r="H32" s="2546"/>
      <x:c r="I32" s="2546"/>
      <x:c r="J32" s="2547"/>
      <x:c r="L32" s="2693"/>
      <x:c r="M32" s="2694"/>
      <x:c r="N32" s="2695"/>
    </x:row>
    <x:row r="33" ht="22" customHeight="1">
      <x:c r="A33" s="2545"/>
      <x:c r="B33" s="2546"/>
      <x:c r="C33" s="2546"/>
      <x:c r="D33" s="2546"/>
      <x:c r="E33" s="2546"/>
      <x:c r="F33" s="2546"/>
      <x:c r="G33" s="2546"/>
      <x:c r="H33" s="2546"/>
      <x:c r="I33" s="2546"/>
      <x:c r="J33" s="2547"/>
      <x:c r="L33" s="2693"/>
      <x:c r="M33" s="2694"/>
      <x:c r="N33" s="2695"/>
    </x:row>
    <x:row r="34" ht="22" customHeight="1">
      <x:c r="A34" s="2545"/>
      <x:c r="B34" s="2546"/>
      <x:c r="C34" s="2546"/>
      <x:c r="D34" s="2546"/>
      <x:c r="E34" s="2546"/>
      <x:c r="F34" s="2546"/>
      <x:c r="G34" s="2546"/>
      <x:c r="H34" s="2546"/>
      <x:c r="I34" s="2546"/>
      <x:c r="J34" s="2547"/>
      <x:c r="L34" s="2693"/>
      <x:c r="M34" s="2694"/>
      <x:c r="N34" s="2695"/>
    </x:row>
    <x:row r="35" ht="22" customHeight="1">
      <x:c r="A35" s="2548"/>
      <x:c r="B35" s="2549"/>
      <x:c r="C35" s="2549"/>
      <x:c r="D35" s="2549"/>
      <x:c r="E35" s="2549"/>
      <x:c r="F35" s="2549"/>
      <x:c r="G35" s="2549"/>
      <x:c r="H35" s="2549"/>
      <x:c r="I35" s="2549"/>
      <x:c r="J35" s="2550"/>
      <x:c r="L35" s="2696"/>
      <x:c r="M35" s="2697"/>
      <x:c r="N35" s="2698"/>
    </x:row>
    <x:row r="36" ht="22" customHeight="1">
      <x:c r="A36" s="2504" t="str">
        <x:v>資料提出と秘密情報の取扱い
公開フォームには、図面・写真・点検報告書等を添付しません。
必要な資料は受付後に個別にご案内し、通常営業と同等の秘密情報として管理します。</x:v>
      </x:c>
      <x:c r="B36" s="2505"/>
      <x:c r="C36" s="2505"/>
      <x:c r="D36" s="2505"/>
      <x:c r="E36" s="2505"/>
      <x:c r="F36" s="2505"/>
      <x:c r="G36" s="2505"/>
      <x:c r="H36" s="2505"/>
      <x:c r="I36" s="2505"/>
      <x:c r="J36" s="2506"/>
      <x:c r="L36" s="2653" t="str">
        <x:v>資料・秘密情報</x:v>
      </x:c>
      <x:c r="M36" s="2654"/>
      <x:c r="N36" s="2655"/>
    </x:row>
    <x:row r="37" ht="22" customHeight="1">
      <x:c r="A37" s="2507"/>
      <x:c r="B37" s="2508"/>
      <x:c r="C37" s="2508"/>
      <x:c r="D37" s="2508"/>
      <x:c r="E37" s="2508"/>
      <x:c r="F37" s="2508"/>
      <x:c r="G37" s="2508"/>
      <x:c r="H37" s="2508"/>
      <x:c r="I37" s="2508"/>
      <x:c r="J37" s="2509"/>
      <x:c r="L37" s="2656"/>
      <x:c r="M37" s="2657"/>
      <x:c r="N37" s="2658"/>
    </x:row>
    <x:row r="38" ht="22" customHeight="1">
      <x:c r="A38" s="2507"/>
      <x:c r="B38" s="2508"/>
      <x:c r="C38" s="2508"/>
      <x:c r="D38" s="2508"/>
      <x:c r="E38" s="2508"/>
      <x:c r="F38" s="2508"/>
      <x:c r="G38" s="2508"/>
      <x:c r="H38" s="2508"/>
      <x:c r="I38" s="2508"/>
      <x:c r="J38" s="2509"/>
      <x:c r="L38" s="2656"/>
      <x:c r="M38" s="2657"/>
      <x:c r="N38" s="2658"/>
    </x:row>
    <x:row r="39" ht="22" customHeight="1">
      <x:c r="A39" s="2510"/>
      <x:c r="B39" s="2511"/>
      <x:c r="C39" s="2511"/>
      <x:c r="D39" s="2511"/>
      <x:c r="E39" s="2511"/>
      <x:c r="F39" s="2511"/>
      <x:c r="G39" s="2511"/>
      <x:c r="H39" s="2511"/>
      <x:c r="I39" s="2511"/>
      <x:c r="J39" s="2512"/>
      <x:c r="L39" s="2659"/>
      <x:c r="M39" s="2660"/>
      <x:c r="N39" s="2661"/>
    </x:row>
    <x:row r="40" ht="22" customHeight="1">
      <x:c r="A40" s="2542" t="str">
        <x:v>AIの役割
採点・Guardrail・優先順位は承認済みルールで決定します。
AIは文章整理・確認・運用支援を行い、正式発行は人が確認します。</x:v>
      </x:c>
      <x:c r="B40" s="2543"/>
      <x:c r="C40" s="2543"/>
      <x:c r="D40" s="2543"/>
      <x:c r="E40" s="2543"/>
      <x:c r="F40" s="2543"/>
      <x:c r="G40" s="2543"/>
      <x:c r="H40" s="2543"/>
      <x:c r="I40" s="2543"/>
      <x:c r="J40" s="2544"/>
      <x:c r="L40" s="2690" t="str">
        <x:v>AIの役割</x:v>
      </x:c>
      <x:c r="M40" s="2691"/>
      <x:c r="N40" s="2692"/>
    </x:row>
    <x:row r="41" ht="22" customHeight="1">
      <x:c r="A41" s="2545"/>
      <x:c r="B41" s="2546"/>
      <x:c r="C41" s="2546"/>
      <x:c r="D41" s="2546"/>
      <x:c r="E41" s="2546"/>
      <x:c r="F41" s="2546"/>
      <x:c r="G41" s="2546"/>
      <x:c r="H41" s="2546"/>
      <x:c r="I41" s="2546"/>
      <x:c r="J41" s="2547"/>
      <x:c r="L41" s="2693"/>
      <x:c r="M41" s="2694"/>
      <x:c r="N41" s="2695"/>
    </x:row>
    <x:row r="42" ht="22" customHeight="1">
      <x:c r="A42" s="2545"/>
      <x:c r="B42" s="2546"/>
      <x:c r="C42" s="2546"/>
      <x:c r="D42" s="2546"/>
      <x:c r="E42" s="2546"/>
      <x:c r="F42" s="2546"/>
      <x:c r="G42" s="2546"/>
      <x:c r="H42" s="2546"/>
      <x:c r="I42" s="2546"/>
      <x:c r="J42" s="2547"/>
      <x:c r="L42" s="2693"/>
      <x:c r="M42" s="2694"/>
      <x:c r="N42" s="2695"/>
    </x:row>
    <x:row r="43" ht="22" customHeight="1">
      <x:c r="A43" s="2548"/>
      <x:c r="B43" s="2549"/>
      <x:c r="C43" s="2549"/>
      <x:c r="D43" s="2549"/>
      <x:c r="E43" s="2549"/>
      <x:c r="F43" s="2549"/>
      <x:c r="G43" s="2549"/>
      <x:c r="H43" s="2549"/>
      <x:c r="I43" s="2549"/>
      <x:c r="J43" s="2550"/>
      <x:c r="L43" s="2696"/>
      <x:c r="M43" s="2697"/>
      <x:c r="N43" s="2698"/>
    </x:row>
    <x:row r="44" ht="22" customHeight="1">
      <x:c r="A44" s="2504" t="str">
        <x:v>よくあるご質問
費用／所要時間／資料提出／不明回答／AI利用／A3発行／個別相談
［FAQアコーディオン］</x:v>
      </x:c>
      <x:c r="B44" s="2505"/>
      <x:c r="C44" s="2505"/>
      <x:c r="D44" s="2505"/>
      <x:c r="E44" s="2505"/>
      <x:c r="F44" s="2505"/>
      <x:c r="G44" s="2505"/>
      <x:c r="H44" s="2505"/>
      <x:c r="I44" s="2505"/>
      <x:c r="J44" s="2506"/>
      <x:c r="L44" s="2653" t="str">
        <x:v>FAQ
アコーディオン</x:v>
      </x:c>
      <x:c r="M44" s="2654"/>
      <x:c r="N44" s="2655"/>
    </x:row>
    <x:row r="45" ht="22" customHeight="1">
      <x:c r="A45" s="2507"/>
      <x:c r="B45" s="2508"/>
      <x:c r="C45" s="2508"/>
      <x:c r="D45" s="2508"/>
      <x:c r="E45" s="2508"/>
      <x:c r="F45" s="2508"/>
      <x:c r="G45" s="2508"/>
      <x:c r="H45" s="2508"/>
      <x:c r="I45" s="2508"/>
      <x:c r="J45" s="2509"/>
      <x:c r="L45" s="2656"/>
      <x:c r="M45" s="2657"/>
      <x:c r="N45" s="2658"/>
    </x:row>
    <x:row r="46" ht="22" customHeight="1">
      <x:c r="A46" s="2507"/>
      <x:c r="B46" s="2508"/>
      <x:c r="C46" s="2508"/>
      <x:c r="D46" s="2508"/>
      <x:c r="E46" s="2508"/>
      <x:c r="F46" s="2508"/>
      <x:c r="G46" s="2508"/>
      <x:c r="H46" s="2508"/>
      <x:c r="I46" s="2508"/>
      <x:c r="J46" s="2509"/>
      <x:c r="L46" s="2656"/>
      <x:c r="M46" s="2657"/>
      <x:c r="N46" s="2658"/>
    </x:row>
    <x:row r="47" ht="22" customHeight="1">
      <x:c r="A47" s="2507"/>
      <x:c r="B47" s="2508"/>
      <x:c r="C47" s="2508"/>
      <x:c r="D47" s="2508"/>
      <x:c r="E47" s="2508"/>
      <x:c r="F47" s="2508"/>
      <x:c r="G47" s="2508"/>
      <x:c r="H47" s="2508"/>
      <x:c r="I47" s="2508"/>
      <x:c r="J47" s="2509"/>
      <x:c r="L47" s="2656"/>
      <x:c r="M47" s="2657"/>
      <x:c r="N47" s="2658"/>
    </x:row>
    <x:row r="48" ht="22" customHeight="1">
      <x:c r="A48" s="2510"/>
      <x:c r="B48" s="2511"/>
      <x:c r="C48" s="2511"/>
      <x:c r="D48" s="2511"/>
      <x:c r="E48" s="2511"/>
      <x:c r="F48" s="2511"/>
      <x:c r="G48" s="2511"/>
      <x:c r="H48" s="2511"/>
      <x:c r="I48" s="2511"/>
      <x:c r="J48" s="2512"/>
      <x:c r="L48" s="2659"/>
      <x:c r="M48" s="2660"/>
      <x:c r="N48" s="2661"/>
    </x:row>
    <x:row r="49" ht="22" customHeight="1">
      <x:c r="A49" s="2466" t="str">
        <x:v>診断フォーム導線
［会社・工場情報］［連絡先］［4分野の質問］［レポート希望］［同意］
［主要CTA：診断を開始する］
受付期間外：フォーム非表示または送信不可＋準備中メッセージ</x:v>
      </x:c>
      <x:c r="B49" s="2467"/>
      <x:c r="C49" s="2467"/>
      <x:c r="D49" s="2467"/>
      <x:c r="E49" s="2467"/>
      <x:c r="F49" s="2467"/>
      <x:c r="G49" s="2467"/>
      <x:c r="H49" s="2467"/>
      <x:c r="I49" s="2467"/>
      <x:c r="J49" s="2468"/>
      <x:c r="L49" s="2616" t="str">
        <x:v>フォーム導線
固定CTA候補</x:v>
      </x:c>
      <x:c r="M49" s="2617"/>
      <x:c r="N49" s="2618"/>
    </x:row>
    <x:row r="50" ht="22" customHeight="1">
      <x:c r="A50" s="2469"/>
      <x:c r="B50" s="2470"/>
      <x:c r="C50" s="2470"/>
      <x:c r="D50" s="2470"/>
      <x:c r="E50" s="2470"/>
      <x:c r="F50" s="2470"/>
      <x:c r="G50" s="2470"/>
      <x:c r="H50" s="2470"/>
      <x:c r="I50" s="2470"/>
      <x:c r="J50" s="2471"/>
      <x:c r="L50" s="2619"/>
      <x:c r="M50" s="2620"/>
      <x:c r="N50" s="2621"/>
    </x:row>
    <x:row r="51" ht="22" customHeight="1">
      <x:c r="A51" s="2469"/>
      <x:c r="B51" s="2470"/>
      <x:c r="C51" s="2470"/>
      <x:c r="D51" s="2470"/>
      <x:c r="E51" s="2470"/>
      <x:c r="F51" s="2470"/>
      <x:c r="G51" s="2470"/>
      <x:c r="H51" s="2470"/>
      <x:c r="I51" s="2470"/>
      <x:c r="J51" s="2471"/>
      <x:c r="L51" s="2619"/>
      <x:c r="M51" s="2620"/>
      <x:c r="N51" s="2621"/>
    </x:row>
    <x:row r="52" ht="22" customHeight="1">
      <x:c r="A52" s="2469"/>
      <x:c r="B52" s="2470"/>
      <x:c r="C52" s="2470"/>
      <x:c r="D52" s="2470"/>
      <x:c r="E52" s="2470"/>
      <x:c r="F52" s="2470"/>
      <x:c r="G52" s="2470"/>
      <x:c r="H52" s="2470"/>
      <x:c r="I52" s="2470"/>
      <x:c r="J52" s="2471"/>
      <x:c r="L52" s="2619"/>
      <x:c r="M52" s="2620"/>
      <x:c r="N52" s="2621"/>
    </x:row>
    <x:row r="53" ht="22" customHeight="1">
      <x:c r="A53" s="2472"/>
      <x:c r="B53" s="2473"/>
      <x:c r="C53" s="2473"/>
      <x:c r="D53" s="2473"/>
      <x:c r="E53" s="2473"/>
      <x:c r="F53" s="2473"/>
      <x:c r="G53" s="2473"/>
      <x:c r="H53" s="2473"/>
      <x:c r="I53" s="2473"/>
      <x:c r="J53" s="2474"/>
      <x:c r="L53" s="2622"/>
      <x:c r="M53" s="2623"/>
      <x:c r="N53" s="2624"/>
    </x:row>
    <x:row r="54" ht="22" customHeight="1">
      <x:c r="A54" s="2432" t="str">
        <x:v>フッター
運営：澤電気機械株式会社　｜　会社概要　お問い合わせ　プライバシーポリシー
［既存公式サイトへ戻る］</x:v>
      </x:c>
      <x:c r="B54" s="2433"/>
      <x:c r="C54" s="2433"/>
      <x:c r="D54" s="2433"/>
      <x:c r="E54" s="2433"/>
      <x:c r="F54" s="2433"/>
      <x:c r="G54" s="2433"/>
      <x:c r="H54" s="2433"/>
      <x:c r="I54" s="2433"/>
      <x:c r="J54" s="2434"/>
      <x:c r="L54" s="2582" t="str">
        <x:v>フッター
会社情報・公式サイト</x:v>
      </x:c>
      <x:c r="M54" s="2583"/>
      <x:c r="N54" s="2584"/>
    </x:row>
    <x:row r="55" ht="22" customHeight="1">
      <x:c r="A55" s="2560"/>
      <x:c r="B55" s="2561"/>
      <x:c r="C55" s="2561"/>
      <x:c r="D55" s="2561"/>
      <x:c r="E55" s="2561"/>
      <x:c r="F55" s="2561"/>
      <x:c r="G55" s="2561"/>
      <x:c r="H55" s="2561"/>
      <x:c r="I55" s="2561"/>
      <x:c r="J55" s="2562"/>
      <x:c r="L55" s="2708"/>
      <x:c r="M55" s="2709"/>
      <x:c r="N55" s="2710"/>
    </x:row>
    <x:row r="56" ht="22" customHeight="1">
      <x:c r="A56" s="2560"/>
      <x:c r="B56" s="2561"/>
      <x:c r="C56" s="2561"/>
      <x:c r="D56" s="2561"/>
      <x:c r="E56" s="2561"/>
      <x:c r="F56" s="2561"/>
      <x:c r="G56" s="2561"/>
      <x:c r="H56" s="2561"/>
      <x:c r="I56" s="2561"/>
      <x:c r="J56" s="2562"/>
      <x:c r="L56" s="2708"/>
      <x:c r="M56" s="2709"/>
      <x:c r="N56" s="2710"/>
    </x:row>
    <x:row r="57" ht="22" customHeight="1">
      <x:c r="A57" s="2435"/>
      <x:c r="B57" s="2436"/>
      <x:c r="C57" s="2436"/>
      <x:c r="D57" s="2436"/>
      <x:c r="E57" s="2436"/>
      <x:c r="F57" s="2436"/>
      <x:c r="G57" s="2436"/>
      <x:c r="H57" s="2436"/>
      <x:c r="I57" s="2436"/>
      <x:c r="J57" s="2437"/>
      <x:c r="L57" s="2585"/>
      <x:c r="M57" s="2586"/>
      <x:c r="N57" s="2587"/>
    </x:row>
  </x:sheetData>
  <x:mergeCells>
    <x:mergeCell ref="A1:N1"/>
    <x:mergeCell ref="A2:N2"/>
    <x:mergeCell ref="A4:J4"/>
    <x:mergeCell ref="A5:J6"/>
    <x:mergeCell ref="A7:J11"/>
    <x:mergeCell ref="A12:J15"/>
    <x:mergeCell ref="A16:J19"/>
    <x:mergeCell ref="A20:J24"/>
    <x:mergeCell ref="A25:J29"/>
    <x:mergeCell ref="A30:J35"/>
    <x:mergeCell ref="A36:J39"/>
    <x:mergeCell ref="A40:J43"/>
    <x:mergeCell ref="A44:J48"/>
    <x:mergeCell ref="A49:J53"/>
    <x:mergeCell ref="A54:J57"/>
    <x:mergeCell ref="L4:N4"/>
    <x:mergeCell ref="L5:N6"/>
    <x:mergeCell ref="L7:N11"/>
    <x:mergeCell ref="L12:N15"/>
    <x:mergeCell ref="L16:N19"/>
    <x:mergeCell ref="L20:N24"/>
    <x:mergeCell ref="L25:N29"/>
    <x:mergeCell ref="L30:N35"/>
    <x:mergeCell ref="L36:N39"/>
    <x:mergeCell ref="L40:N43"/>
    <x:mergeCell ref="L44:N48"/>
    <x:mergeCell ref="L49:N53"/>
    <x:mergeCell ref="L54:N57"/>
  </x:mergeCells>
  <x:pageMargins left="0.7" right="0.7" top="0.75" bottom="0.75" header="0.3" footer="0.3"/>
</x:worksheet>
</file>

<file path=xl/worksheets/sheet67.xml><?xml version="1.0" encoding="utf-8"?>
<x:worksheet xmlns:x="http://schemas.openxmlformats.org/spreadsheetml/2006/main">
  <x:sheetFormatPr defaultRowHeight="15"/>
  <x:cols>
    <x:col min="1" max="1" width="12" hidden="0" customWidth="1"/>
    <x:col min="2" max="2" width="10" hidden="0" customWidth="1"/>
    <x:col min="3" max="3" width="18" hidden="0" customWidth="1"/>
    <x:col min="4" max="4" width="18" hidden="0" customWidth="1"/>
    <x:col min="5" max="5" width="62" hidden="0" customWidth="1"/>
    <x:col min="6" max="6" width="16" hidden="0" customWidth="1"/>
    <x:col min="7" max="7" width="24" hidden="0" customWidth="1"/>
    <x:col min="8" max="8" width="22" hidden="0" customWidth="1"/>
    <x:col min="9" max="9" width="24" hidden="0" customWidth="1"/>
    <x:col min="10" max="10" width="32" hidden="0" customWidth="1"/>
    <x:col min="11" max="11" width="18" hidden="0" customWidth="1"/>
    <x:col min="12" max="12" width="12" hidden="0" customWidth="1"/>
    <x:col min="13" max="13" width="14" hidden="0" customWidth="1"/>
    <x:col min="14" max="14" width="14" hidden="0" customWidth="1"/>
    <x:col min="15" max="15" width="22" hidden="0" customWidth="1"/>
    <x:col min="16" max="16" width="14" hidden="0" customWidth="1"/>
  </x:cols>
  <x:sheetData>
    <x:row r="1" ht="30" customHeight="1">
      <x:c r="A1" s="2401" t="str">
        <x:v>66_LP掲載文章完成稿</x:v>
      </x:c>
      <x:c r="B1" s="2401"/>
      <x:c r="C1" s="2401"/>
      <x:c r="D1" s="2401"/>
      <x:c r="E1" s="2401"/>
      <x:c r="F1" s="2401"/>
      <x:c r="G1" s="2401"/>
      <x:c r="H1" s="2401"/>
      <x:c r="I1" s="2401"/>
      <x:c r="J1" s="2401"/>
      <x:c r="K1" s="2401"/>
      <x:c r="L1" s="2401"/>
      <x:c r="M1" s="2401"/>
      <x:c r="N1" s="2401"/>
      <x:c r="O1" s="2401"/>
      <x:c r="P1" s="2401"/>
    </x:row>
    <x:row r="2" ht="38" customHeight="1">
      <x:c r="A2" s="2404" t="str">
        <x:v>そのままWeb制作へ渡せる見出し・本文・CTA・補足・受付期間外表示の完成稿。57_LPページ仕様の表現を顧客向けに整えた。</x:v>
      </x:c>
      <x:c r="B2" s="2404"/>
      <x:c r="C2" s="2404"/>
      <x:c r="D2" s="2404"/>
      <x:c r="E2" s="2404"/>
      <x:c r="F2" s="2404"/>
      <x:c r="G2" s="2404"/>
      <x:c r="H2" s="2404"/>
      <x:c r="I2" s="2404"/>
      <x:c r="J2" s="2404"/>
      <x:c r="K2" s="2404"/>
      <x:c r="L2" s="2404"/>
      <x:c r="M2" s="2404"/>
      <x:c r="N2" s="2404"/>
      <x:c r="O2" s="2404"/>
      <x:c r="P2" s="2404"/>
    </x:row>
    <x:row r="4" ht="38" customHeight="1">
      <x:c r="A4" s="2721" t="str">
        <x:v>コピーID</x:v>
      </x:c>
      <x:c r="B4" s="2722" t="str">
        <x:v>表示順</x:v>
      </x:c>
      <x:c r="C4" s="2722" t="str">
        <x:v>セクション</x:v>
      </x:c>
      <x:c r="D4" s="2722" t="str">
        <x:v>要素</x:v>
      </x:c>
      <x:c r="E4" s="2722" t="str">
        <x:v>完成稿</x:v>
      </x:c>
      <x:c r="F4" s="2722" t="str">
        <x:v>文字量目安</x:v>
      </x:c>
      <x:c r="G4" s="2722" t="str">
        <x:v>受付期間外時</x:v>
      </x:c>
      <x:c r="H4" s="2722" t="str">
        <x:v>CTA</x:v>
      </x:c>
      <x:c r="I4" s="2722" t="str">
        <x:v>リンク先</x:v>
      </x:c>
      <x:c r="J4" s="2722" t="str">
        <x:v>注記・免責</x:v>
      </x:c>
      <x:c r="K4" s="2722" t="str">
        <x:v>担当承認</x:v>
      </x:c>
      <x:c r="L4" s="2722" t="str">
        <x:v>Version</x:v>
      </x:c>
      <x:c r="M4" s="2722" t="str">
        <x:v>状態</x:v>
      </x:c>
      <x:c r="N4" s="2722" t="str">
        <x:v>確認日</x:v>
      </x:c>
      <x:c r="O4" s="2722" t="str">
        <x:v>備考</x:v>
      </x:c>
      <x:c r="P4" s="2723" t="str">
        <x:v>参照</x:v>
      </x:c>
    </x:row>
    <x:row r="5">
      <x:c r="A5" s="2740" t="str">
        <x:v>COPY-001</x:v>
      </x:c>
      <x:c r="B5" s="2741" t="n">
        <x:v>1</x:v>
      </x:c>
      <x:c r="C5" s="2741" t="str">
        <x:v>ヘッダー</x:v>
      </x:c>
      <x:c r="D5" s="2741" t="str">
        <x:v>サービス名</x:v>
      </x:c>
      <x:c r="E5" s="2741" t="str">
        <x:v>Energy Doctor</x:v>
      </x:c>
      <x:c r="F5" s="2741" t="str">
        <x:v>短</x:v>
      </x:c>
      <x:c r="G5" s="2741" t="str">
        <x:v>同じ</x:v>
      </x:c>
      <x:c r="H5" s="2741" t="str">
        <x:v>—</x:v>
      </x:c>
      <x:c r="I5" s="2741" t="str">
        <x:v>—</x:v>
      </x:c>
      <x:c r="J5" s="2741" t="str">
        <x:v>澤電気機械株式会社のサービスとして表示</x:v>
      </x:c>
      <x:c r="K5" s="2741" t="str">
        <x:v>事業責任者</x:v>
      </x:c>
      <x:c r="L5" s="2741" t="str">
        <x:v>1.0</x:v>
      </x:c>
      <x:c r="M5" s="2741" t="str">
        <x:v>確定</x:v>
      </x:c>
      <x:c r="N5" s="2741" t="str"/>
      <x:c r="O5" s="2741" t="str"/>
      <x:c r="P5" s="2742" t="str">
        <x:v>LP-001</x:v>
      </x:c>
    </x:row>
    <x:row r="6">
      <x:c r="A6" s="2743" t="str">
        <x:v>COPY-002</x:v>
      </x:c>
      <x:c r="B6" s="1521" t="n">
        <x:v>1</x:v>
      </x:c>
      <x:c r="C6" s="1521" t="str">
        <x:v>ファーストビュー</x:v>
      </x:c>
      <x:c r="D6" s="1521" t="str">
        <x:v>メイン見出し</x:v>
      </x:c>
      <x:c r="E6" s="1521" t="str">
        <x:v>設備・エネルギー・建屋・管理の課題を、A3一枚で見える化。</x:v>
      </x:c>
      <x:c r="F6" s="1521" t="str">
        <x:v>35～45字</x:v>
      </x:c>
      <x:c r="G6" s="1521" t="str">
        <x:v>同じ</x:v>
      </x:c>
      <x:c r="H6" s="1521" t="str">
        <x:v>診断を開始する</x:v>
      </x:c>
      <x:c r="I6" s="1521" t="str">
        <x:v>#form</x:v>
      </x:c>
      <x:c r="J6" s="1521" t="str">
        <x:v>「一枚」はA3横2ページ構成を総称する表現</x:v>
      </x:c>
      <x:c r="K6" s="1521" t="str">
        <x:v>事業責任者</x:v>
      </x:c>
      <x:c r="L6" s="1521" t="str">
        <x:v>1.0</x:v>
      </x:c>
      <x:c r="M6" s="1521" t="str">
        <x:v>確定</x:v>
      </x:c>
      <x:c r="N6" s="1521" t="str"/>
      <x:c r="O6" s="1521" t="str"/>
      <x:c r="P6" s="2744" t="str">
        <x:v>LP-001</x:v>
      </x:c>
    </x:row>
    <x:row r="7">
      <x:c r="A7" s="2743" t="str">
        <x:v>COPY-003</x:v>
      </x:c>
      <x:c r="B7" s="1521" t="n">
        <x:v>1</x:v>
      </x:c>
      <x:c r="C7" s="1521" t="str">
        <x:v>ファーストビュー</x:v>
      </x:c>
      <x:c r="D7" s="1521" t="str">
        <x:v>リード文</x:v>
      </x:c>
      <x:c r="E7" s="1521" t="str">
        <x:v>Energy Doctorは、簡単な質問への回答をもとに、設備の状態、判断に必要な情報、対応すべき時期を整理する簡易診断サービスです。診断結果は社内で確認し、A3レポートとして個別にご案内します。</x:v>
      </x:c>
      <x:c r="F7" s="1521" t="str">
        <x:v>90～120字</x:v>
      </x:c>
      <x:c r="G7" s="1521" t="str">
        <x:v>末尾に準備中表示を追加</x:v>
      </x:c>
      <x:c r="H7" s="1521" t="str">
        <x:v>A3レポート例を見る</x:v>
      </x:c>
      <x:c r="I7" s="1521" t="str">
        <x:v>#report-sample</x:v>
      </x:c>
      <x:c r="J7" s="1521" t="str">
        <x:v>即時自動診断ではないことを明示</x:v>
      </x:c>
      <x:c r="K7" s="1521" t="str">
        <x:v>事業責任者</x:v>
      </x:c>
      <x:c r="L7" s="1521" t="str">
        <x:v>1.0</x:v>
      </x:c>
      <x:c r="M7" s="1521" t="str">
        <x:v>確定</x:v>
      </x:c>
      <x:c r="N7" s="1521" t="str"/>
      <x:c r="O7" s="1521" t="str"/>
      <x:c r="P7" s="2744" t="str">
        <x:v>LP-001</x:v>
      </x:c>
    </x:row>
    <x:row r="8">
      <x:c r="A8" s="2743" t="str">
        <x:v>COPY-004</x:v>
      </x:c>
      <x:c r="B8" s="1521" t="n">
        <x:v>1</x:v>
      </x:c>
      <x:c r="C8" s="1521" t="str">
        <x:v>ファーストビュー</x:v>
      </x:c>
      <x:c r="D8" s="1521" t="str">
        <x:v>受付期間外表示</x:v>
      </x:c>
      <x:c r="E8" s="1521" t="str">
        <x:v>Energy Doctorは現在、受付準備中です。サービス内容はご覧いただけますが、一般受付は開始していません。受付開始後、営業担当より個別にご案内します。</x:v>
      </x:c>
      <x:c r="F8" s="1521" t="str">
        <x:v>70～100字</x:v>
      </x:c>
      <x:c r="G8" s="1521" t="str">
        <x:v>表示</x:v>
      </x:c>
      <x:c r="H8" s="1521" t="str">
        <x:v>営業担当へ相談する</x:v>
      </x:c>
      <x:c r="I8" s="1521" t="str">
        <x:v>既存問い合わせ</x:v>
      </x:c>
      <x:c r="J8" s="1521" t="str">
        <x:v>受付期間外はフォーム送信不可</x:v>
      </x:c>
      <x:c r="K8" s="1521" t="str">
        <x:v>営業責任者</x:v>
      </x:c>
      <x:c r="L8" s="1521" t="str">
        <x:v>1.0</x:v>
      </x:c>
      <x:c r="M8" s="1521" t="str">
        <x:v>確定</x:v>
      </x:c>
      <x:c r="N8" s="1521" t="str"/>
      <x:c r="O8" s="1521" t="str"/>
      <x:c r="P8" s="2744" t="str">
        <x:v>MSG-001</x:v>
      </x:c>
    </x:row>
    <x:row r="9">
      <x:c r="A9" s="2743" t="str">
        <x:v>COPY-005</x:v>
      </x:c>
      <x:c r="B9" s="1521" t="n">
        <x:v>2</x:v>
      </x:c>
      <x:c r="C9" s="1521" t="str">
        <x:v>価値説明</x:v>
      </x:c>
      <x:c r="D9" s="1521" t="str">
        <x:v>見出し</x:v>
      </x:c>
      <x:c r="E9" s="1521" t="str">
        <x:v>30秒で把握し、3分で理解し、30分で意思決定する。</x:v>
      </x:c>
      <x:c r="F9" s="1521" t="str">
        <x:v>30字程度</x:v>
      </x:c>
      <x:c r="G9" s="1521" t="str">
        <x:v>同じ</x:v>
      </x:c>
      <x:c r="H9" s="1521" t="str">
        <x:v>—</x:v>
      </x:c>
      <x:c r="I9" s="1521" t="str">
        <x:v>—</x:v>
      </x:c>
      <x:c r="J9" s="1521" t="str">
        <x:v>ブランドフレーズ</x:v>
      </x:c>
      <x:c r="K9" s="1521" t="str">
        <x:v>事業責任者</x:v>
      </x:c>
      <x:c r="L9" s="1521" t="str">
        <x:v>1.0</x:v>
      </x:c>
      <x:c r="M9" s="1521" t="str">
        <x:v>確定</x:v>
      </x:c>
      <x:c r="N9" s="1521" t="str"/>
      <x:c r="O9" s="1521" t="str"/>
      <x:c r="P9" s="2744" t="str">
        <x:v>LP-002</x:v>
      </x:c>
    </x:row>
    <x:row r="10">
      <x:c r="A10" s="2743" t="str">
        <x:v>COPY-006</x:v>
      </x:c>
      <x:c r="B10" s="1521" t="n">
        <x:v>2</x:v>
      </x:c>
      <x:c r="C10" s="1521" t="str">
        <x:v>価値説明</x:v>
      </x:c>
      <x:c r="D10" s="1521" t="str">
        <x:v>本文</x:v>
      </x:c>
      <x:c r="E10" s="1521" t="str">
        <x:v>診断結果は、設備状態を示すEDI、判断材料の整い具合を示すDRI、対応時期を示すEPI、診断信頼度、情報充足率の5指標で整理します。さらに、見逃せない制約条件、優先課題TOP5、次の行動をA3レポートにまとめます。</x:v>
      </x:c>
      <x:c r="F10" s="1521" t="str">
        <x:v>130～170字</x:v>
      </x:c>
      <x:c r="G10" s="1521" t="str">
        <x:v>同じ</x:v>
      </x:c>
      <x:c r="H10" s="1521" t="str">
        <x:v>A3レポート例を見る</x:v>
      </x:c>
      <x:c r="I10" s="1521" t="str">
        <x:v>#report-sample</x:v>
      </x:c>
      <x:c r="J10" s="1521" t="str">
        <x:v>指標名称を正式表記</x:v>
      </x:c>
      <x:c r="K10" s="1521" t="str">
        <x:v>診断責任者</x:v>
      </x:c>
      <x:c r="L10" s="1521" t="str">
        <x:v>1.0</x:v>
      </x:c>
      <x:c r="M10" s="1521" t="str">
        <x:v>確定</x:v>
      </x:c>
      <x:c r="N10" s="1521" t="str"/>
      <x:c r="O10" s="1521" t="str"/>
      <x:c r="P10" s="2744" t="str">
        <x:v>LP-002</x:v>
      </x:c>
    </x:row>
    <x:row r="11">
      <x:c r="A11" s="2743" t="str">
        <x:v>COPY-007</x:v>
      </x:c>
      <x:c r="B11" s="1521" t="n">
        <x:v>3</x:v>
      </x:c>
      <x:c r="C11" s="1521" t="str">
        <x:v>対象顧客</x:v>
      </x:c>
      <x:c r="D11" s="1521" t="str">
        <x:v>見出し</x:v>
      </x:c>
      <x:c r="E11" s="1521" t="str">
        <x:v>このような工場・事業所に適しています。</x:v>
      </x:c>
      <x:c r="F11" s="1521" t="str">
        <x:v>25字程度</x:v>
      </x:c>
      <x:c r="G11" s="1521" t="str">
        <x:v>同じ</x:v>
      </x:c>
      <x:c r="H11" s="1521" t="str">
        <x:v>—</x:v>
      </x:c>
      <x:c r="I11" s="1521" t="str">
        <x:v>—</x:v>
      </x:c>
      <x:c r="J11" s="1521" t="str">
        <x:v>—</x:v>
      </x:c>
      <x:c r="K11" s="1521" t="str">
        <x:v>営業責任者</x:v>
      </x:c>
      <x:c r="L11" s="1521" t="str">
        <x:v>1.0</x:v>
      </x:c>
      <x:c r="M11" s="1521" t="str">
        <x:v>確定</x:v>
      </x:c>
      <x:c r="N11" s="1521" t="str"/>
      <x:c r="O11" s="1521" t="str"/>
      <x:c r="P11" s="2744" t="str">
        <x:v>LP-003</x:v>
      </x:c>
    </x:row>
    <x:row r="12">
      <x:c r="A12" s="2743" t="str">
        <x:v>COPY-008</x:v>
      </x:c>
      <x:c r="B12" s="1521" t="n">
        <x:v>3</x:v>
      </x:c>
      <x:c r="C12" s="1521" t="str">
        <x:v>対象顧客</x:v>
      </x:c>
      <x:c r="D12" s="1521" t="str">
        <x:v>本文</x:v>
      </x:c>
      <x:c r="E12" s="1521" t="str">
        <x:v>設備更新の優先順位を決めたい、電力使用の改善余地を確認したい、建屋環境や保全課題を整理したい、現地調査や投資検討の前に論点を見える化したい企業に適しています。</x:v>
      </x:c>
      <x:c r="F12" s="1521" t="str">
        <x:v>100～130字</x:v>
      </x:c>
      <x:c r="G12" s="1521" t="str">
        <x:v>同じ</x:v>
      </x:c>
      <x:c r="H12" s="1521" t="str">
        <x:v>営業担当へ相談する</x:v>
      </x:c>
      <x:c r="I12" s="1521" t="str">
        <x:v>既存問い合わせ</x:v>
      </x:c>
      <x:c r="J12" s="1521" t="str">
        <x:v>対象外でも相談可能</x:v>
      </x:c>
      <x:c r="K12" s="1521" t="str">
        <x:v>営業責任者</x:v>
      </x:c>
      <x:c r="L12" s="1521" t="str">
        <x:v>1.0</x:v>
      </x:c>
      <x:c r="M12" s="1521" t="str">
        <x:v>確定</x:v>
      </x:c>
      <x:c r="N12" s="1521" t="str"/>
      <x:c r="O12" s="1521" t="str"/>
      <x:c r="P12" s="2744" t="str">
        <x:v>LP-003</x:v>
      </x:c>
    </x:row>
    <x:row r="13">
      <x:c r="A13" s="2743" t="str">
        <x:v>COPY-009</x:v>
      </x:c>
      <x:c r="B13" s="1521" t="n">
        <x:v>4</x:v>
      </x:c>
      <x:c r="C13" s="1521" t="str">
        <x:v>診断内容</x:v>
      </x:c>
      <x:c r="D13" s="1521" t="str">
        <x:v>見出し</x:v>
      </x:c>
      <x:c r="E13" s="1521" t="str">
        <x:v>4分野を横断して、分かる範囲で確認します。</x:v>
      </x:c>
      <x:c r="F13" s="1521" t="str">
        <x:v>30字程度</x:v>
      </x:c>
      <x:c r="G13" s="1521" t="str">
        <x:v>同じ</x:v>
      </x:c>
      <x:c r="H13" s="1521" t="str">
        <x:v>—</x:v>
      </x:c>
      <x:c r="I13" s="1521" t="str">
        <x:v>—</x:v>
      </x:c>
      <x:c r="J13" s="1521" t="str">
        <x:v>—</x:v>
      </x:c>
      <x:c r="K13" s="1521" t="str">
        <x:v>診断責任者</x:v>
      </x:c>
      <x:c r="L13" s="1521" t="str">
        <x:v>1.0</x:v>
      </x:c>
      <x:c r="M13" s="1521" t="str">
        <x:v>確定</x:v>
      </x:c>
      <x:c r="N13" s="1521" t="str"/>
      <x:c r="O13" s="1521" t="str"/>
      <x:c r="P13" s="2744" t="str">
        <x:v>LP-004</x:v>
      </x:c>
    </x:row>
    <x:row r="14">
      <x:c r="A14" s="2743" t="str">
        <x:v>COPY-010</x:v>
      </x:c>
      <x:c r="B14" s="1521" t="n">
        <x:v>4</x:v>
      </x:c>
      <x:c r="C14" s="1521" t="str">
        <x:v>診断内容</x:v>
      </x:c>
      <x:c r="D14" s="1521" t="str">
        <x:v>設備カード</x:v>
      </x:c>
      <x:c r="E14" s="1521" t="str">
        <x:v>設備｜更新時期、故障履歴、保全状況、予備品、メーカーサポートなどを確認します。</x:v>
      </x:c>
      <x:c r="F14" s="1521" t="str">
        <x:v>50～70字</x:v>
      </x:c>
      <x:c r="G14" s="1521" t="str">
        <x:v>同じ</x:v>
      </x:c>
      <x:c r="H14" s="1521" t="str">
        <x:v>—</x:v>
      </x:c>
      <x:c r="I14" s="1521" t="str">
        <x:v>—</x:v>
      </x:c>
      <x:c r="J14" s="1521" t="str">
        <x:v>—</x:v>
      </x:c>
      <x:c r="K14" s="1521" t="str">
        <x:v>診断責任者</x:v>
      </x:c>
      <x:c r="L14" s="1521" t="str">
        <x:v>1.0</x:v>
      </x:c>
      <x:c r="M14" s="1521" t="str">
        <x:v>確定</x:v>
      </x:c>
      <x:c r="N14" s="1521" t="str"/>
      <x:c r="O14" s="1521" t="str"/>
      <x:c r="P14" s="2744" t="str">
        <x:v>LP-004</x:v>
      </x:c>
    </x:row>
    <x:row r="15">
      <x:c r="A15" s="2743" t="str">
        <x:v>COPY-011</x:v>
      </x:c>
      <x:c r="B15" s="1521" t="n">
        <x:v>4</x:v>
      </x:c>
      <x:c r="C15" s="1521" t="str">
        <x:v>診断内容</x:v>
      </x:c>
      <x:c r="D15" s="1521" t="str">
        <x:v>エネルギーカード</x:v>
      </x:c>
      <x:c r="E15" s="1521" t="str">
        <x:v>エネルギー｜使用量、最大需要電力、負荷の偏り、計測状況、改善活動などを確認します。</x:v>
      </x:c>
      <x:c r="F15" s="1521" t="str">
        <x:v>50～70字</x:v>
      </x:c>
      <x:c r="G15" s="1521" t="str">
        <x:v>同じ</x:v>
      </x:c>
      <x:c r="H15" s="1521" t="str">
        <x:v>—</x:v>
      </x:c>
      <x:c r="I15" s="1521" t="str">
        <x:v>—</x:v>
      </x:c>
      <x:c r="J15" s="1521" t="str">
        <x:v>—</x:v>
      </x:c>
      <x:c r="K15" s="1521" t="str">
        <x:v>診断責任者</x:v>
      </x:c>
      <x:c r="L15" s="1521" t="str">
        <x:v>1.0</x:v>
      </x:c>
      <x:c r="M15" s="1521" t="str">
        <x:v>確定</x:v>
      </x:c>
      <x:c r="N15" s="1521" t="str"/>
      <x:c r="O15" s="1521" t="str"/>
      <x:c r="P15" s="2744" t="str">
        <x:v>LP-004</x:v>
      </x:c>
    </x:row>
    <x:row r="16">
      <x:c r="A16" s="2743" t="str">
        <x:v>COPY-012</x:v>
      </x:c>
      <x:c r="B16" s="1521" t="n">
        <x:v>4</x:v>
      </x:c>
      <x:c r="C16" s="1521" t="str">
        <x:v>診断内容</x:v>
      </x:c>
      <x:c r="D16" s="1521" t="str">
        <x:v>建屋・環境カード</x:v>
      </x:c>
      <x:c r="E16" s="1521" t="str">
        <x:v>建屋・環境｜結露、暑熱、断熱、屋根・外壁の劣化、作業環境などを確認します。</x:v>
      </x:c>
      <x:c r="F16" s="1521" t="str">
        <x:v>50～70字</x:v>
      </x:c>
      <x:c r="G16" s="1521" t="str">
        <x:v>同じ</x:v>
      </x:c>
      <x:c r="H16" s="1521" t="str">
        <x:v>—</x:v>
      </x:c>
      <x:c r="I16" s="1521" t="str">
        <x:v>—</x:v>
      </x:c>
      <x:c r="J16" s="1521" t="str">
        <x:v>—</x:v>
      </x:c>
      <x:c r="K16" s="1521" t="str">
        <x:v>診断責任者</x:v>
      </x:c>
      <x:c r="L16" s="1521" t="str">
        <x:v>1.0</x:v>
      </x:c>
      <x:c r="M16" s="1521" t="str">
        <x:v>確定</x:v>
      </x:c>
      <x:c r="N16" s="1521" t="str"/>
      <x:c r="O16" s="1521" t="str"/>
      <x:c r="P16" s="2744" t="str">
        <x:v>LP-004</x:v>
      </x:c>
    </x:row>
    <x:row r="17">
      <x:c r="A17" s="2743" t="str">
        <x:v>COPY-013</x:v>
      </x:c>
      <x:c r="B17" s="1521" t="n">
        <x:v>4</x:v>
      </x:c>
      <x:c r="C17" s="1521" t="str">
        <x:v>診断内容</x:v>
      </x:c>
      <x:c r="D17" s="1521" t="str">
        <x:v>管理・運用カード</x:v>
      </x:c>
      <x:c r="E17" s="1521" t="str">
        <x:v>管理・運用｜点検記録、判断基準、担当体制、投資計画、情報共有などを確認します。</x:v>
      </x:c>
      <x:c r="F17" s="1521" t="str">
        <x:v>50～70字</x:v>
      </x:c>
      <x:c r="G17" s="1521" t="str">
        <x:v>同じ</x:v>
      </x:c>
      <x:c r="H17" s="1521" t="str">
        <x:v>—</x:v>
      </x:c>
      <x:c r="I17" s="1521" t="str">
        <x:v>—</x:v>
      </x:c>
      <x:c r="J17" s="1521" t="str">
        <x:v>—</x:v>
      </x:c>
      <x:c r="K17" s="1521" t="str">
        <x:v>診断責任者</x:v>
      </x:c>
      <x:c r="L17" s="1521" t="str">
        <x:v>1.0</x:v>
      </x:c>
      <x:c r="M17" s="1521" t="str">
        <x:v>確定</x:v>
      </x:c>
      <x:c r="N17" s="1521" t="str"/>
      <x:c r="O17" s="1521" t="str"/>
      <x:c r="P17" s="2744" t="str">
        <x:v>LP-004</x:v>
      </x:c>
    </x:row>
    <x:row r="18">
      <x:c r="A18" s="2743" t="str">
        <x:v>COPY-014</x:v>
      </x:c>
      <x:c r="B18" s="1521" t="n">
        <x:v>4</x:v>
      </x:c>
      <x:c r="C18" s="1521" t="str">
        <x:v>診断内容</x:v>
      </x:c>
      <x:c r="D18" s="1521" t="str">
        <x:v>補足</x:v>
      </x:c>
      <x:c r="E18" s="1521" t="str">
        <x:v>分からない項目は「不明」を選択できます。情報が不足している場合は、その不足自体を診断結果に反映します。</x:v>
      </x:c>
      <x:c r="F18" s="1521" t="str">
        <x:v>60～90字</x:v>
      </x:c>
      <x:c r="G18" s="1521" t="str">
        <x:v>同じ</x:v>
      </x:c>
      <x:c r="H18" s="1521" t="str">
        <x:v>質問項目を見る</x:v>
      </x:c>
      <x:c r="I18" s="1521" t="str">
        <x:v>#form</x:v>
      </x:c>
      <x:c r="J18" s="1521" t="str">
        <x:v>不明を不利な点数として一律扱わない</x:v>
      </x:c>
      <x:c r="K18" s="1521" t="str">
        <x:v>診断責任者</x:v>
      </x:c>
      <x:c r="L18" s="1521" t="str">
        <x:v>1.0</x:v>
      </x:c>
      <x:c r="M18" s="1521" t="str">
        <x:v>確定</x:v>
      </x:c>
      <x:c r="N18" s="1521" t="str"/>
      <x:c r="O18" s="1521" t="str"/>
      <x:c r="P18" s="2744" t="str">
        <x:v>LP-004</x:v>
      </x:c>
    </x:row>
    <x:row r="19">
      <x:c r="A19" s="2743" t="str">
        <x:v>COPY-015</x:v>
      </x:c>
      <x:c r="B19" s="1521" t="n">
        <x:v>5</x:v>
      </x:c>
      <x:c r="C19" s="1521" t="str">
        <x:v>A3レポート</x:v>
      </x:c>
      <x:c r="D19" s="1521" t="str">
        <x:v>見出し</x:v>
      </x:c>
      <x:c r="E19" s="1521" t="str">
        <x:v>結果を、A3レポートで分かりやすく整理します。</x:v>
      </x:c>
      <x:c r="F19" s="1521" t="str">
        <x:v>30字程度</x:v>
      </x:c>
      <x:c r="G19" s="1521" t="str">
        <x:v>同じ</x:v>
      </x:c>
      <x:c r="H19" s="1521" t="str">
        <x:v>—</x:v>
      </x:c>
      <x:c r="I19" s="1521" t="str">
        <x:v>—</x:v>
      </x:c>
      <x:c r="J19" s="1521" t="str">
        <x:v>—</x:v>
      </x:c>
      <x:c r="K19" s="1521" t="str">
        <x:v>事業責任者</x:v>
      </x:c>
      <x:c r="L19" s="1521" t="str">
        <x:v>1.0</x:v>
      </x:c>
      <x:c r="M19" s="1521" t="str">
        <x:v>確定</x:v>
      </x:c>
      <x:c r="N19" s="1521" t="str"/>
      <x:c r="O19" s="1521" t="str"/>
      <x:c r="P19" s="2744" t="str">
        <x:v>LP-002/005</x:v>
      </x:c>
    </x:row>
    <x:row r="20">
      <x:c r="A20" s="2743" t="str">
        <x:v>COPY-016</x:v>
      </x:c>
      <x:c r="B20" s="1521" t="n">
        <x:v>5</x:v>
      </x:c>
      <x:c r="C20" s="1521" t="str">
        <x:v>A3レポート</x:v>
      </x:c>
      <x:c r="D20" s="1521" t="str">
        <x:v>本文</x:v>
      </x:c>
      <x:c r="E20" s="1521" t="str">
        <x:v>A3レポートでは、5指標、Decision Guardrail、優先課題TOP5、推奨する次の行動、診断の根拠となる情報を整理します。点数だけでなく、なぜその判断になるのかを確認できる構成です。</x:v>
      </x:c>
      <x:c r="F20" s="1521" t="str">
        <x:v>110～150字</x:v>
      </x:c>
      <x:c r="G20" s="1521" t="str">
        <x:v>同じ</x:v>
      </x:c>
      <x:c r="H20" s="1521" t="str">
        <x:v>A3レポート例を見る</x:v>
      </x:c>
      <x:c r="I20" s="1521" t="str">
        <x:v>#report-sample</x:v>
      </x:c>
      <x:c r="J20" s="1521" t="str">
        <x:v>点数より根拠を優先する思想を反映</x:v>
      </x:c>
      <x:c r="K20" s="1521" t="str">
        <x:v>診断責任者</x:v>
      </x:c>
      <x:c r="L20" s="1521" t="str">
        <x:v>1.0</x:v>
      </x:c>
      <x:c r="M20" s="1521" t="str">
        <x:v>確定</x:v>
      </x:c>
      <x:c r="N20" s="1521" t="str"/>
      <x:c r="O20" s="1521" t="str"/>
      <x:c r="P20" s="2744" t="str">
        <x:v>LP-002</x:v>
      </x:c>
    </x:row>
    <x:row r="21">
      <x:c r="A21" s="2743" t="str">
        <x:v>COPY-017</x:v>
      </x:c>
      <x:c r="B21" s="1521" t="n">
        <x:v>6</x:v>
      </x:c>
      <x:c r="C21" s="1521" t="str">
        <x:v>利用の流れ</x:v>
      </x:c>
      <x:c r="D21" s="1521" t="str">
        <x:v>見出し</x:v>
      </x:c>
      <x:c r="E21" s="1521" t="str">
        <x:v>診断からA3レポートまでの流れ</x:v>
      </x:c>
      <x:c r="F21" s="1521" t="str">
        <x:v>25字程度</x:v>
      </x:c>
      <x:c r="G21" s="1521" t="str">
        <x:v>同じ</x:v>
      </x:c>
      <x:c r="H21" s="1521" t="str">
        <x:v>—</x:v>
      </x:c>
      <x:c r="I21" s="1521" t="str">
        <x:v>—</x:v>
      </x:c>
      <x:c r="J21" s="1521" t="str">
        <x:v>—</x:v>
      </x:c>
      <x:c r="K21" s="1521" t="str">
        <x:v>営業責任者</x:v>
      </x:c>
      <x:c r="L21" s="1521" t="str">
        <x:v>1.0</x:v>
      </x:c>
      <x:c r="M21" s="1521" t="str">
        <x:v>確定</x:v>
      </x:c>
      <x:c r="N21" s="1521" t="str"/>
      <x:c r="O21" s="1521" t="str"/>
      <x:c r="P21" s="2744" t="str">
        <x:v>LP-005</x:v>
      </x:c>
    </x:row>
    <x:row r="22">
      <x:c r="A22" s="2743" t="str">
        <x:v>COPY-018</x:v>
      </x:c>
      <x:c r="B22" s="1521" t="n">
        <x:v>6</x:v>
      </x:c>
      <x:c r="C22" s="1521" t="str">
        <x:v>利用の流れ</x:v>
      </x:c>
      <x:c r="D22" s="1521" t="str">
        <x:v>Step1</x:v>
      </x:c>
      <x:c r="E22" s="1521" t="str">
        <x:v>1．Webで回答｜会社・工場情報と、4分野の質問に分かる範囲で回答します。</x:v>
      </x:c>
      <x:c r="F22" s="1521" t="str">
        <x:v>50～70字</x:v>
      </x:c>
      <x:c r="G22" s="1521" t="str">
        <x:v>受付期間外は送信不可</x:v>
      </x:c>
      <x:c r="H22" s="1521" t="str">
        <x:v>診断を開始する</x:v>
      </x:c>
      <x:c r="I22" s="1521" t="str">
        <x:v>#form</x:v>
      </x:c>
      <x:c r="J22" s="1521" t="str">
        <x:v>—</x:v>
      </x:c>
      <x:c r="K22" s="1521" t="str">
        <x:v>営業責任者</x:v>
      </x:c>
      <x:c r="L22" s="1521" t="str">
        <x:v>1.0</x:v>
      </x:c>
      <x:c r="M22" s="1521" t="str">
        <x:v>確定</x:v>
      </x:c>
      <x:c r="N22" s="1521" t="str"/>
      <x:c r="O22" s="1521" t="str"/>
      <x:c r="P22" s="2744" t="str">
        <x:v>LP-005</x:v>
      </x:c>
    </x:row>
    <x:row r="23">
      <x:c r="A23" s="2743" t="str">
        <x:v>COPY-019</x:v>
      </x:c>
      <x:c r="B23" s="1521" t="n">
        <x:v>6</x:v>
      </x:c>
      <x:c r="C23" s="1521" t="str">
        <x:v>利用の流れ</x:v>
      </x:c>
      <x:c r="D23" s="1521" t="str">
        <x:v>Step2</x:v>
      </x:c>
      <x:c r="E23" s="1521" t="str">
        <x:v>2．A3レポートを依頼｜回答後、メールでA3レポートを希望する旨をご連絡ください。</x:v>
      </x:c>
      <x:c r="F23" s="1521" t="str">
        <x:v>50～70字</x:v>
      </x:c>
      <x:c r="G23" s="1521" t="str">
        <x:v>相談窓口のみ表示</x:v>
      </x:c>
      <x:c r="H23" s="1521" t="str">
        <x:v>レポートを依頼する</x:v>
      </x:c>
      <x:c r="I23" s="1521" t="str">
        <x:v>mailto:受付先未確定</x:v>
      </x:c>
      <x:c r="J23" s="1521" t="str">
        <x:v>受付先は情シス確認後確定</x:v>
      </x:c>
      <x:c r="K23" s="1521" t="str">
        <x:v>営業責任者</x:v>
      </x:c>
      <x:c r="L23" s="1521" t="str">
        <x:v>1.0</x:v>
      </x:c>
      <x:c r="M23" s="1521" t="str">
        <x:v>確定</x:v>
      </x:c>
      <x:c r="N23" s="1521" t="str"/>
      <x:c r="O23" s="1521" t="str"/>
      <x:c r="P23" s="2744" t="str">
        <x:v>LP-005</x:v>
      </x:c>
    </x:row>
    <x:row r="24">
      <x:c r="A24" s="2743" t="str">
        <x:v>COPY-020</x:v>
      </x:c>
      <x:c r="B24" s="1521" t="n">
        <x:v>6</x:v>
      </x:c>
      <x:c r="C24" s="1521" t="str">
        <x:v>利用の流れ</x:v>
      </x:c>
      <x:c r="D24" s="1521" t="str">
        <x:v>Step3</x:v>
      </x:c>
      <x:c r="E24" s="1521" t="str">
        <x:v>3．社内確認｜回答内容、根拠情報、表現の強さを社内で確認します。必要に応じて追加のご質問をします。</x:v>
      </x:c>
      <x:c r="F24" s="1521" t="str">
        <x:v>60～90字</x:v>
      </x:c>
      <x:c r="G24" s="1521" t="str">
        <x:v>同じ</x:v>
      </x:c>
      <x:c r="H24" s="1521" t="str">
        <x:v>—</x:v>
      </x:c>
      <x:c r="I24" s="1521" t="str">
        <x:v>—</x:v>
      </x:c>
      <x:c r="J24" s="1521" t="str">
        <x:v>—</x:v>
      </x:c>
      <x:c r="K24" s="1521" t="str">
        <x:v>診断責任者</x:v>
      </x:c>
      <x:c r="L24" s="1521" t="str">
        <x:v>1.0</x:v>
      </x:c>
      <x:c r="M24" s="1521" t="str">
        <x:v>確定</x:v>
      </x:c>
      <x:c r="N24" s="1521" t="str"/>
      <x:c r="O24" s="1521" t="str"/>
      <x:c r="P24" s="2744" t="str">
        <x:v>LP-005</x:v>
      </x:c>
    </x:row>
    <x:row r="25">
      <x:c r="A25" s="2743" t="str">
        <x:v>COPY-021</x:v>
      </x:c>
      <x:c r="B25" s="1521" t="n">
        <x:v>6</x:v>
      </x:c>
      <x:c r="C25" s="1521" t="str">
        <x:v>利用の流れ</x:v>
      </x:c>
      <x:c r="D25" s="1521" t="str">
        <x:v>Step4</x:v>
      </x:c>
      <x:c r="E25" s="1521" t="str">
        <x:v>4．A3レポートを送付｜確認後、担当者より個別にA3レポートをお送りします。</x:v>
      </x:c>
      <x:c r="F25" s="1521" t="str">
        <x:v>50～70字</x:v>
      </x:c>
      <x:c r="G25" s="1521" t="str">
        <x:v>同じ</x:v>
      </x:c>
      <x:c r="H25" s="1521" t="str">
        <x:v>—</x:v>
      </x:c>
      <x:c r="I25" s="1521" t="str">
        <x:v>—</x:v>
      </x:c>
      <x:c r="J25" s="1521" t="str">
        <x:v>即時発行ではない</x:v>
      </x:c>
      <x:c r="K25" s="1521" t="str">
        <x:v>営業責任者</x:v>
      </x:c>
      <x:c r="L25" s="1521" t="str">
        <x:v>1.0</x:v>
      </x:c>
      <x:c r="M25" s="1521" t="str">
        <x:v>確定</x:v>
      </x:c>
      <x:c r="N25" s="1521" t="str"/>
      <x:c r="O25" s="1521" t="str"/>
      <x:c r="P25" s="2744" t="str">
        <x:v>LP-005</x:v>
      </x:c>
    </x:row>
    <x:row r="26">
      <x:c r="A26" s="2743" t="str">
        <x:v>COPY-022</x:v>
      </x:c>
      <x:c r="B26" s="1521" t="n">
        <x:v>6</x:v>
      </x:c>
      <x:c r="C26" s="1521" t="str">
        <x:v>利用の流れ</x:v>
      </x:c>
      <x:c r="D26" s="1521" t="str">
        <x:v>Step5</x:v>
      </x:c>
      <x:c r="E26" s="1521" t="str">
        <x:v>5．個別フォロー｜メール、電話、訪問等で内容をご説明し、必要に応じて現地確認や具体提案につなげます。</x:v>
      </x:c>
      <x:c r="F26" s="1521" t="str">
        <x:v>60～90字</x:v>
      </x:c>
      <x:c r="G26" s="1521" t="str">
        <x:v>同じ</x:v>
      </x:c>
      <x:c r="H26" s="1521" t="str">
        <x:v>営業担当へ相談する</x:v>
      </x:c>
      <x:c r="I26" s="1521" t="str">
        <x:v>既存問い合わせ</x:v>
      </x:c>
      <x:c r="J26" s="1521" t="str">
        <x:v>—</x:v>
      </x:c>
      <x:c r="K26" s="1521" t="str">
        <x:v>営業責任者</x:v>
      </x:c>
      <x:c r="L26" s="1521" t="str">
        <x:v>1.0</x:v>
      </x:c>
      <x:c r="M26" s="1521" t="str">
        <x:v>確定</x:v>
      </x:c>
      <x:c r="N26" s="1521" t="str"/>
      <x:c r="O26" s="1521" t="str"/>
      <x:c r="P26" s="2744" t="str">
        <x:v>LP-005</x:v>
      </x:c>
    </x:row>
    <x:row r="27">
      <x:c r="A27" s="2743" t="str">
        <x:v>COPY-023</x:v>
      </x:c>
      <x:c r="B27" s="1521" t="n">
        <x:v>7</x:v>
      </x:c>
      <x:c r="C27" s="1521" t="str">
        <x:v>資料提出</x:v>
      </x:c>
      <x:c r="D27" s="1521" t="str">
        <x:v>見出し</x:v>
      </x:c>
      <x:c r="E27" s="1521" t="str">
        <x:v>資料提出は、必要な場合に個別にご案内します。</x:v>
      </x:c>
      <x:c r="F27" s="1521" t="str">
        <x:v>30字程度</x:v>
      </x:c>
      <x:c r="G27" s="1521" t="str">
        <x:v>同じ</x:v>
      </x:c>
      <x:c r="H27" s="1521" t="str">
        <x:v>—</x:v>
      </x:c>
      <x:c r="I27" s="1521" t="str">
        <x:v>—</x:v>
      </x:c>
      <x:c r="J27" s="1521" t="str">
        <x:v>—</x:v>
      </x:c>
      <x:c r="K27" s="1521" t="str">
        <x:v>管理責任者</x:v>
      </x:c>
      <x:c r="L27" s="1521" t="str">
        <x:v>1.0</x:v>
      </x:c>
      <x:c r="M27" s="1521" t="str">
        <x:v>確定</x:v>
      </x:c>
      <x:c r="N27" s="1521" t="str"/>
      <x:c r="O27" s="1521" t="str"/>
      <x:c r="P27" s="2744" t="str">
        <x:v>LP-006</x:v>
      </x:c>
    </x:row>
    <x:row r="28">
      <x:c r="A28" s="2743" t="str">
        <x:v>COPY-024</x:v>
      </x:c>
      <x:c r="B28" s="1521" t="n">
        <x:v>7</x:v>
      </x:c>
      <x:c r="C28" s="1521" t="str">
        <x:v>資料提出</x:v>
      </x:c>
      <x:c r="D28" s="1521" t="str">
        <x:v>本文</x:v>
      </x:c>
      <x:c r="E28" s="1521" t="str">
        <x:v>公開フォームには、図面、設備写真、点検報告書、契約資料等を添付しません。診断に必要な場合は、受付後に担当者から提出方法をご案内します。受領した資料は、通常営業と同等の秘密情報として管理します。</x:v>
      </x:c>
      <x:c r="F28" s="1521" t="str">
        <x:v>120～160字</x:v>
      </x:c>
      <x:c r="G28" s="1521" t="str">
        <x:v>同じ</x:v>
      </x:c>
      <x:c r="H28" s="1521" t="str">
        <x:v>情報の取扱いを見る</x:v>
      </x:c>
      <x:c r="I28" s="1521" t="str">
        <x:v>#privacy</x:v>
      </x:c>
      <x:c r="J28" s="1521" t="str">
        <x:v>秘密情報管理を明示</x:v>
      </x:c>
      <x:c r="K28" s="1521" t="str">
        <x:v>管理責任者</x:v>
      </x:c>
      <x:c r="L28" s="1521" t="str">
        <x:v>1.0</x:v>
      </x:c>
      <x:c r="M28" s="1521" t="str">
        <x:v>確定</x:v>
      </x:c>
      <x:c r="N28" s="1521" t="str"/>
      <x:c r="O28" s="1521" t="str"/>
      <x:c r="P28" s="2744" t="str">
        <x:v>LP-006</x:v>
      </x:c>
    </x:row>
    <x:row r="29">
      <x:c r="A29" s="2743" t="str">
        <x:v>COPY-025</x:v>
      </x:c>
      <x:c r="B29" s="1521" t="n">
        <x:v>8</x:v>
      </x:c>
      <x:c r="C29" s="1521" t="str">
        <x:v>AI利用</x:v>
      </x:c>
      <x:c r="D29" s="1521" t="str">
        <x:v>見出し</x:v>
      </x:c>
      <x:c r="E29" s="1521" t="str">
        <x:v>AIは、文章整理と確認を支援します。</x:v>
      </x:c>
      <x:c r="F29" s="1521" t="str">
        <x:v>25字程度</x:v>
      </x:c>
      <x:c r="G29" s="1521" t="str">
        <x:v>同じ</x:v>
      </x:c>
      <x:c r="H29" s="1521" t="str">
        <x:v>—</x:v>
      </x:c>
      <x:c r="I29" s="1521" t="str">
        <x:v>—</x:v>
      </x:c>
      <x:c r="J29" s="1521" t="str">
        <x:v>—</x:v>
      </x:c>
      <x:c r="K29" s="1521" t="str">
        <x:v>診断責任者</x:v>
      </x:c>
      <x:c r="L29" s="1521" t="str">
        <x:v>1.0</x:v>
      </x:c>
      <x:c r="M29" s="1521" t="str">
        <x:v>確定</x:v>
      </x:c>
      <x:c r="N29" s="1521" t="str"/>
      <x:c r="O29" s="1521" t="str"/>
      <x:c r="P29" s="2744" t="str">
        <x:v>LP-007</x:v>
      </x:c>
    </x:row>
    <x:row r="30">
      <x:c r="A30" s="2743" t="str">
        <x:v>COPY-026</x:v>
      </x:c>
      <x:c r="B30" s="1521" t="n">
        <x:v>8</x:v>
      </x:c>
      <x:c r="C30" s="1521" t="str">
        <x:v>AI利用</x:v>
      </x:c>
      <x:c r="D30" s="1521" t="str">
        <x:v>本文</x:v>
      </x:c>
      <x:c r="E30" s="1521" t="str">
        <x:v>採点、Decision Guardrail、優先順位は、承認済みの診断ルールで決定します。AIは、承認済み所見の文章整理、重複確認、レポート作成支援に利用します。診断結果と正式なレポートは、担当者が確認して発行します。</x:v>
      </x:c>
      <x:c r="F30" s="1521" t="str">
        <x:v>130～170字</x:v>
      </x:c>
      <x:c r="G30" s="1521" t="str">
        <x:v>同じ</x:v>
      </x:c>
      <x:c r="H30" s="1521" t="str">
        <x:v>診断方針を見る</x:v>
      </x:c>
      <x:c r="I30" s="1521" t="str">
        <x:v>#diagnosis-policy</x:v>
      </x:c>
      <x:c r="J30" s="1521" t="str">
        <x:v>AIが独自判断しないことを明示</x:v>
      </x:c>
      <x:c r="K30" s="1521" t="str">
        <x:v>診断責任者</x:v>
      </x:c>
      <x:c r="L30" s="1521" t="str">
        <x:v>1.0</x:v>
      </x:c>
      <x:c r="M30" s="1521" t="str">
        <x:v>確定</x:v>
      </x:c>
      <x:c r="N30" s="1521" t="str"/>
      <x:c r="O30" s="1521" t="str"/>
      <x:c r="P30" s="2744" t="str">
        <x:v>LP-007</x:v>
      </x:c>
    </x:row>
    <x:row r="31">
      <x:c r="A31" s="2743" t="str">
        <x:v>COPY-027</x:v>
      </x:c>
      <x:c r="B31" s="1521" t="n">
        <x:v>9</x:v>
      </x:c>
      <x:c r="C31" s="1521" t="str">
        <x:v>FAQ</x:v>
      </x:c>
      <x:c r="D31" s="1521" t="str">
        <x:v>Q1</x:v>
      </x:c>
      <x:c r="E31" s="1521" t="str">
        <x:v>料金はかかりますか？</x:v>
      </x:c>
      <x:c r="F31" s="1521" t="str">
        <x:v>—</x:v>
      </x:c>
      <x:c r="G31" s="1521" t="str">
        <x:v>同じ</x:v>
      </x:c>
      <x:c r="H31" s="1521" t="str">
        <x:v>—</x:v>
      </x:c>
      <x:c r="I31" s="1521" t="str">
        <x:v>—</x:v>
      </x:c>
      <x:c r="J31" s="1521" t="str">
        <x:v>質問文</x:v>
      </x:c>
      <x:c r="K31" s="1521" t="str">
        <x:v>営業責任者</x:v>
      </x:c>
      <x:c r="L31" s="1521" t="str">
        <x:v>1.0</x:v>
      </x:c>
      <x:c r="M31" s="1521" t="str">
        <x:v>確定</x:v>
      </x:c>
      <x:c r="N31" s="1521" t="str"/>
      <x:c r="O31" s="1521" t="str"/>
      <x:c r="P31" s="2744" t="str">
        <x:v>LP-009</x:v>
      </x:c>
    </x:row>
    <x:row r="32">
      <x:c r="A32" s="2743" t="str">
        <x:v>COPY-028</x:v>
      </x:c>
      <x:c r="B32" s="1521" t="n">
        <x:v>9</x:v>
      </x:c>
      <x:c r="C32" s="1521" t="str">
        <x:v>FAQ</x:v>
      </x:c>
      <x:c r="D32" s="1521" t="str">
        <x:v>A1</x:v>
      </x:c>
      <x:c r="E32" s="1521" t="str">
        <x:v>初期の簡易診断とA3レポートは無償です。現地調査、詳細診断、設計、工事、機器提案等が必要な場合は、内容を確認したうえで別途ご相談します。</x:v>
      </x:c>
      <x:c r="F32" s="1521" t="str">
        <x:v>90～120字</x:v>
      </x:c>
      <x:c r="G32" s="1521" t="str">
        <x:v>同じ</x:v>
      </x:c>
      <x:c r="H32" s="1521" t="str">
        <x:v>—</x:v>
      </x:c>
      <x:c r="I32" s="1521" t="str">
        <x:v>—</x:v>
      </x:c>
      <x:c r="J32" s="1521" t="str">
        <x:v>将来変更時はVersion更新</x:v>
      </x:c>
      <x:c r="K32" s="1521" t="str">
        <x:v>営業責任者</x:v>
      </x:c>
      <x:c r="L32" s="1521" t="str">
        <x:v>1.0</x:v>
      </x:c>
      <x:c r="M32" s="1521" t="str">
        <x:v>確定</x:v>
      </x:c>
      <x:c r="N32" s="1521" t="str"/>
      <x:c r="O32" s="1521" t="str"/>
      <x:c r="P32" s="2744" t="str">
        <x:v>LP-009</x:v>
      </x:c>
    </x:row>
    <x:row r="33">
      <x:c r="A33" s="2743" t="str">
        <x:v>COPY-029</x:v>
      </x:c>
      <x:c r="B33" s="1521" t="n">
        <x:v>9</x:v>
      </x:c>
      <x:c r="C33" s="1521" t="str">
        <x:v>FAQ</x:v>
      </x:c>
      <x:c r="D33" s="1521" t="str">
        <x:v>Q2</x:v>
      </x:c>
      <x:c r="E33" s="1521" t="str">
        <x:v>回答にはどのくらい時間がかかりますか？</x:v>
      </x:c>
      <x:c r="F33" s="1521" t="str">
        <x:v>—</x:v>
      </x:c>
      <x:c r="G33" s="1521" t="str">
        <x:v>同じ</x:v>
      </x:c>
      <x:c r="H33" s="1521" t="str">
        <x:v>—</x:v>
      </x:c>
      <x:c r="I33" s="1521" t="str">
        <x:v>—</x:v>
      </x:c>
      <x:c r="J33" s="1521" t="str">
        <x:v>質問文</x:v>
      </x:c>
      <x:c r="K33" s="1521" t="str">
        <x:v>営業責任者</x:v>
      </x:c>
      <x:c r="L33" s="1521" t="str">
        <x:v>1.0</x:v>
      </x:c>
      <x:c r="M33" s="1521" t="str">
        <x:v>確定</x:v>
      </x:c>
      <x:c r="N33" s="1521" t="str"/>
      <x:c r="O33" s="1521" t="str"/>
      <x:c r="P33" s="2744" t="str">
        <x:v>LP-009</x:v>
      </x:c>
    </x:row>
    <x:row r="34">
      <x:c r="A34" s="2743" t="str">
        <x:v>COPY-030</x:v>
      </x:c>
      <x:c r="B34" s="1521" t="n">
        <x:v>9</x:v>
      </x:c>
      <x:c r="C34" s="1521" t="str">
        <x:v>FAQ</x:v>
      </x:c>
      <x:c r="D34" s="1521" t="str">
        <x:v>A2</x:v>
      </x:c>
      <x:c r="E34" s="1521" t="str">
        <x:v>初期版では10～15分程度を目安とします。分からない項目は「不明」を選択できます。</x:v>
      </x:c>
      <x:c r="F34" s="1521" t="str">
        <x:v>50～80字</x:v>
      </x:c>
      <x:c r="G34" s="1521" t="str">
        <x:v>同じ</x:v>
      </x:c>
      <x:c r="H34" s="1521" t="str">
        <x:v>—</x:v>
      </x:c>
      <x:c r="I34" s="1521" t="str">
        <x:v>—</x:v>
      </x:c>
      <x:c r="J34" s="1521" t="str">
        <x:v>質問数確定後に最終調整</x:v>
      </x:c>
      <x:c r="K34" s="1521" t="str">
        <x:v>診断責任者</x:v>
      </x:c>
      <x:c r="L34" s="1521" t="str">
        <x:v>1.0</x:v>
      </x:c>
      <x:c r="M34" s="1521" t="str">
        <x:v>確認中</x:v>
      </x:c>
      <x:c r="N34" s="1521" t="str"/>
      <x:c r="O34" s="1521" t="str"/>
      <x:c r="P34" s="2744" t="str">
        <x:v>LP-009</x:v>
      </x:c>
    </x:row>
    <x:row r="35">
      <x:c r="A35" s="2743" t="str">
        <x:v>COPY-031</x:v>
      </x:c>
      <x:c r="B35" s="1521" t="n">
        <x:v>9</x:v>
      </x:c>
      <x:c r="C35" s="1521" t="str">
        <x:v>FAQ</x:v>
      </x:c>
      <x:c r="D35" s="1521" t="str">
        <x:v>Q3</x:v>
      </x:c>
      <x:c r="E35" s="1521" t="str">
        <x:v>図面や写真をアップロードできますか？</x:v>
      </x:c>
      <x:c r="F35" s="1521" t="str">
        <x:v>—</x:v>
      </x:c>
      <x:c r="G35" s="1521" t="str">
        <x:v>同じ</x:v>
      </x:c>
      <x:c r="H35" s="1521" t="str">
        <x:v>—</x:v>
      </x:c>
      <x:c r="I35" s="1521" t="str">
        <x:v>—</x:v>
      </x:c>
      <x:c r="J35" s="1521" t="str">
        <x:v>質問文</x:v>
      </x:c>
      <x:c r="K35" s="1521" t="str">
        <x:v>管理責任者</x:v>
      </x:c>
      <x:c r="L35" s="1521" t="str">
        <x:v>1.0</x:v>
      </x:c>
      <x:c r="M35" s="1521" t="str">
        <x:v>確定</x:v>
      </x:c>
      <x:c r="N35" s="1521" t="str"/>
      <x:c r="O35" s="1521" t="str"/>
      <x:c r="P35" s="2744" t="str">
        <x:v>LP-009</x:v>
      </x:c>
    </x:row>
    <x:row r="36">
      <x:c r="A36" s="2743" t="str">
        <x:v>COPY-032</x:v>
      </x:c>
      <x:c r="B36" s="1521" t="n">
        <x:v>9</x:v>
      </x:c>
      <x:c r="C36" s="1521" t="str">
        <x:v>FAQ</x:v>
      </x:c>
      <x:c r="D36" s="1521" t="str">
        <x:v>A3</x:v>
      </x:c>
      <x:c r="E36" s="1521" t="str">
        <x:v>公開フォームにはファイル添付機能を設けません。資料が必要な場合は、受付後に担当者から個別に提出方法をご案内します。</x:v>
      </x:c>
      <x:c r="F36" s="1521" t="str">
        <x:v>70～100字</x:v>
      </x:c>
      <x:c r="G36" s="1521" t="str">
        <x:v>同じ</x:v>
      </x:c>
      <x:c r="H36" s="1521" t="str">
        <x:v>—</x:v>
      </x:c>
      <x:c r="I36" s="1521" t="str">
        <x:v>—</x:v>
      </x:c>
      <x:c r="J36" s="1521" t="str">
        <x:v>—</x:v>
      </x:c>
      <x:c r="K36" s="1521" t="str">
        <x:v>管理責任者</x:v>
      </x:c>
      <x:c r="L36" s="1521" t="str">
        <x:v>1.0</x:v>
      </x:c>
      <x:c r="M36" s="1521" t="str">
        <x:v>確定</x:v>
      </x:c>
      <x:c r="N36" s="1521" t="str"/>
      <x:c r="O36" s="1521" t="str"/>
      <x:c r="P36" s="2744" t="str">
        <x:v>LP-009</x:v>
      </x:c>
    </x:row>
    <x:row r="37">
      <x:c r="A37" s="2743" t="str">
        <x:v>COPY-033</x:v>
      </x:c>
      <x:c r="B37" s="1521" t="n">
        <x:v>9</x:v>
      </x:c>
      <x:c r="C37" s="1521" t="str">
        <x:v>FAQ</x:v>
      </x:c>
      <x:c r="D37" s="1521" t="str">
        <x:v>Q4</x:v>
      </x:c>
      <x:c r="E37" s="1521" t="str">
        <x:v>AIが自動で診断するのですか？</x:v>
      </x:c>
      <x:c r="F37" s="1521" t="str">
        <x:v>—</x:v>
      </x:c>
      <x:c r="G37" s="1521" t="str">
        <x:v>同じ</x:v>
      </x:c>
      <x:c r="H37" s="1521" t="str">
        <x:v>—</x:v>
      </x:c>
      <x:c r="I37" s="1521" t="str">
        <x:v>—</x:v>
      </x:c>
      <x:c r="J37" s="1521" t="str">
        <x:v>質問文</x:v>
      </x:c>
      <x:c r="K37" s="1521" t="str">
        <x:v>診断責任者</x:v>
      </x:c>
      <x:c r="L37" s="1521" t="str">
        <x:v>1.0</x:v>
      </x:c>
      <x:c r="M37" s="1521" t="str">
        <x:v>確定</x:v>
      </x:c>
      <x:c r="N37" s="1521" t="str"/>
      <x:c r="O37" s="1521" t="str"/>
      <x:c r="P37" s="2744" t="str">
        <x:v>LP-009</x:v>
      </x:c>
    </x:row>
    <x:row r="38">
      <x:c r="A38" s="2743" t="str">
        <x:v>COPY-034</x:v>
      </x:c>
      <x:c r="B38" s="1521" t="n">
        <x:v>9</x:v>
      </x:c>
      <x:c r="C38" s="1521" t="str">
        <x:v>FAQ</x:v>
      </x:c>
      <x:c r="D38" s="1521" t="str">
        <x:v>A4</x:v>
      </x:c>
      <x:c r="E38" s="1521" t="str">
        <x:v>AIが独自に診断を決めるものではありません。採点と優先順位は承認済みルールで決定し、AIは文章整理等を支援します。正式発行は担当者が確認します。</x:v>
      </x:c>
      <x:c r="F38" s="1521" t="str">
        <x:v>90～120字</x:v>
      </x:c>
      <x:c r="G38" s="1521" t="str">
        <x:v>同じ</x:v>
      </x:c>
      <x:c r="H38" s="1521" t="str">
        <x:v>—</x:v>
      </x:c>
      <x:c r="I38" s="1521" t="str">
        <x:v>—</x:v>
      </x:c>
      <x:c r="J38" s="1521" t="str">
        <x:v>—</x:v>
      </x:c>
      <x:c r="K38" s="1521" t="str">
        <x:v>診断責任者</x:v>
      </x:c>
      <x:c r="L38" s="1521" t="str">
        <x:v>1.0</x:v>
      </x:c>
      <x:c r="M38" s="1521" t="str">
        <x:v>確定</x:v>
      </x:c>
      <x:c r="N38" s="1521" t="str"/>
      <x:c r="O38" s="1521" t="str"/>
      <x:c r="P38" s="2744" t="str">
        <x:v>LP-009</x:v>
      </x:c>
    </x:row>
    <x:row r="39">
      <x:c r="A39" s="2743" t="str">
        <x:v>COPY-035</x:v>
      </x:c>
      <x:c r="B39" s="1521" t="n">
        <x:v>9</x:v>
      </x:c>
      <x:c r="C39" s="1521" t="str">
        <x:v>FAQ</x:v>
      </x:c>
      <x:c r="D39" s="1521" t="str">
        <x:v>Q5</x:v>
      </x:c>
      <x:c r="E39" s="1521" t="str">
        <x:v>回答後、すぐにレポートが届きますか？</x:v>
      </x:c>
      <x:c r="F39" s="1521" t="str">
        <x:v>—</x:v>
      </x:c>
      <x:c r="G39" s="1521" t="str">
        <x:v>同じ</x:v>
      </x:c>
      <x:c r="H39" s="1521" t="str">
        <x:v>—</x:v>
      </x:c>
      <x:c r="I39" s="1521" t="str">
        <x:v>—</x:v>
      </x:c>
      <x:c r="J39" s="1521" t="str">
        <x:v>質問文</x:v>
      </x:c>
      <x:c r="K39" s="1521" t="str">
        <x:v>営業責任者</x:v>
      </x:c>
      <x:c r="L39" s="1521" t="str">
        <x:v>1.0</x:v>
      </x:c>
      <x:c r="M39" s="1521" t="str">
        <x:v>確定</x:v>
      </x:c>
      <x:c r="N39" s="1521" t="str"/>
      <x:c r="O39" s="1521" t="str"/>
      <x:c r="P39" s="2744" t="str">
        <x:v>LP-009</x:v>
      </x:c>
    </x:row>
    <x:row r="40">
      <x:c r="A40" s="2743" t="str">
        <x:v>COPY-036</x:v>
      </x:c>
      <x:c r="B40" s="1521" t="n">
        <x:v>9</x:v>
      </x:c>
      <x:c r="C40" s="1521" t="str">
        <x:v>FAQ</x:v>
      </x:c>
      <x:c r="D40" s="1521" t="str">
        <x:v>A5</x:v>
      </x:c>
      <x:c r="E40" s="1521" t="str">
        <x:v>入力直後の自動発行ではありません。回答内容を社内で確認し、原則3営業日以内を目安に担当者からご連絡します。追加確認が必要な場合は、別途ご案内します。</x:v>
      </x:c>
      <x:c r="F40" s="1521" t="str">
        <x:v>90～120字</x:v>
      </x:c>
      <x:c r="G40" s="1521" t="str">
        <x:v>同じ</x:v>
      </x:c>
      <x:c r="H40" s="1521" t="str">
        <x:v>—</x:v>
      </x:c>
      <x:c r="I40" s="1521" t="str">
        <x:v>—</x:v>
      </x:c>
      <x:c r="J40" s="1521" t="str">
        <x:v>必着保証ではない</x:v>
      </x:c>
      <x:c r="K40" s="1521" t="str">
        <x:v>営業責任者</x:v>
      </x:c>
      <x:c r="L40" s="1521" t="str">
        <x:v>1.0</x:v>
      </x:c>
      <x:c r="M40" s="1521" t="str">
        <x:v>確定</x:v>
      </x:c>
      <x:c r="N40" s="1521" t="str"/>
      <x:c r="O40" s="1521" t="str"/>
      <x:c r="P40" s="2744" t="str">
        <x:v>LP-009</x:v>
      </x:c>
    </x:row>
    <x:row r="41">
      <x:c r="A41" s="2743" t="str">
        <x:v>COPY-037</x:v>
      </x:c>
      <x:c r="B41" s="1521" t="n">
        <x:v>10</x:v>
      </x:c>
      <x:c r="C41" s="1521" t="str">
        <x:v>フォーム導線</x:v>
      </x:c>
      <x:c r="D41" s="1521" t="str">
        <x:v>見出し</x:v>
      </x:c>
      <x:c r="E41" s="1521" t="str">
        <x:v>Energy Doctor簡易診断</x:v>
      </x:c>
      <x:c r="F41" s="1521" t="str">
        <x:v>短</x:v>
      </x:c>
      <x:c r="G41" s="1521" t="str">
        <x:v>受付期間外も同じ</x:v>
      </x:c>
      <x:c r="H41" s="1521" t="str">
        <x:v>診断を開始する</x:v>
      </x:c>
      <x:c r="I41" s="1521" t="str">
        <x:v>#form</x:v>
      </x:c>
      <x:c r="J41" s="1521" t="str">
        <x:v>—</x:v>
      </x:c>
      <x:c r="K41" s="1521" t="str">
        <x:v>事業責任者</x:v>
      </x:c>
      <x:c r="L41" s="1521" t="str">
        <x:v>1.0</x:v>
      </x:c>
      <x:c r="M41" s="1521" t="str">
        <x:v>確定</x:v>
      </x:c>
      <x:c r="N41" s="1521" t="str"/>
      <x:c r="O41" s="1521" t="str"/>
      <x:c r="P41" s="2744" t="str">
        <x:v>LP-008</x:v>
      </x:c>
    </x:row>
    <x:row r="42">
      <x:c r="A42" s="2743" t="str">
        <x:v>COPY-038</x:v>
      </x:c>
      <x:c r="B42" s="1521" t="n">
        <x:v>10</x:v>
      </x:c>
      <x:c r="C42" s="1521" t="str">
        <x:v>フォーム導線</x:v>
      </x:c>
      <x:c r="D42" s="1521" t="str">
        <x:v>説明</x:v>
      </x:c>
      <x:c r="E42" s="1521" t="str">
        <x:v>会社・工場情報、連絡先、4分野の質問、A3レポートの希望内容を入力します。図面・写真等のファイル添付はありません。</x:v>
      </x:c>
      <x:c r="F42" s="1521" t="str">
        <x:v>80～110字</x:v>
      </x:c>
      <x:c r="G42" s="1521" t="str">
        <x:v>受付準備中メッセージに差替え</x:v>
      </x:c>
      <x:c r="H42" s="1521" t="str">
        <x:v>診断を開始する</x:v>
      </x:c>
      <x:c r="I42" s="1521" t="str">
        <x:v>#form</x:v>
      </x:c>
      <x:c r="J42" s="1521" t="str">
        <x:v>同意チェック必須</x:v>
      </x:c>
      <x:c r="K42" s="1521" t="str">
        <x:v>管理責任者</x:v>
      </x:c>
      <x:c r="L42" s="1521" t="str">
        <x:v>1.0</x:v>
      </x:c>
      <x:c r="M42" s="1521" t="str">
        <x:v>確定</x:v>
      </x:c>
      <x:c r="N42" s="1521" t="str"/>
      <x:c r="O42" s="1521" t="str"/>
      <x:c r="P42" s="2744" t="str">
        <x:v>LP-008</x:v>
      </x:c>
    </x:row>
    <x:row r="43">
      <x:c r="A43" s="2743" t="str">
        <x:v>COPY-039</x:v>
      </x:c>
      <x:c r="B43" s="1521" t="n">
        <x:v>11</x:v>
      </x:c>
      <x:c r="C43" s="1521" t="str">
        <x:v>情報取扱い</x:v>
      </x:c>
      <x:c r="D43" s="1521" t="str">
        <x:v>同意文</x:v>
      </x:c>
      <x:c r="E43" s="1521" t="str">
        <x:v>入力いただいた情報は、診断、連絡、提案、サービス改善のために利用します。顧客個別情報は通常営業と同等の秘密情報として取り扱い、承認されたAIサービスを利用する場合があります。詳細は入力情報の取扱いをご確認ください。</x:v>
      </x:c>
      <x:c r="F43" s="1521" t="str">
        <x:v>120～160字</x:v>
      </x:c>
      <x:c r="G43" s="1521" t="str">
        <x:v>同じ</x:v>
      </x:c>
      <x:c r="H43" s="1521" t="str">
        <x:v>入力情報の取扱い</x:v>
      </x:c>
      <x:c r="I43" s="1521" t="str">
        <x:v>#privacy</x:v>
      </x:c>
      <x:c r="J43" s="1521" t="str">
        <x:v>送信前同意必須</x:v>
      </x:c>
      <x:c r="K43" s="1521" t="str">
        <x:v>管理責任者</x:v>
      </x:c>
      <x:c r="L43" s="1521" t="str">
        <x:v>1.0</x:v>
      </x:c>
      <x:c r="M43" s="1521" t="str">
        <x:v>確定</x:v>
      </x:c>
      <x:c r="N43" s="1521" t="str"/>
      <x:c r="O43" s="1521" t="str"/>
      <x:c r="P43" s="2744" t="str">
        <x:v>LP-010</x:v>
      </x:c>
    </x:row>
    <x:row r="44">
      <x:c r="A44" s="2745" t="str">
        <x:v>COPY-040</x:v>
      </x:c>
      <x:c r="B44" s="2746" t="n">
        <x:v>12</x:v>
      </x:c>
      <x:c r="C44" s="2746" t="str">
        <x:v>フッター</x:v>
      </x:c>
      <x:c r="D44" s="2746" t="str">
        <x:v>運営表示</x:v>
      </x:c>
      <x:c r="E44" s="2746" t="str">
        <x:v>Energy Doctorは、澤電気機械株式会社が運営する簡易診断サービスです。</x:v>
      </x:c>
      <x:c r="F44" s="2746" t="str">
        <x:v>45～60字</x:v>
      </x:c>
      <x:c r="G44" s="2746" t="str">
        <x:v>同じ</x:v>
      </x:c>
      <x:c r="H44" s="2746" t="str">
        <x:v>澤電気機械公式サイトへ</x:v>
      </x:c>
      <x:c r="I44" s="2746" t="str">
        <x:v>https://www.sawa-em.co.jp/</x:v>
      </x:c>
      <x:c r="J44" s="2746" t="str">
        <x:v>公式性を明示</x:v>
      </x:c>
      <x:c r="K44" s="2746" t="str">
        <x:v>事業責任者</x:v>
      </x:c>
      <x:c r="L44" s="2746" t="str">
        <x:v>1.0</x:v>
      </x:c>
      <x:c r="M44" s="2746" t="str">
        <x:v>確定</x:v>
      </x:c>
      <x:c r="N44" s="2746" t="str"/>
      <x:c r="O44" s="2746" t="str"/>
      <x:c r="P44" s="2747" t="str">
        <x:v>LP-010</x:v>
      </x:c>
    </x:row>
  </x:sheetData>
  <x:mergeCells>
    <x:mergeCell ref="A1:P1"/>
    <x:mergeCell ref="A2:P2"/>
  </x:mergeCells>
  <x:dataValidations count="1">
    <x:dataValidation type="list" sqref="M5:M44">
      <x:formula1>"確定,確認中,修正中,保留"</x:formula1>
    </x:dataValidation>
  </x:dataValidations>
  <x:pageMargins left="0.7" right="0.7" top="0.75" bottom="0.75" header="0.3" footer="0.3"/>
</x:worksheet>
</file>

<file path=xl/worksheets/sheet68.xml><?xml version="1.0" encoding="utf-8"?>
<x:worksheet xmlns:x="http://schemas.openxmlformats.org/spreadsheetml/2006/main">
  <x:sheetFormatPr defaultRowHeight="15"/>
  <x:cols>
    <x:col min="1" max="1" width="12" hidden="0" customWidth="1"/>
    <x:col min="2" max="2" width="16" hidden="0" customWidth="1"/>
    <x:col min="3" max="3" width="18" hidden="0" customWidth="1"/>
    <x:col min="4" max="4" width="42" hidden="0" customWidth="1"/>
    <x:col min="5" max="5" width="34" hidden="0" customWidth="1"/>
    <x:col min="6" max="6" width="12" hidden="0" customWidth="1"/>
    <x:col min="7" max="7" width="20" hidden="0" customWidth="1"/>
    <x:col min="8" max="8" width="20" hidden="0" customWidth="1"/>
    <x:col min="9" max="9" width="20" hidden="0" customWidth="1"/>
    <x:col min="10" max="10" width="20" hidden="0" customWidth="1"/>
    <x:col min="11" max="11" width="20" hidden="0" customWidth="1"/>
    <x:col min="12" max="12" width="24" hidden="0" customWidth="1"/>
    <x:col min="13" max="13" width="14" hidden="0" customWidth="1"/>
    <x:col min="14" max="14" width="14" hidden="0" customWidth="1"/>
    <x:col min="15" max="15" width="22" hidden="0" customWidth="1"/>
    <x:col min="16" max="16" width="14" hidden="0" customWidth="1"/>
  </x:cols>
  <x:sheetData>
    <x:row r="1" ht="30" customHeight="1">
      <x:c r="A1" s="2401" t="str">
        <x:v>67_LP実装注記</x:v>
      </x:c>
      <x:c r="B1" s="2401"/>
      <x:c r="C1" s="2401"/>
      <x:c r="D1" s="2401"/>
      <x:c r="E1" s="2401"/>
      <x:c r="F1" s="2401"/>
      <x:c r="G1" s="2401"/>
      <x:c r="H1" s="2401"/>
      <x:c r="I1" s="2401"/>
      <x:c r="J1" s="2401"/>
      <x:c r="K1" s="2401"/>
      <x:c r="L1" s="2401"/>
      <x:c r="M1" s="2401"/>
      <x:c r="N1" s="2401"/>
      <x:c r="O1" s="2401"/>
      <x:c r="P1" s="2401"/>
    </x:row>
    <x:row r="2" ht="38" customHeight="1">
      <x:c r="A2" s="2404" t="str">
        <x:v>ワイヤーフレームと完成稿をWeb実装へ渡す際の、画面動作・レスポンシブ・状態切替・計測・アクセシビリティ上の注記。</x:v>
      </x:c>
      <x:c r="B2" s="2404"/>
      <x:c r="C2" s="2404"/>
      <x:c r="D2" s="2404"/>
      <x:c r="E2" s="2404"/>
      <x:c r="F2" s="2404"/>
      <x:c r="G2" s="2404"/>
      <x:c r="H2" s="2404"/>
      <x:c r="I2" s="2404"/>
      <x:c r="J2" s="2404"/>
      <x:c r="K2" s="2404"/>
      <x:c r="L2" s="2404"/>
      <x:c r="M2" s="2404"/>
      <x:c r="N2" s="2404"/>
      <x:c r="O2" s="2404"/>
      <x:c r="P2" s="2404"/>
    </x:row>
    <x:row r="4" ht="38" customHeight="1">
      <x:c r="A4" s="2721" t="str">
        <x:v>注記ID</x:v>
      </x:c>
      <x:c r="B4" s="2722" t="str">
        <x:v>分類</x:v>
      </x:c>
      <x:c r="C4" s="2722" t="str">
        <x:v>対象</x:v>
      </x:c>
      <x:c r="D4" s="2722" t="str">
        <x:v>実装要件</x:v>
      </x:c>
      <x:c r="E4" s="2722" t="str">
        <x:v>受入条件</x:v>
      </x:c>
      <x:c r="F4" s="2722" t="str">
        <x:v>優先度</x:v>
      </x:c>
      <x:c r="G4" s="2722" t="str">
        <x:v>担当</x:v>
      </x:c>
      <x:c r="H4" s="2722" t="str">
        <x:v>受付期間外</x:v>
      </x:c>
      <x:c r="I4" s="2722" t="str">
        <x:v>社内テスト</x:v>
      </x:c>
      <x:c r="J4" s="2722" t="str">
        <x:v>受付開始</x:v>
      </x:c>
      <x:c r="K4" s="2722" t="str">
        <x:v>一時停止</x:v>
      </x:c>
      <x:c r="L4" s="2722" t="str">
        <x:v>証跡</x:v>
      </x:c>
      <x:c r="M4" s="2722" t="str">
        <x:v>状態</x:v>
      </x:c>
      <x:c r="N4" s="2722" t="str">
        <x:v>確認日</x:v>
      </x:c>
      <x:c r="O4" s="2722" t="str">
        <x:v>備考</x:v>
      </x:c>
      <x:c r="P4" s="2723" t="str">
        <x:v>参照</x:v>
      </x:c>
    </x:row>
    <x:row r="5">
      <x:c r="A5" s="2740" t="str">
        <x:v>IMP-001</x:v>
      </x:c>
      <x:c r="B5" s="2741" t="str">
        <x:v>表示</x:v>
      </x:c>
      <x:c r="C5" s="2741" t="str">
        <x:v>ヘッダー</x:v>
      </x:c>
      <x:c r="D5" s="2741" t="str">
        <x:v>スクロール後も主要導線を確認できる。スマホはメニュー化。</x:v>
      </x:c>
      <x:c r="E5" s="2741" t="str">
        <x:v>主要CTAと公式サイトリンクが迷わず見つかる</x:v>
      </x:c>
      <x:c r="F5" s="2741" t="str">
        <x:v>S</x:v>
      </x:c>
      <x:c r="G5" s="2741" t="str">
        <x:v>LP担当</x:v>
      </x:c>
      <x:c r="H5" s="2741" t="str">
        <x:v>CTA無効</x:v>
      </x:c>
      <x:c r="I5" s="2741" t="str">
        <x:v>テストCTA</x:v>
      </x:c>
      <x:c r="J5" s="2741" t="str">
        <x:v>CTA有効</x:v>
      </x:c>
      <x:c r="K5" s="2741" t="str">
        <x:v>CTA無効</x:v>
      </x:c>
      <x:c r="L5" s="2741" t="str">
        <x:v>画面</x:v>
      </x:c>
      <x:c r="M5" s="2741" t="str">
        <x:v>未着手</x:v>
      </x:c>
      <x:c r="N5" s="2741" t="str"/>
      <x:c r="O5" s="2741" t="str"/>
      <x:c r="P5" s="2742" t="str">
        <x:v>65/57</x:v>
      </x:c>
    </x:row>
    <x:row r="6">
      <x:c r="A6" s="2743" t="str">
        <x:v>IMP-002</x:v>
      </x:c>
      <x:c r="B6" s="1521" t="str">
        <x:v>表示</x:v>
      </x:c>
      <x:c r="C6" s="1521" t="str">
        <x:v>ファーストビュー</x:v>
      </x:c>
      <x:c r="D6" s="1521" t="str">
        <x:v>見出し・説明・主要CTA・受付状態を1画面内に配置。</x:v>
      </x:c>
      <x:c r="E6" s="1521" t="str">
        <x:v>PC/スマホで見切れず、受付状態が即時に分かる</x:v>
      </x:c>
      <x:c r="F6" s="1521" t="str">
        <x:v>S</x:v>
      </x:c>
      <x:c r="G6" s="1521" t="str">
        <x:v>LP担当</x:v>
      </x:c>
      <x:c r="H6" s="1521" t="str">
        <x:v>MSG-001</x:v>
      </x:c>
      <x:c r="I6" s="1521" t="str">
        <x:v>限定導線</x:v>
      </x:c>
      <x:c r="J6" s="1521" t="str">
        <x:v>MSG-002</x:v>
      </x:c>
      <x:c r="K6" s="1521" t="str">
        <x:v>停止文</x:v>
      </x:c>
      <x:c r="L6" s="1521" t="str">
        <x:v>画面</x:v>
      </x:c>
      <x:c r="M6" s="1521" t="str">
        <x:v>未着手</x:v>
      </x:c>
      <x:c r="N6" s="1521" t="str"/>
      <x:c r="O6" s="1521" t="str"/>
      <x:c r="P6" s="2744" t="str">
        <x:v>65/59</x:v>
      </x:c>
    </x:row>
    <x:row r="7">
      <x:c r="A7" s="2743" t="str">
        <x:v>IMP-003</x:v>
      </x:c>
      <x:c r="B7" s="1521" t="str">
        <x:v>レスポンシブ</x:v>
      </x:c>
      <x:c r="C7" s="1521" t="str">
        <x:v>全体</x:v>
      </x:c>
      <x:c r="D7" s="1521" t="str">
        <x:v>PCは2～4列、スマホは原則1列。文字サイズ・タップ領域を確保。</x:v>
      </x:c>
      <x:c r="E7" s="1521" t="str">
        <x:v>iPhone/Edge/Chromeで操作不能なし</x:v>
      </x:c>
      <x:c r="F7" s="1521" t="str">
        <x:v>A</x:v>
      </x:c>
      <x:c r="G7" s="1521" t="str">
        <x:v>LP担当</x:v>
      </x:c>
      <x:c r="H7" s="1521" t="str">
        <x:v>同じ</x:v>
      </x:c>
      <x:c r="I7" s="1521" t="str">
        <x:v>同じ</x:v>
      </x:c>
      <x:c r="J7" s="1521" t="str">
        <x:v>同じ</x:v>
      </x:c>
      <x:c r="K7" s="1521" t="str">
        <x:v>同じ</x:v>
      </x:c>
      <x:c r="L7" s="1521" t="str">
        <x:v>端末テスト</x:v>
      </x:c>
      <x:c r="M7" s="1521" t="str">
        <x:v>未着手</x:v>
      </x:c>
      <x:c r="N7" s="1521" t="str"/>
      <x:c r="O7" s="1521" t="str"/>
      <x:c r="P7" s="2744" t="str">
        <x:v>61</x:v>
      </x:c>
    </x:row>
    <x:row r="8">
      <x:c r="A8" s="2743" t="str">
        <x:v>IMP-004</x:v>
      </x:c>
      <x:c r="B8" s="1521" t="str">
        <x:v>CTA</x:v>
      </x:c>
      <x:c r="C8" s="1521" t="str">
        <x:v>診断開始</x:v>
      </x:c>
      <x:c r="D8" s="1521" t="str">
        <x:v>受付状態に応じてCTAの有効・無効・行先を一元切替。</x:v>
      </x:c>
      <x:c r="E8" s="1521" t="str">
        <x:v>受付期間外に一般送信できない</x:v>
      </x:c>
      <x:c r="F8" s="1521" t="str">
        <x:v>S</x:v>
      </x:c>
      <x:c r="G8" s="1521" t="str">
        <x:v>情シス/LP担当</x:v>
      </x:c>
      <x:c r="H8" s="1521" t="str">
        <x:v>無効</x:v>
      </x:c>
      <x:c r="I8" s="1521" t="str">
        <x:v>限定URL</x:v>
      </x:c>
      <x:c r="J8" s="1521" t="str">
        <x:v>フォーム</x:v>
      </x:c>
      <x:c r="K8" s="1521" t="str">
        <x:v>無効</x:v>
      </x:c>
      <x:c r="L8" s="1521" t="str">
        <x:v>切替テスト</x:v>
      </x:c>
      <x:c r="M8" s="1521" t="str">
        <x:v>未着手</x:v>
      </x:c>
      <x:c r="N8" s="1521" t="str"/>
      <x:c r="O8" s="1521" t="str"/>
      <x:c r="P8" s="2744" t="str">
        <x:v>56/60</x:v>
      </x:c>
    </x:row>
    <x:row r="9">
      <x:c r="A9" s="2743" t="str">
        <x:v>IMP-005</x:v>
      </x:c>
      <x:c r="B9" s="1521" t="str">
        <x:v>A3表示</x:v>
      </x:c>
      <x:c r="C9" s="1521" t="str">
        <x:v>サンプル</x:v>
      </x:c>
      <x:c r="D9" s="1521" t="str">
        <x:v>顧客名・実データを使わない架空サンプル。縮小画像＋PDF候補。</x:v>
      </x:c>
      <x:c r="E9" s="1521" t="str">
        <x:v>個別情報なし、主要構成が分かる</x:v>
      </x:c>
      <x:c r="F9" s="1521" t="str">
        <x:v>S</x:v>
      </x:c>
      <x:c r="G9" s="1521" t="str">
        <x:v>診断担当</x:v>
      </x:c>
      <x:c r="H9" s="1521" t="str">
        <x:v>閲覧可</x:v>
      </x:c>
      <x:c r="I9" s="1521" t="str">
        <x:v>閲覧可</x:v>
      </x:c>
      <x:c r="J9" s="1521" t="str">
        <x:v>閲覧可</x:v>
      </x:c>
      <x:c r="K9" s="1521" t="str">
        <x:v>閲覧可</x:v>
      </x:c>
      <x:c r="L9" s="1521" t="str">
        <x:v>サンプル</x:v>
      </x:c>
      <x:c r="M9" s="1521" t="str">
        <x:v>未着手</x:v>
      </x:c>
      <x:c r="N9" s="1521" t="str"/>
      <x:c r="O9" s="1521" t="str"/>
      <x:c r="P9" s="2744" t="str">
        <x:v>LP-002</x:v>
      </x:c>
    </x:row>
    <x:row r="10">
      <x:c r="A10" s="2743" t="str">
        <x:v>IMP-006</x:v>
      </x:c>
      <x:c r="B10" s="1521" t="str">
        <x:v>フォーム</x:v>
      </x:c>
      <x:c r="C10" s="1521" t="str">
        <x:v>入力</x:v>
      </x:c>
      <x:c r="D10" s="1521" t="str">
        <x:v>ファイル添付なし。不明選択可。同意必須。</x:v>
      </x:c>
      <x:c r="E10" s="1521" t="str">
        <x:v>58の必須・形式・文字数テスト合格</x:v>
      </x:c>
      <x:c r="F10" s="1521" t="str">
        <x:v>S</x:v>
      </x:c>
      <x:c r="G10" s="1521" t="str">
        <x:v>情シス/LP担当</x:v>
      </x:c>
      <x:c r="H10" s="1521" t="str">
        <x:v>非表示/停止</x:v>
      </x:c>
      <x:c r="I10" s="1521" t="str">
        <x:v>限定送信</x:v>
      </x:c>
      <x:c r="J10" s="1521" t="str">
        <x:v>一般送信</x:v>
      </x:c>
      <x:c r="K10" s="1521" t="str">
        <x:v>停止</x:v>
      </x:c>
      <x:c r="L10" s="1521" t="str">
        <x:v>テスト記録</x:v>
      </x:c>
      <x:c r="M10" s="1521" t="str">
        <x:v>未着手</x:v>
      </x:c>
      <x:c r="N10" s="1521" t="str"/>
      <x:c r="O10" s="1521" t="str"/>
      <x:c r="P10" s="2744" t="str">
        <x:v>58/61</x:v>
      </x:c>
    </x:row>
    <x:row r="11">
      <x:c r="A11" s="2743" t="str">
        <x:v>IMP-007</x:v>
      </x:c>
      <x:c r="B11" s="1521" t="str">
        <x:v>メール</x:v>
      </x:c>
      <x:c r="C11" s="1521" t="str">
        <x:v>受付通知</x:v>
      </x:c>
      <x:c r="D11" s="1521" t="str">
        <x:v>診断ID、会社名、担当者、受付時刻を社内通知。</x:v>
      </x:c>
      <x:c r="E11" s="1521" t="str">
        <x:v>案件識別と台帳登録が可能</x:v>
      </x:c>
      <x:c r="F11" s="1521" t="str">
        <x:v>S</x:v>
      </x:c>
      <x:c r="G11" s="1521" t="str">
        <x:v>情シス</x:v>
      </x:c>
      <x:c r="H11" s="1521" t="str">
        <x:v>送信なし</x:v>
      </x:c>
      <x:c r="I11" s="1521" t="str">
        <x:v>テスト通知</x:v>
      </x:c>
      <x:c r="J11" s="1521" t="str">
        <x:v>本番通知</x:v>
      </x:c>
      <x:c r="K11" s="1521" t="str">
        <x:v>送信なし</x:v>
      </x:c>
      <x:c r="L11" s="1521" t="str">
        <x:v>メール</x:v>
      </x:c>
      <x:c r="M11" s="1521" t="str">
        <x:v>未着手</x:v>
      </x:c>
      <x:c r="N11" s="1521" t="str"/>
      <x:c r="O11" s="1521" t="str"/>
      <x:c r="P11" s="2744" t="str">
        <x:v>59</x:v>
      </x:c>
    </x:row>
    <x:row r="12">
      <x:c r="A12" s="2743" t="str">
        <x:v>IMP-008</x:v>
      </x:c>
      <x:c r="B12" s="1521" t="str">
        <x:v>計測</x:v>
      </x:c>
      <x:c r="C12" s="1521" t="str">
        <x:v>アクセス解析</x:v>
      </x:c>
      <x:c r="D12" s="1521" t="str">
        <x:v>ページ閲覧、CTAクリック、フォーム開始、送信完了を計測候補。</x:v>
      </x:c>
      <x:c r="E12" s="1521" t="str">
        <x:v>月次KPIを取得可能</x:v>
      </x:c>
      <x:c r="F12" s="1521" t="str">
        <x:v>A</x:v>
      </x:c>
      <x:c r="G12" s="1521" t="str">
        <x:v>情シス/事業</x:v>
      </x:c>
      <x:c r="H12" s="1521" t="str">
        <x:v>閲覧のみ</x:v>
      </x:c>
      <x:c r="I12" s="1521" t="str">
        <x:v>テスト除外候補</x:v>
      </x:c>
      <x:c r="J12" s="1521" t="str">
        <x:v>計測</x:v>
      </x:c>
      <x:c r="K12" s="1521" t="str">
        <x:v>停止記録</x:v>
      </x:c>
      <x:c r="L12" s="1521" t="str">
        <x:v>ログ</x:v>
      </x:c>
      <x:c r="M12" s="1521" t="str">
        <x:v>未着手</x:v>
      </x:c>
      <x:c r="N12" s="1521" t="str"/>
      <x:c r="O12" s="1521" t="str"/>
      <x:c r="P12" s="2744" t="str">
        <x:v>63</x:v>
      </x:c>
    </x:row>
    <x:row r="13">
      <x:c r="A13" s="2743" t="str">
        <x:v>IMP-009</x:v>
      </x:c>
      <x:c r="B13" s="1521" t="str">
        <x:v>アクセシビリティ</x:v>
      </x:c>
      <x:c r="C13" s="1521" t="str">
        <x:v>全体</x:v>
      </x:c>
      <x:c r="D13" s="1521" t="str">
        <x:v>見出し階層、代替テキスト、十分なコントラスト、キーボード操作。</x:v>
      </x:c>
      <x:c r="E13" s="1521" t="str">
        <x:v>主要情報とフォームを支障なく利用可能</x:v>
      </x:c>
      <x:c r="F13" s="1521" t="str">
        <x:v>A</x:v>
      </x:c>
      <x:c r="G13" s="1521" t="str">
        <x:v>LP担当</x:v>
      </x:c>
      <x:c r="H13" s="1521" t="str">
        <x:v>同じ</x:v>
      </x:c>
      <x:c r="I13" s="1521" t="str">
        <x:v>同じ</x:v>
      </x:c>
      <x:c r="J13" s="1521" t="str">
        <x:v>同じ</x:v>
      </x:c>
      <x:c r="K13" s="1521" t="str">
        <x:v>同じ</x:v>
      </x:c>
      <x:c r="L13" s="1521" t="str">
        <x:v>確認記録</x:v>
      </x:c>
      <x:c r="M13" s="1521" t="str">
        <x:v>未着手</x:v>
      </x:c>
      <x:c r="N13" s="1521" t="str"/>
      <x:c r="O13" s="1521" t="str"/>
      <x:c r="P13" s="2744" t="str">
        <x:v>61</x:v>
      </x:c>
    </x:row>
    <x:row r="14">
      <x:c r="A14" s="2743" t="str">
        <x:v>IMP-010</x:v>
      </x:c>
      <x:c r="B14" s="1521" t="str">
        <x:v>SEO</x:v>
      </x:c>
      <x:c r="C14" s="1521" t="str">
        <x:v>公開設定</x:v>
      </x:c>
      <x:c r="D14" s="1521" t="str">
        <x:v>準備中はnoindex候補。受付開始時に検索方針を再確認。</x:v>
      </x:c>
      <x:c r="E14" s="1521" t="str">
        <x:v>意図した検索公開状態</x:v>
      </x:c>
      <x:c r="F14" s="1521" t="str">
        <x:v>B</x:v>
      </x:c>
      <x:c r="G14" s="1521" t="str">
        <x:v>情シス/事業</x:v>
      </x:c>
      <x:c r="H14" s="1521" t="str">
        <x:v>noindex候補</x:v>
      </x:c>
      <x:c r="I14" s="1521" t="str">
        <x:v>noindex</x:v>
      </x:c>
      <x:c r="J14" s="1521" t="str">
        <x:v>方針決定後</x:v>
      </x:c>
      <x:c r="K14" s="1521" t="str">
        <x:v>noindex候補</x:v>
      </x:c>
      <x:c r="L14" s="1521" t="str">
        <x:v>設定画面</x:v>
      </x:c>
      <x:c r="M14" s="1521" t="str">
        <x:v>未着手</x:v>
      </x:c>
      <x:c r="N14" s="1521" t="str"/>
      <x:c r="O14" s="1521" t="str"/>
      <x:c r="P14" s="2744" t="str">
        <x:v>62</x:v>
      </x:c>
    </x:row>
    <x:row r="15">
      <x:c r="A15" s="2743" t="str">
        <x:v>IMP-011</x:v>
      </x:c>
      <x:c r="B15" s="1521" t="str">
        <x:v>相互リンク</x:v>
      </x:c>
      <x:c r="C15" s="1521" t="str">
        <x:v>公式サイト</x:v>
      </x:c>
      <x:c r="D15" s="1521" t="str">
        <x:v>既存サイトからLP、LPから会社概要・問い合わせ・ポリシーへリンク。</x:v>
      </x:c>
      <x:c r="E15" s="1521" t="str">
        <x:v>双方の戻り動線が正常</x:v>
      </x:c>
      <x:c r="F15" s="1521" t="str">
        <x:v>S</x:v>
      </x:c>
      <x:c r="G15" s="1521" t="str">
        <x:v>既存Web/LP担当</x:v>
      </x:c>
      <x:c r="H15" s="1521" t="str">
        <x:v>有効</x:v>
      </x:c>
      <x:c r="I15" s="1521" t="str">
        <x:v>有効</x:v>
      </x:c>
      <x:c r="J15" s="1521" t="str">
        <x:v>有効</x:v>
      </x:c>
      <x:c r="K15" s="1521" t="str">
        <x:v>有効</x:v>
      </x:c>
      <x:c r="L15" s="1521" t="str">
        <x:v>画面</x:v>
      </x:c>
      <x:c r="M15" s="1521" t="str">
        <x:v>未着手</x:v>
      </x:c>
      <x:c r="N15" s="1521" t="str"/>
      <x:c r="O15" s="1521" t="str"/>
      <x:c r="P15" s="2744" t="str">
        <x:v>62</x:v>
      </x:c>
    </x:row>
    <x:row r="16">
      <x:c r="A16" s="2745" t="str">
        <x:v>IMP-012</x:v>
      </x:c>
      <x:c r="B16" s="2746" t="str">
        <x:v>ロールバック</x:v>
      </x:c>
      <x:c r="C16" s="2746" t="str">
        <x:v>受付</x:v>
      </x:c>
      <x:c r="D16" s="2746" t="str">
        <x:v>障害時はフォーム停止と期間外表示へ即時切替。</x:v>
      </x:c>
      <x:c r="E16" s="2746" t="str">
        <x:v>外部端末から送信不可</x:v>
      </x:c>
      <x:c r="F16" s="2746" t="str">
        <x:v>S</x:v>
      </x:c>
      <x:c r="G16" s="2746" t="str">
        <x:v>情シス/LP担当</x:v>
      </x:c>
      <x:c r="H16" s="2746" t="str">
        <x:v>標準</x:v>
      </x:c>
      <x:c r="I16" s="2746" t="str">
        <x:v>標準</x:v>
      </x:c>
      <x:c r="J16" s="2746" t="str">
        <x:v>即時切替可能</x:v>
      </x:c>
      <x:c r="K16" s="2746" t="str">
        <x:v>実行</x:v>
      </x:c>
      <x:c r="L16" s="2746" t="str">
        <x:v>テスト記録</x:v>
      </x:c>
      <x:c r="M16" s="2746" t="str">
        <x:v>未着手</x:v>
      </x:c>
      <x:c r="N16" s="2746" t="str"/>
      <x:c r="O16" s="2746" t="str"/>
      <x:c r="P16" s="2747" t="str">
        <x:v>56/60</x:v>
      </x:c>
    </x:row>
  </x:sheetData>
  <x:mergeCells>
    <x:mergeCell ref="A1:P1"/>
    <x:mergeCell ref="A2:P2"/>
  </x:mergeCells>
  <x:dataValidations count="2">
    <x:dataValidation type="list" sqref="F5:F16">
      <x:formula1>"S,A,B,C"</x:formula1>
    </x:dataValidation>
    <x:dataValidation type="list" sqref="M5:M16">
      <x:formula1>"未着手,確認中,実装中,テスト中,完了,保留"</x:formula1>
    </x:dataValidation>
  </x:dataValidations>
  <x:pageMargins left="0.7" right="0.7" top="0.75" bottom="0.75" header="0.3" footer="0.3"/>
</x:worksheet>
</file>

<file path=xl/worksheets/sheet69.xml><?xml version="1.0" encoding="utf-8"?>
<x:worksheet xmlns:x="http://schemas.openxmlformats.org/spreadsheetml/2006/main">
  <x:sheetFormatPr defaultRowHeight="15"/>
  <x:cols>
    <x:col min="1" max="1" width="12" hidden="0" customWidth="1"/>
    <x:col min="2" max="2" width="16" hidden="0" customWidth="1"/>
    <x:col min="3" max="3" width="38" hidden="0" customWidth="1"/>
    <x:col min="4" max="4" width="18" hidden="0" customWidth="1"/>
    <x:col min="5" max="5" width="42" hidden="0" customWidth="1"/>
    <x:col min="6" max="6" width="12" hidden="0" customWidth="1"/>
    <x:col min="7" max="7" width="12" hidden="0" customWidth="1"/>
    <x:col min="8" max="8" width="20" hidden="0" customWidth="1"/>
    <x:col min="9" max="9" width="20" hidden="0" customWidth="1"/>
    <x:col min="10" max="10" width="22" hidden="0" customWidth="1"/>
    <x:col min="11" max="11" width="28" hidden="0" customWidth="1"/>
    <x:col min="12" max="12" width="26" hidden="0" customWidth="1"/>
    <x:col min="13" max="13" width="10" hidden="0" customWidth="1"/>
    <x:col min="14" max="14" width="14" hidden="0" customWidth="1"/>
    <x:col min="15" max="15" width="18" hidden="0" customWidth="1"/>
    <x:col min="16" max="16" width="22" hidden="0" customWidth="1"/>
  </x:cols>
  <x:sheetData>
    <x:row r="1" ht="30" customHeight="1">
      <x:c r="A1" s="2808" t="str">
        <x:v>68_公開フォーム最小質問セット</x:v>
      </x:c>
      <x:c r="B1" s="2808"/>
      <x:c r="C1" s="2808"/>
      <x:c r="D1" s="2808"/>
      <x:c r="E1" s="2808"/>
      <x:c r="F1" s="2808"/>
      <x:c r="G1" s="2808"/>
      <x:c r="H1" s="2808"/>
      <x:c r="I1" s="2808"/>
      <x:c r="J1" s="2808"/>
      <x:c r="K1" s="2808"/>
      <x:c r="L1" s="2808"/>
      <x:c r="M1" s="2808"/>
      <x:c r="N1" s="2808"/>
      <x:c r="O1" s="2808"/>
      <x:c r="P1" s="2808"/>
    </x:row>
    <x:row r="2" ht="38" customHeight="1">
      <x:c r="A2" s="2811" t="str">
        <x:v>初期公開で10～15分程度を目標とする、4分野横断の最小質問セット。詳細診断は個別フォローで補完する。</x:v>
      </x:c>
      <x:c r="B2" s="2811"/>
      <x:c r="C2" s="2811"/>
      <x:c r="D2" s="2811"/>
      <x:c r="E2" s="2811"/>
      <x:c r="F2" s="2811"/>
      <x:c r="G2" s="2811"/>
      <x:c r="H2" s="2811"/>
      <x:c r="I2" s="2811"/>
      <x:c r="J2" s="2811"/>
      <x:c r="K2" s="2811"/>
      <x:c r="L2" s="2811"/>
      <x:c r="M2" s="2811"/>
      <x:c r="N2" s="2811"/>
      <x:c r="O2" s="2811"/>
      <x:c r="P2" s="2811"/>
    </x:row>
    <x:row r="4" ht="38" customHeight="1">
      <x:c r="A4" s="2823" t="str">
        <x:v>Web質問ID</x:v>
      </x:c>
      <x:c r="B4" s="2824" t="str">
        <x:v>分野</x:v>
      </x:c>
      <x:c r="C4" s="2824" t="str">
        <x:v>質問文</x:v>
      </x:c>
      <x:c r="D4" s="2824" t="str">
        <x:v>回答形式</x:v>
      </x:c>
      <x:c r="E4" s="2824" t="str">
        <x:v>選択肢</x:v>
      </x:c>
      <x:c r="F4" s="2824" t="str">
        <x:v>必須</x:v>
      </x:c>
      <x:c r="G4" s="2824" t="str">
        <x:v>不明可</x:v>
      </x:c>
      <x:c r="H4" s="2824" t="str">
        <x:v>主な指標</x:v>
      </x:c>
      <x:c r="I4" s="2824" t="str">
        <x:v>Guardrail</x:v>
      </x:c>
      <x:c r="J4" s="2824" t="str">
        <x:v>LP表示名</x:v>
      </x:c>
      <x:c r="K4" s="2824" t="str">
        <x:v>補足説明</x:v>
      </x:c>
      <x:c r="L4" s="2824" t="str">
        <x:v>詳細質問への接続</x:v>
      </x:c>
      <x:c r="M4" s="2824" t="str">
        <x:v>表示順</x:v>
      </x:c>
      <x:c r="N4" s="2824" t="str">
        <x:v>状態</x:v>
      </x:c>
      <x:c r="O4" s="2824" t="str">
        <x:v>承認者</x:v>
      </x:c>
      <x:c r="P4" s="2825" t="str">
        <x:v>備考</x:v>
      </x:c>
    </x:row>
    <x:row r="5">
      <x:c r="A5" s="2842" t="str">
        <x:v>WQ-001</x:v>
      </x:c>
      <x:c r="B5" s="2843" t="str">
        <x:v>基本</x:v>
      </x:c>
      <x:c r="C5" s="2843" t="str">
        <x:v>今回、最も確認したいテーマを選択してください。</x:v>
      </x:c>
      <x:c r="D5" s="2843" t="str">
        <x:v>複数選択</x:v>
      </x:c>
      <x:c r="E5" s="2843" t="str">
        <x:v>設備更新／省エネ／保全／建屋環境／投資優先順位／その他</x:v>
      </x:c>
      <x:c r="F5" s="2843" t="str">
        <x:v>必須</x:v>
      </x:c>
      <x:c r="G5" s="2843" t="str">
        <x:v>不可</x:v>
      </x:c>
      <x:c r="H5" s="2843" t="str">
        <x:v>DRI/EPI</x:v>
      </x:c>
      <x:c r="I5" s="2843" t="str">
        <x:v>なし</x:v>
      </x:c>
      <x:c r="J5" s="2843" t="str">
        <x:v>診断の目的</x:v>
      </x:c>
      <x:c r="K5" s="2843" t="str">
        <x:v>複数選択可</x:v>
      </x:c>
      <x:c r="L5" s="2843" t="str">
        <x:v>個別フォロー項目へ接続</x:v>
      </x:c>
      <x:c r="M5" s="2843" t="n">
        <x:v>1</x:v>
      </x:c>
      <x:c r="N5" s="2843" t="str">
        <x:v>確定</x:v>
      </x:c>
      <x:c r="O5" s="2843" t="str"/>
      <x:c r="P5" s="2844" t="str"/>
    </x:row>
    <x:row r="6">
      <x:c r="A6" s="2845" t="str">
        <x:v>WQ-101</x:v>
      </x:c>
      <x:c r="B6" s="1521" t="str">
        <x:v>設備</x:v>
      </x:c>
      <x:c r="C6" s="1521" t="str">
        <x:v>主要設備の導入時期または経過年数を把握していますか。</x:v>
      </x:c>
      <x:c r="D6" s="1521" t="str">
        <x:v>単一選択</x:v>
      </x:c>
      <x:c r="E6" s="1521" t="str">
        <x:v>把握している／一部把握／ほとんど把握していない／不明</x:v>
      </x:c>
      <x:c r="F6" s="1521" t="str">
        <x:v>必須</x:v>
      </x:c>
      <x:c r="G6" s="1521" t="str">
        <x:v>可</x:v>
      </x:c>
      <x:c r="H6" s="1521" t="str">
        <x:v>EDI/DRI</x:v>
      </x:c>
      <x:c r="I6" s="1521" t="str">
        <x:v>EOL候補</x:v>
      </x:c>
      <x:c r="J6" s="1521" t="str">
        <x:v>設備の年式</x:v>
      </x:c>
      <x:c r="K6" s="1521" t="str">
        <x:v>主要設備を基準に回答</x:v>
      </x:c>
      <x:c r="L6" s="1521" t="str">
        <x:v>設備台帳・型式確認へ</x:v>
      </x:c>
      <x:c r="M6" s="1521" t="n">
        <x:v>2</x:v>
      </x:c>
      <x:c r="N6" s="1521" t="str">
        <x:v>確定</x:v>
      </x:c>
      <x:c r="O6" s="1521" t="str"/>
      <x:c r="P6" s="2846" t="str"/>
    </x:row>
    <x:row r="7">
      <x:c r="A7" s="2845" t="str">
        <x:v>WQ-102</x:v>
      </x:c>
      <x:c r="B7" s="1521" t="str">
        <x:v>設備</x:v>
      </x:c>
      <x:c r="C7" s="1521" t="str">
        <x:v>故障や停止の履歴を記録し、傾向を確認していますか。</x:v>
      </x:c>
      <x:c r="D7" s="1521" t="str">
        <x:v>単一選択</x:v>
      </x:c>
      <x:c r="E7" s="1521" t="str">
        <x:v>定期的に確認／記録のみ／記録なし／不明</x:v>
      </x:c>
      <x:c r="F7" s="1521" t="str">
        <x:v>必須</x:v>
      </x:c>
      <x:c r="G7" s="1521" t="str">
        <x:v>可</x:v>
      </x:c>
      <x:c r="H7" s="1521" t="str">
        <x:v>EDI/DRI</x:v>
      </x:c>
      <x:c r="I7" s="1521" t="str">
        <x:v>重大故障候補</x:v>
      </x:c>
      <x:c r="J7" s="1521" t="str">
        <x:v>故障履歴</x:v>
      </x:c>
      <x:c r="K7" s="1521" t="str">
        <x:v>過去1～3年を想定</x:v>
      </x:c>
      <x:c r="L7" s="1521" t="str">
        <x:v>停止履歴・保全記録へ</x:v>
      </x:c>
      <x:c r="M7" s="1521" t="n">
        <x:v>3</x:v>
      </x:c>
      <x:c r="N7" s="1521" t="str">
        <x:v>確定</x:v>
      </x:c>
      <x:c r="O7" s="1521" t="str"/>
      <x:c r="P7" s="2846" t="str"/>
    </x:row>
    <x:row r="8">
      <x:c r="A8" s="2845" t="str">
        <x:v>WQ-103</x:v>
      </x:c>
      <x:c r="B8" s="1521" t="str">
        <x:v>設備</x:v>
      </x:c>
      <x:c r="C8" s="1521" t="str">
        <x:v>生産や業務を止める可能性がある重要設備に、代替手段がありますか。</x:v>
      </x:c>
      <x:c r="D8" s="1521" t="str">
        <x:v>単一選択</x:v>
      </x:c>
      <x:c r="E8" s="1521" t="str">
        <x:v>十分ある／一部ある／ない／不明</x:v>
      </x:c>
      <x:c r="F8" s="1521" t="str">
        <x:v>必須</x:v>
      </x:c>
      <x:c r="G8" s="1521" t="str">
        <x:v>可</x:v>
      </x:c>
      <x:c r="H8" s="1521" t="str">
        <x:v>EDI/EPI</x:v>
      </x:c>
      <x:c r="I8" s="1521" t="str">
        <x:v>バックアップなし</x:v>
      </x:c>
      <x:c r="J8" s="1521" t="str">
        <x:v>代替手段</x:v>
      </x:c>
      <x:c r="K8" s="1521" t="str">
        <x:v>予備機・迂回運転等を含む</x:v>
      </x:c>
      <x:c r="L8" s="1521" t="str">
        <x:v>BCP・予備品確認へ</x:v>
      </x:c>
      <x:c r="M8" s="1521" t="n">
        <x:v>4</x:v>
      </x:c>
      <x:c r="N8" s="1521" t="str">
        <x:v>確定</x:v>
      </x:c>
      <x:c r="O8" s="1521" t="str"/>
      <x:c r="P8" s="2846" t="str"/>
    </x:row>
    <x:row r="9">
      <x:c r="A9" s="2845" t="str">
        <x:v>WQ-104</x:v>
      </x:c>
      <x:c r="B9" s="1521" t="str">
        <x:v>設備</x:v>
      </x:c>
      <x:c r="C9" s="1521" t="str">
        <x:v>メーカー保守、交換部品、予備品の入手性を確認していますか。</x:v>
      </x:c>
      <x:c r="D9" s="1521" t="str">
        <x:v>単一選択</x:v>
      </x:c>
      <x:c r="E9" s="1521" t="str">
        <x:v>定期確認／一部確認／未確認／不明</x:v>
      </x:c>
      <x:c r="F9" s="1521" t="str">
        <x:v>必須</x:v>
      </x:c>
      <x:c r="G9" s="1521" t="str">
        <x:v>可</x:v>
      </x:c>
      <x:c r="H9" s="1521" t="str">
        <x:v>EDI/DRI/EPI</x:v>
      </x:c>
      <x:c r="I9" s="1521" t="str">
        <x:v>EOL・部品供給</x:v>
      </x:c>
      <x:c r="J9" s="1521" t="str">
        <x:v>保守・予備品</x:v>
      </x:c>
      <x:c r="K9" s="1521" t="str">
        <x:v>主要設備を基準に回答</x:v>
      </x:c>
      <x:c r="L9" s="1521" t="str">
        <x:v>型式・メーカー確認へ</x:v>
      </x:c>
      <x:c r="M9" s="1521" t="n">
        <x:v>5</x:v>
      </x:c>
      <x:c r="N9" s="1521" t="str">
        <x:v>確定</x:v>
      </x:c>
      <x:c r="O9" s="1521" t="str"/>
      <x:c r="P9" s="2846" t="str"/>
    </x:row>
    <x:row r="10">
      <x:c r="A10" s="2845" t="str">
        <x:v>WQ-201</x:v>
      </x:c>
      <x:c r="B10" s="1521" t="str">
        <x:v>エネルギー</x:v>
      </x:c>
      <x:c r="C10" s="1521" t="str">
        <x:v>月別の電力使用量と最大需要電力を確認していますか。</x:v>
      </x:c>
      <x:c r="D10" s="1521" t="str">
        <x:v>単一選択</x:v>
      </x:c>
      <x:c r="E10" s="1521" t="str">
        <x:v>毎月確認／年数回確認／請求額のみ／未確認／不明</x:v>
      </x:c>
      <x:c r="F10" s="1521" t="str">
        <x:v>必須</x:v>
      </x:c>
      <x:c r="G10" s="1521" t="str">
        <x:v>可</x:v>
      </x:c>
      <x:c r="H10" s="1521" t="str">
        <x:v>DRI/EPI</x:v>
      </x:c>
      <x:c r="I10" s="1521" t="str">
        <x:v>なし</x:v>
      </x:c>
      <x:c r="J10" s="1521" t="str">
        <x:v>電力の見える化</x:v>
      </x:c>
      <x:c r="K10" s="1521" t="str">
        <x:v>請求書・計測データを含む</x:v>
      </x:c>
      <x:c r="L10" s="1521" t="str">
        <x:v>電力データ提出へ</x:v>
      </x:c>
      <x:c r="M10" s="1521" t="n">
        <x:v>6</x:v>
      </x:c>
      <x:c r="N10" s="1521" t="str">
        <x:v>確定</x:v>
      </x:c>
      <x:c r="O10" s="1521" t="str"/>
      <x:c r="P10" s="2846" t="str"/>
    </x:row>
    <x:row r="11">
      <x:c r="A11" s="2845" t="str">
        <x:v>WQ-202</x:v>
      </x:c>
      <x:c r="B11" s="1521" t="str">
        <x:v>エネルギー</x:v>
      </x:c>
      <x:c r="C11" s="1521" t="str">
        <x:v>設備別・工程別・時間帯別の電力使用を把握していますか。</x:v>
      </x:c>
      <x:c r="D11" s="1521" t="str">
        <x:v>単一選択</x:v>
      </x:c>
      <x:c r="E11" s="1521" t="str">
        <x:v>詳細に把握／一部把握／全体のみ／未把握／不明</x:v>
      </x:c>
      <x:c r="F11" s="1521" t="str">
        <x:v>必須</x:v>
      </x:c>
      <x:c r="G11" s="1521" t="str">
        <x:v>可</x:v>
      </x:c>
      <x:c r="H11" s="1521" t="str">
        <x:v>DRI</x:v>
      </x:c>
      <x:c r="I11" s="1521" t="str">
        <x:v>なし</x:v>
      </x:c>
      <x:c r="J11" s="1521" t="str">
        <x:v>使用内訳</x:v>
      </x:c>
      <x:c r="K11" s="1521" t="str">
        <x:v>サブメーター等を含む</x:v>
      </x:c>
      <x:c r="L11" s="1521" t="str">
        <x:v>計測点・負荷分析へ</x:v>
      </x:c>
      <x:c r="M11" s="1521" t="n">
        <x:v>7</x:v>
      </x:c>
      <x:c r="N11" s="1521" t="str">
        <x:v>確定</x:v>
      </x:c>
      <x:c r="O11" s="1521" t="str"/>
      <x:c r="P11" s="2846" t="str"/>
    </x:row>
    <x:row r="12">
      <x:c r="A12" s="2845" t="str">
        <x:v>WQ-203</x:v>
      </x:c>
      <x:c r="B12" s="1521" t="str">
        <x:v>エネルギー</x:v>
      </x:c>
      <x:c r="C12" s="1521" t="str">
        <x:v>電力使用量やデマンドに異常があった場合、原因を確認できますか。</x:v>
      </x:c>
      <x:c r="D12" s="1521" t="str">
        <x:v>単一選択</x:v>
      </x:c>
      <x:c r="E12" s="1521" t="str">
        <x:v>迅速に確認／時間をかければ確認／困難／不明</x:v>
      </x:c>
      <x:c r="F12" s="1521" t="str">
        <x:v>必須</x:v>
      </x:c>
      <x:c r="G12" s="1521" t="str">
        <x:v>可</x:v>
      </x:c>
      <x:c r="H12" s="1521" t="str">
        <x:v>DRI/EPI</x:v>
      </x:c>
      <x:c r="I12" s="1521" t="str">
        <x:v>なし</x:v>
      </x:c>
      <x:c r="J12" s="1521" t="str">
        <x:v>異常時の確認</x:v>
      </x:c>
      <x:c r="K12" s="1521" t="str">
        <x:v>原因特定までの実態で回答</x:v>
      </x:c>
      <x:c r="L12" s="1521" t="str">
        <x:v>監視・アラーム確認へ</x:v>
      </x:c>
      <x:c r="M12" s="1521" t="n">
        <x:v>8</x:v>
      </x:c>
      <x:c r="N12" s="1521" t="str">
        <x:v>確定</x:v>
      </x:c>
      <x:c r="O12" s="1521" t="str"/>
      <x:c r="P12" s="2846" t="str"/>
    </x:row>
    <x:row r="13">
      <x:c r="A13" s="2845" t="str">
        <x:v>WQ-204</x:v>
      </x:c>
      <x:c r="B13" s="1521" t="str">
        <x:v>エネルギー</x:v>
      </x:c>
      <x:c r="C13" s="1521" t="str">
        <x:v>直近3年以内に省エネ改善を実施しましたか。</x:v>
      </x:c>
      <x:c r="D13" s="1521" t="str">
        <x:v>単一選択</x:v>
      </x:c>
      <x:c r="E13" s="1521" t="str">
        <x:v>複数実施／一部実施／検討のみ／未実施／不明</x:v>
      </x:c>
      <x:c r="F13" s="1521" t="str">
        <x:v>必須</x:v>
      </x:c>
      <x:c r="G13" s="1521" t="str">
        <x:v>可</x:v>
      </x:c>
      <x:c r="H13" s="1521" t="str">
        <x:v>EDI/EPI</x:v>
      </x:c>
      <x:c r="I13" s="1521" t="str">
        <x:v>補助金期限候補</x:v>
      </x:c>
      <x:c r="J13" s="1521" t="str">
        <x:v>改善活動</x:v>
      </x:c>
      <x:c r="K13" s="1521" t="str">
        <x:v>運用改善と設備更新を含む</x:v>
      </x:c>
      <x:c r="L13" s="1521" t="str">
        <x:v>改善履歴・効果確認へ</x:v>
      </x:c>
      <x:c r="M13" s="1521" t="n">
        <x:v>9</x:v>
      </x:c>
      <x:c r="N13" s="1521" t="str">
        <x:v>確定</x:v>
      </x:c>
      <x:c r="O13" s="1521" t="str"/>
      <x:c r="P13" s="2846" t="str"/>
    </x:row>
    <x:row r="14">
      <x:c r="A14" s="2845" t="str">
        <x:v>WQ-301</x:v>
      </x:c>
      <x:c r="B14" s="1521" t="str">
        <x:v>建屋・環境</x:v>
      </x:c>
      <x:c r="C14" s="1521" t="str">
        <x:v>結露、雨漏り、暑熱、寒冷、粉じん等の作業環境課題がありますか。</x:v>
      </x:c>
      <x:c r="D14" s="1521" t="str">
        <x:v>複数選択</x:v>
      </x:c>
      <x:c r="E14" s="1521" t="str">
        <x:v>結露／雨漏り／暑熱／寒冷／粉じん・臭気／特になし／不明</x:v>
      </x:c>
      <x:c r="F14" s="1521" t="str">
        <x:v>必須</x:v>
      </x:c>
      <x:c r="G14" s="1521" t="str">
        <x:v>可</x:v>
      </x:c>
      <x:c r="H14" s="1521" t="str">
        <x:v>EDI/EPI</x:v>
      </x:c>
      <x:c r="I14" s="1521" t="str">
        <x:v>安全・品質候補</x:v>
      </x:c>
      <x:c r="J14" s="1521" t="str">
        <x:v>建屋・環境課題</x:v>
      </x:c>
      <x:c r="K14" s="1521" t="str">
        <x:v>該当するものを選択</x:v>
      </x:c>
      <x:c r="L14" s="1521" t="str">
        <x:v>現地写真・調査へ</x:v>
      </x:c>
      <x:c r="M14" s="1521" t="n">
        <x:v>10</x:v>
      </x:c>
      <x:c r="N14" s="1521" t="str">
        <x:v>確定</x:v>
      </x:c>
      <x:c r="O14" s="1521" t="str"/>
      <x:c r="P14" s="2846" t="str"/>
    </x:row>
    <x:row r="15">
      <x:c r="A15" s="2845" t="str">
        <x:v>WQ-302</x:v>
      </x:c>
      <x:c r="B15" s="1521" t="str">
        <x:v>建屋・環境</x:v>
      </x:c>
      <x:c r="C15" s="1521" t="str">
        <x:v>屋根、外壁、天井、床等の劣化状況を定期的に確認していますか。</x:v>
      </x:c>
      <x:c r="D15" s="1521" t="str">
        <x:v>単一選択</x:v>
      </x:c>
      <x:c r="E15" s="1521" t="str">
        <x:v>定期点検／問題時のみ／ほとんど未確認／不明</x:v>
      </x:c>
      <x:c r="F15" s="1521" t="str">
        <x:v>必須</x:v>
      </x:c>
      <x:c r="G15" s="1521" t="str">
        <x:v>可</x:v>
      </x:c>
      <x:c r="H15" s="1521" t="str">
        <x:v>EDI/DRI</x:v>
      </x:c>
      <x:c r="I15" s="1521" t="str">
        <x:v>安全候補</x:v>
      </x:c>
      <x:c r="J15" s="1521" t="str">
        <x:v>建屋点検</x:v>
      </x:c>
      <x:c r="K15" s="1521" t="str">
        <x:v>法定点検以外も含む</x:v>
      </x:c>
      <x:c r="L15" s="1521" t="str">
        <x:v>点検記録・写真へ</x:v>
      </x:c>
      <x:c r="M15" s="1521" t="n">
        <x:v>11</x:v>
      </x:c>
      <x:c r="N15" s="1521" t="str">
        <x:v>確定</x:v>
      </x:c>
      <x:c r="O15" s="1521" t="str"/>
      <x:c r="P15" s="2846" t="str"/>
    </x:row>
    <x:row r="16">
      <x:c r="A16" s="2845" t="str">
        <x:v>WQ-303</x:v>
      </x:c>
      <x:c r="B16" s="1521" t="str">
        <x:v>建屋・環境</x:v>
      </x:c>
      <x:c r="C16" s="1521" t="str">
        <x:v>建屋環境の課題が、品質、設備停止、作業者負担に影響していますか。</x:v>
      </x:c>
      <x:c r="D16" s="1521" t="str">
        <x:v>単一選択</x:v>
      </x:c>
      <x:c r="E16" s="1521" t="str">
        <x:v>明確な影響あり／影響の可能性／影響なし／不明</x:v>
      </x:c>
      <x:c r="F16" s="1521" t="str">
        <x:v>必須</x:v>
      </x:c>
      <x:c r="G16" s="1521" t="str">
        <x:v>可</x:v>
      </x:c>
      <x:c r="H16" s="1521" t="str">
        <x:v>EDI/EPI</x:v>
      </x:c>
      <x:c r="I16" s="1521" t="str">
        <x:v>安全・品質</x:v>
      </x:c>
      <x:c r="J16" s="1521" t="str">
        <x:v>事業への影響</x:v>
      </x:c>
      <x:c r="K16" s="1521" t="str">
        <x:v>複数影響がある場合は最も大きいもの</x:v>
      </x:c>
      <x:c r="L16" s="1521" t="str">
        <x:v>現地ヒアリングへ</x:v>
      </x:c>
      <x:c r="M16" s="1521" t="n">
        <x:v>12</x:v>
      </x:c>
      <x:c r="N16" s="1521" t="str">
        <x:v>確定</x:v>
      </x:c>
      <x:c r="O16" s="1521" t="str"/>
      <x:c r="P16" s="2846" t="str"/>
    </x:row>
    <x:row r="17">
      <x:c r="A17" s="2845" t="str">
        <x:v>WQ-401</x:v>
      </x:c>
      <x:c r="B17" s="1521" t="str">
        <x:v>管理・運用</x:v>
      </x:c>
      <x:c r="C17" s="1521" t="str">
        <x:v>設備、エネルギー、建屋の課題を一元的に整理する担当者または会議がありますか。</x:v>
      </x:c>
      <x:c r="D17" s="1521" t="str">
        <x:v>単一選択</x:v>
      </x:c>
      <x:c r="E17" s="1521" t="str">
        <x:v>明確にある／一部ある／ない／不明</x:v>
      </x:c>
      <x:c r="F17" s="1521" t="str">
        <x:v>必須</x:v>
      </x:c>
      <x:c r="G17" s="1521" t="str">
        <x:v>可</x:v>
      </x:c>
      <x:c r="H17" s="1521" t="str">
        <x:v>DRI</x:v>
      </x:c>
      <x:c r="I17" s="1521" t="str">
        <x:v>なし</x:v>
      </x:c>
      <x:c r="J17" s="1521" t="str">
        <x:v>管理体制</x:v>
      </x:c>
      <x:c r="K17" s="1521" t="str">
        <x:v>部門横断の仕組みを含む</x:v>
      </x:c>
      <x:c r="L17" s="1521" t="str">
        <x:v>RACI・会議体確認へ</x:v>
      </x:c>
      <x:c r="M17" s="1521" t="n">
        <x:v>13</x:v>
      </x:c>
      <x:c r="N17" s="1521" t="str">
        <x:v>確定</x:v>
      </x:c>
      <x:c r="O17" s="1521" t="str"/>
      <x:c r="P17" s="2846" t="str"/>
    </x:row>
    <x:row r="18">
      <x:c r="A18" s="2845" t="str">
        <x:v>WQ-402</x:v>
      </x:c>
      <x:c r="B18" s="1521" t="str">
        <x:v>管理・運用</x:v>
      </x:c>
      <x:c r="C18" s="1521" t="str">
        <x:v>課題の優先順位を決める共通基準がありますか。</x:v>
      </x:c>
      <x:c r="D18" s="1521" t="str">
        <x:v>単一選択</x:v>
      </x:c>
      <x:c r="E18" s="1521" t="str">
        <x:v>明文化済み／慣例で判断／担当者ごと／基準なし／不明</x:v>
      </x:c>
      <x:c r="F18" s="1521" t="str">
        <x:v>必須</x:v>
      </x:c>
      <x:c r="G18" s="1521" t="str">
        <x:v>可</x:v>
      </x:c>
      <x:c r="H18" s="1521" t="str">
        <x:v>DRI/EPI</x:v>
      </x:c>
      <x:c r="I18" s="1521" t="str">
        <x:v>なし</x:v>
      </x:c>
      <x:c r="J18" s="1521" t="str">
        <x:v>判断基準</x:v>
      </x:c>
      <x:c r="K18" s="1521" t="str">
        <x:v>安全・品質・費用・期限等</x:v>
      </x:c>
      <x:c r="L18" s="1521" t="str">
        <x:v>評価基準設計へ</x:v>
      </x:c>
      <x:c r="M18" s="1521" t="n">
        <x:v>14</x:v>
      </x:c>
      <x:c r="N18" s="1521" t="str">
        <x:v>確定</x:v>
      </x:c>
      <x:c r="O18" s="1521" t="str"/>
      <x:c r="P18" s="2846" t="str"/>
    </x:row>
    <x:row r="19">
      <x:c r="A19" s="2845" t="str">
        <x:v>WQ-403</x:v>
      </x:c>
      <x:c r="B19" s="1521" t="str">
        <x:v>管理・運用</x:v>
      </x:c>
      <x:c r="C19" s="1521" t="str">
        <x:v>設備更新や改善の中期計画がありますか。</x:v>
      </x:c>
      <x:c r="D19" s="1521" t="str">
        <x:v>単一選択</x:v>
      </x:c>
      <x:c r="E19" s="1521" t="str">
        <x:v>予算付き計画あり／計画のみ／案件ごと／計画なし／不明</x:v>
      </x:c>
      <x:c r="F19" s="1521" t="str">
        <x:v>必須</x:v>
      </x:c>
      <x:c r="G19" s="1521" t="str">
        <x:v>可</x:v>
      </x:c>
      <x:c r="H19" s="1521" t="str">
        <x:v>DRI/EPI</x:v>
      </x:c>
      <x:c r="I19" s="1521" t="str">
        <x:v>期限候補</x:v>
      </x:c>
      <x:c r="J19" s="1521" t="str">
        <x:v>中期計画</x:v>
      </x:c>
      <x:c r="K19" s="1521" t="str">
        <x:v>概ね3年程度を想定</x:v>
      </x:c>
      <x:c r="L19" s="1521" t="str">
        <x:v>更新ロードマップへ</x:v>
      </x:c>
      <x:c r="M19" s="1521" t="n">
        <x:v>15</x:v>
      </x:c>
      <x:c r="N19" s="1521" t="str">
        <x:v>確定</x:v>
      </x:c>
      <x:c r="O19" s="1521" t="str"/>
      <x:c r="P19" s="2846" t="str"/>
    </x:row>
    <x:row r="20">
      <x:c r="A20" s="2845" t="str">
        <x:v>WQ-404</x:v>
      </x:c>
      <x:c r="B20" s="1521" t="str">
        <x:v>管理・運用</x:v>
      </x:c>
      <x:c r="C20" s="1521" t="str">
        <x:v>安全、法令、品質、供給継続に関わる未解決課題がありますか。</x:v>
      </x:c>
      <x:c r="D20" s="1521" t="str">
        <x:v>複数選択</x:v>
      </x:c>
      <x:c r="E20" s="1521" t="str">
        <x:v>安全／法令／品質／供給継続／ない／不明</x:v>
      </x:c>
      <x:c r="F20" s="1521" t="str">
        <x:v>必須</x:v>
      </x:c>
      <x:c r="G20" s="1521" t="str">
        <x:v>可</x:v>
      </x:c>
      <x:c r="H20" s="1521" t="str">
        <x:v>EPI</x:v>
      </x:c>
      <x:c r="I20" s="1521" t="str">
        <x:v>安全・法令・品質・供給</x:v>
      </x:c>
      <x:c r="J20" s="1521" t="str">
        <x:v>重要な未解決課題</x:v>
      </x:c>
      <x:c r="K20" s="1521" t="str">
        <x:v>該当時は追加確認を行う</x:v>
      </x:c>
      <x:c r="L20" s="1521" t="str">
        <x:v>Guardrail詳細確認へ</x:v>
      </x:c>
      <x:c r="M20" s="1521" t="n">
        <x:v>16</x:v>
      </x:c>
      <x:c r="N20" s="1521" t="str">
        <x:v>確定</x:v>
      </x:c>
      <x:c r="O20" s="1521" t="str"/>
      <x:c r="P20" s="2846" t="str"/>
    </x:row>
    <x:row r="21">
      <x:c r="A21" s="2845" t="str">
        <x:v>WQ-405</x:v>
      </x:c>
      <x:c r="B21" s="1521" t="str">
        <x:v>管理・運用</x:v>
      </x:c>
      <x:c r="C21" s="1521" t="str">
        <x:v>いつまでに判断または対応したいですか。</x:v>
      </x:c>
      <x:c r="D21" s="1521" t="str">
        <x:v>単一選択</x:v>
      </x:c>
      <x:c r="E21" s="1521" t="str">
        <x:v>3か月以内／6か月以内／1年以内／時期未定／不明</x:v>
      </x:c>
      <x:c r="F21" s="1521" t="str">
        <x:v>必須</x:v>
      </x:c>
      <x:c r="G21" s="1521" t="str">
        <x:v>可</x:v>
      </x:c>
      <x:c r="H21" s="1521" t="str">
        <x:v>EPI</x:v>
      </x:c>
      <x:c r="I21" s="1521" t="str">
        <x:v>期限</x:v>
      </x:c>
      <x:c r="J21" s="1521" t="str">
        <x:v>希望時期</x:v>
      </x:c>
      <x:c r="K21" s="1521" t="str">
        <x:v>目標・期限がない場合は時期未定</x:v>
      </x:c>
      <x:c r="L21" s="1521" t="str">
        <x:v>営業フォロー期限へ</x:v>
      </x:c>
      <x:c r="M21" s="1521" t="n">
        <x:v>17</x:v>
      </x:c>
      <x:c r="N21" s="1521" t="str">
        <x:v>確定</x:v>
      </x:c>
      <x:c r="O21" s="1521" t="str"/>
      <x:c r="P21" s="2846" t="str"/>
    </x:row>
    <x:row r="22">
      <x:c r="A22" s="2847" t="str">
        <x:v>WQ-501</x:v>
      </x:c>
      <x:c r="B22" s="2848" t="str">
        <x:v>自由記入</x:v>
      </x:c>
      <x:c r="C22" s="2848" t="str">
        <x:v>現在、特に困っていることや確認したいことをご記入ください。</x:v>
      </x:c>
      <x:c r="D22" s="2848" t="str">
        <x:v>複数行テキスト</x:v>
      </x:c>
      <x:c r="E22" s="2848" t="str">
        <x:v>1,000文字以内</x:v>
      </x:c>
      <x:c r="F22" s="2848" t="str">
        <x:v>任意</x:v>
      </x:c>
      <x:c r="G22" s="2848" t="str">
        <x:v>可</x:v>
      </x:c>
      <x:c r="H22" s="2848" t="str">
        <x:v>コメント補助</x:v>
      </x:c>
      <x:c r="I22" s="2848" t="str">
        <x:v>候補抽出</x:v>
      </x:c>
      <x:c r="J22" s="2848" t="str">
        <x:v>自由記入</x:v>
      </x:c>
      <x:c r="K22" s="2848" t="str">
        <x:v>設備名や課題を分かる範囲で記載</x:v>
      </x:c>
      <x:c r="L22" s="2848" t="str">
        <x:v>個別ヒアリングへ</x:v>
      </x:c>
      <x:c r="M22" s="2848" t="n">
        <x:v>18</x:v>
      </x:c>
      <x:c r="N22" s="2848" t="str">
        <x:v>確定</x:v>
      </x:c>
      <x:c r="O22" s="2848" t="str"/>
      <x:c r="P22" s="2849" t="str"/>
    </x:row>
    <x:row r="23">
      <x:c r="A23" s="2970" t="str">
        <x:v>Version2.3 Governance Note</x:v>
      </x:c>
      <x:c r="B23" s="2970"/>
      <x:c r="C23" s="2970"/>
      <x:c r="D23" s="2970"/>
      <x:c r="E23" s="2970"/>
      <x:c r="F23" s="2970"/>
      <x:c r="G23" s="2970"/>
      <x:c r="H23" s="2970"/>
      <x:c r="I23" s="2970"/>
      <x:c r="J23" s="2970"/>
      <x:c r="K23" s="2970"/>
      <x:c r="L23" s="2970"/>
      <x:c r="M23" s="2970"/>
      <x:c r="N23" s="2970"/>
      <x:c r="O23" s="2970"/>
      <x:c r="P23" s="2970"/>
    </x:row>
    <x:row r="24" ht="54" customHeight="1">
      <x:c r="A24" s="2980" t="str">
        <x:v>ED-DI-001 Interimにより公開FormsのUnknown表示は当面『不明』。Adapterは『不明』『分からない』『空欄』をUNKNOWNへ正規化。WQ⇔正式Qの対応は77_WQ-Q_Traceabilityを参照し、根拠のない対応付けを禁止する。</x:v>
      </x:c>
      <x:c r="B24" s="2980"/>
      <x:c r="C24" s="2980"/>
      <x:c r="D24" s="2980"/>
      <x:c r="E24" s="2980"/>
      <x:c r="F24" s="2980"/>
      <x:c r="G24" s="2980"/>
      <x:c r="H24" s="2980"/>
      <x:c r="I24" s="2980"/>
      <x:c r="J24" s="2980"/>
      <x:c r="K24" s="2980"/>
      <x:c r="L24" s="2980"/>
      <x:c r="M24" s="2980"/>
      <x:c r="N24" s="2980"/>
      <x:c r="O24" s="2980"/>
      <x:c r="P24" s="2980"/>
    </x:row>
  </x:sheetData>
  <x:mergeCells>
    <x:mergeCell ref="A1:P1"/>
    <x:mergeCell ref="A2:P2"/>
  </x:mergeCells>
  <x:dataValidations count="3">
    <x:dataValidation type="list" sqref="F5:F22">
      <x:formula1>"必須,任意"</x:formula1>
    </x:dataValidation>
    <x:dataValidation type="list" sqref="G5:G22">
      <x:formula1>"可,不可"</x:formula1>
    </x:dataValidation>
    <x:dataValidation type="list" sqref="N5:N22">
      <x:formula1>"確定,確認中,修正中,保留"</x:formula1>
    </x:dataValidation>
  </x:dataValidations>
  <x:pageMargins left="0.7" right="0.7" top="0.75" bottom="0.75" header="0.3" footer="0.3"/>
</x:worksheet>
</file>

<file path=xl/worksheets/sheet70.xml><?xml version="1.0" encoding="utf-8"?>
<x:worksheet xmlns:x="http://schemas.openxmlformats.org/spreadsheetml/2006/main">
  <x:sheetFormatPr defaultRowHeight="15"/>
  <x:cols>
    <x:col min="1" max="1" width="12" hidden="0" customWidth="1"/>
    <x:col min="2" max="2" width="18" hidden="0" customWidth="1"/>
    <x:col min="3" max="3" width="22" hidden="0" customWidth="1"/>
    <x:col min="4" max="4" width="40" hidden="0" customWidth="1"/>
    <x:col min="5" max="5" width="30" hidden="0" customWidth="1"/>
    <x:col min="6" max="6" width="20" hidden="0" customWidth="1"/>
    <x:col min="7" max="7" width="16" hidden="0" customWidth="1"/>
    <x:col min="8" max="8" width="16" hidden="0" customWidth="1"/>
    <x:col min="9" max="9" width="28" hidden="0" customWidth="1"/>
    <x:col min="10" max="10" width="34" hidden="0" customWidth="1"/>
    <x:col min="11" max="11" width="22" hidden="0" customWidth="1"/>
    <x:col min="12" max="12" width="18" hidden="0" customWidth="1"/>
    <x:col min="13" max="13" width="18" hidden="0" customWidth="1"/>
    <x:col min="14" max="14" width="14" hidden="0" customWidth="1"/>
    <x:col min="15" max="15" width="14" hidden="0" customWidth="1"/>
    <x:col min="16" max="16" width="22" hidden="0" customWidth="1"/>
  </x:cols>
  <x:sheetData>
    <x:row r="1" ht="30" customHeight="1">
      <x:c r="A1" s="2808" t="str">
        <x:v>69_LP掲載A3サンプル仕様</x:v>
      </x:c>
      <x:c r="B1" s="2808"/>
      <x:c r="C1" s="2808"/>
      <x:c r="D1" s="2808"/>
      <x:c r="E1" s="2808"/>
      <x:c r="F1" s="2808"/>
      <x:c r="G1" s="2808"/>
      <x:c r="H1" s="2808"/>
      <x:c r="I1" s="2808"/>
      <x:c r="J1" s="2808"/>
      <x:c r="K1" s="2808"/>
      <x:c r="L1" s="2808"/>
      <x:c r="M1" s="2808"/>
      <x:c r="N1" s="2808"/>
      <x:c r="O1" s="2808"/>
      <x:c r="P1" s="2808"/>
    </x:row>
    <x:row r="2" ht="38" customHeight="1">
      <x:c r="A2" s="2811" t="str">
        <x:v>LP掲載用として、実顧客情報を使わず、架空工場のA3サンプルを制作するための表示内容・マスキング・説明文を定義する。</x:v>
      </x:c>
      <x:c r="B2" s="2811"/>
      <x:c r="C2" s="2811"/>
      <x:c r="D2" s="2811"/>
      <x:c r="E2" s="2811"/>
      <x:c r="F2" s="2811"/>
      <x:c r="G2" s="2811"/>
      <x:c r="H2" s="2811"/>
      <x:c r="I2" s="2811"/>
      <x:c r="J2" s="2811"/>
      <x:c r="K2" s="2811"/>
      <x:c r="L2" s="2811"/>
      <x:c r="M2" s="2811"/>
      <x:c r="N2" s="2811"/>
      <x:c r="O2" s="2811"/>
      <x:c r="P2" s="2811"/>
    </x:row>
    <x:row r="4" ht="38" customHeight="1">
      <x:c r="A4" s="2823" t="str">
        <x:v>サンプルID</x:v>
      </x:c>
      <x:c r="B4" s="2824" t="str">
        <x:v>掲載箇所</x:v>
      </x:c>
      <x:c r="C4" s="2824" t="str">
        <x:v>表示要素</x:v>
      </x:c>
      <x:c r="D4" s="2824" t="str">
        <x:v>サンプル内容</x:v>
      </x:c>
      <x:c r="E4" s="2824" t="str">
        <x:v>架空条件</x:v>
      </x:c>
      <x:c r="F4" s="2824" t="str">
        <x:v>表示方法</x:v>
      </x:c>
      <x:c r="G4" s="2824" t="str">
        <x:v>顧客名表示</x:v>
      </x:c>
      <x:c r="H4" s="2824" t="str">
        <x:v>数値表示</x:v>
      </x:c>
      <x:c r="I4" s="2824" t="str">
        <x:v>注記</x:v>
      </x:c>
      <x:c r="J4" s="2824" t="str">
        <x:v>LP説明文</x:v>
      </x:c>
      <x:c r="K4" s="2824" t="str">
        <x:v>クリック時</x:v>
      </x:c>
      <x:c r="L4" s="2824" t="str">
        <x:v>制作担当</x:v>
      </x:c>
      <x:c r="M4" s="2824" t="str">
        <x:v>承認者</x:v>
      </x:c>
      <x:c r="N4" s="2824" t="str">
        <x:v>状態</x:v>
      </x:c>
      <x:c r="O4" s="2824" t="str">
        <x:v>確認日</x:v>
      </x:c>
      <x:c r="P4" s="2825" t="str">
        <x:v>備考</x:v>
      </x:c>
    </x:row>
    <x:row r="5">
      <x:c r="A5" s="2842" t="str">
        <x:v>SMP-001</x:v>
      </x:c>
      <x:c r="B5" s="2843" t="str">
        <x:v>LP A3紹介</x:v>
      </x:c>
      <x:c r="C5" s="2843" t="str">
        <x:v>表紙見出し</x:v>
      </x:c>
      <x:c r="D5" s="2843" t="str">
        <x:v>Energy Doctor 設備・エネルギー総合診断レポート</x:v>
      </x:c>
      <x:c r="E5" s="2843" t="str">
        <x:v>架空：SAMPLE製作所 大阪工場</x:v>
      </x:c>
      <x:c r="F5" s="2843" t="str">
        <x:v>縮小画像</x:v>
      </x:c>
      <x:c r="G5" s="2843" t="str">
        <x:v>SAMPLE表示</x:v>
      </x:c>
      <x:c r="H5" s="2843" t="str">
        <x:v>架空値</x:v>
      </x:c>
      <x:c r="I5" s="2843" t="str">
        <x:v>サンプルである旨を明記</x:v>
      </x:c>
      <x:c r="J5" s="2843" t="str">
        <x:v>診断結果をA3横2ページに整理します。</x:v>
      </x:c>
      <x:c r="K5" s="2843" t="str">
        <x:v>拡大画像またはPDF</x:v>
      </x:c>
      <x:c r="L5" s="2843" t="str">
        <x:v>診断担当</x:v>
      </x:c>
      <x:c r="M5" s="2843" t="str">
        <x:v>事業責任者</x:v>
      </x:c>
      <x:c r="N5" s="2843" t="str">
        <x:v>確定</x:v>
      </x:c>
      <x:c r="O5" s="2843" t="str"/>
      <x:c r="P5" s="2844" t="str"/>
    </x:row>
    <x:row r="6">
      <x:c r="A6" s="2845" t="str">
        <x:v>SMP-002</x:v>
      </x:c>
      <x:c r="B6" s="1521" t="str">
        <x:v>P1上段</x:v>
      </x:c>
      <x:c r="C6" s="1521" t="str">
        <x:v>5指標</x:v>
      </x:c>
      <x:c r="D6" s="1521" t="str">
        <x:v>EDI 58／DRI 46／EPI 72／信頼度 65／充足率 61</x:v>
      </x:c>
      <x:c r="E6" s="1521" t="str">
        <x:v>架空回答17問＋一部不明</x:v>
      </x:c>
      <x:c r="F6" s="1521" t="str">
        <x:v>カード表示</x:v>
      </x:c>
      <x:c r="G6" s="1521" t="str">
        <x:v>匿名</x:v>
      </x:c>
      <x:c r="H6" s="1521" t="str">
        <x:v>表示</x:v>
      </x:c>
      <x:c r="I6" s="1521" t="str">
        <x:v>実案件の値ではない</x:v>
      </x:c>
      <x:c r="J6" s="1521" t="str">
        <x:v>状態・判断材料・対応時期を5指標で確認できます。</x:v>
      </x:c>
      <x:c r="K6" s="1521" t="str">
        <x:v>指標説明へ</x:v>
      </x:c>
      <x:c r="L6" s="1521" t="str">
        <x:v>診断担当</x:v>
      </x:c>
      <x:c r="M6" s="1521" t="str">
        <x:v>診断責任者</x:v>
      </x:c>
      <x:c r="N6" s="1521" t="str">
        <x:v>確定</x:v>
      </x:c>
      <x:c r="O6" s="1521" t="str"/>
      <x:c r="P6" s="2846" t="str"/>
    </x:row>
    <x:row r="7">
      <x:c r="A7" s="2845" t="str">
        <x:v>SMP-003</x:v>
      </x:c>
      <x:c r="B7" s="1521" t="str">
        <x:v>P1中段</x:v>
      </x:c>
      <x:c r="C7" s="1521" t="str">
        <x:v>Decision Guardrail</x:v>
      </x:c>
      <x:c r="D7" s="1521" t="str">
        <x:v>①重要設備の代替手段なし ②主要設備の予備品未確認</x:v>
      </x:c>
      <x:c r="E7" s="1521" t="str">
        <x:v>架空条件</x:v>
      </x:c>
      <x:c r="F7" s="1521" t="str">
        <x:v>強調枠</x:v>
      </x:c>
      <x:c r="G7" s="1521" t="str">
        <x:v>匿名</x:v>
      </x:c>
      <x:c r="H7" s="1521" t="str">
        <x:v>順位のみ</x:v>
      </x:c>
      <x:c r="I7" s="1521" t="str">
        <x:v>法的判断ではない</x:v>
      </x:c>
      <x:c r="J7" s="1521" t="str">
        <x:v>点数とは別に、見逃せない制約条件を表示します。</x:v>
      </x:c>
      <x:c r="K7" s="1521" t="str">
        <x:v>Guardrail説明へ</x:v>
      </x:c>
      <x:c r="L7" s="1521" t="str">
        <x:v>診断担当</x:v>
      </x:c>
      <x:c r="M7" s="1521" t="str">
        <x:v>診断責任者</x:v>
      </x:c>
      <x:c r="N7" s="1521" t="str">
        <x:v>確定</x:v>
      </x:c>
      <x:c r="O7" s="1521" t="str"/>
      <x:c r="P7" s="2846" t="str"/>
    </x:row>
    <x:row r="8">
      <x:c r="A8" s="2845" t="str">
        <x:v>SMP-004</x:v>
      </x:c>
      <x:c r="B8" s="1521" t="str">
        <x:v>P1下段</x:v>
      </x:c>
      <x:c r="C8" s="1521" t="str">
        <x:v>TOP5</x:v>
      </x:c>
      <x:c r="D8" s="1521" t="str">
        <x:v>予備品確認／電力内訳把握／建屋点検／優先基準／中期計画</x:v>
      </x:c>
      <x:c r="E8" s="1521" t="str">
        <x:v>架空条件</x:v>
      </x:c>
      <x:c r="F8" s="1521" t="str">
        <x:v>順位カード</x:v>
      </x:c>
      <x:c r="G8" s="1521" t="str">
        <x:v>匿名</x:v>
      </x:c>
      <x:c r="H8" s="1521" t="str">
        <x:v>順位のみ</x:v>
      </x:c>
      <x:c r="I8" s="1521" t="str">
        <x:v>提案商品の表示なし</x:v>
      </x:c>
      <x:c r="J8" s="1521" t="str">
        <x:v>優先して確認すべき課題を最大5件に整理します。</x:v>
      </x:c>
      <x:c r="K8" s="1521" t="str">
        <x:v>TOP5説明へ</x:v>
      </x:c>
      <x:c r="L8" s="1521" t="str">
        <x:v>診断担当</x:v>
      </x:c>
      <x:c r="M8" s="1521" t="str">
        <x:v>営業責任者</x:v>
      </x:c>
      <x:c r="N8" s="1521" t="str">
        <x:v>確定</x:v>
      </x:c>
      <x:c r="O8" s="1521" t="str"/>
      <x:c r="P8" s="2846" t="str"/>
    </x:row>
    <x:row r="9">
      <x:c r="A9" s="2845" t="str">
        <x:v>SMP-005</x:v>
      </x:c>
      <x:c r="B9" s="1521" t="str">
        <x:v>P2上段</x:v>
      </x:c>
      <x:c r="C9" s="1521" t="str">
        <x:v>推奨判断</x:v>
      </x:c>
      <x:c r="D9" s="1521" t="str">
        <x:v>3か月以内に重要設備の代替・部品供給状況を確認</x:v>
      </x:c>
      <x:c r="E9" s="1521" t="str">
        <x:v>架空条件</x:v>
      </x:c>
      <x:c r="F9" s="1521" t="str">
        <x:v>文章枠</x:v>
      </x:c>
      <x:c r="G9" s="1521" t="str">
        <x:v>匿名</x:v>
      </x:c>
      <x:c r="H9" s="1521" t="str">
        <x:v>期限表示</x:v>
      </x:c>
      <x:c r="I9" s="1521" t="str">
        <x:v>保証表現禁止</x:v>
      </x:c>
      <x:c r="J9" s="1521" t="str">
        <x:v>次に何を確認し、どこから着手するかを整理します。</x:v>
      </x:c>
      <x:c r="K9" s="1521" t="str">
        <x:v>利用の流れへ</x:v>
      </x:c>
      <x:c r="L9" s="1521" t="str">
        <x:v>診断担当</x:v>
      </x:c>
      <x:c r="M9" s="1521" t="str">
        <x:v>診断責任者</x:v>
      </x:c>
      <x:c r="N9" s="1521" t="str">
        <x:v>確定</x:v>
      </x:c>
      <x:c r="O9" s="1521" t="str"/>
      <x:c r="P9" s="2846" t="str"/>
    </x:row>
    <x:row r="10">
      <x:c r="A10" s="2845" t="str">
        <x:v>SMP-006</x:v>
      </x:c>
      <x:c r="B10" s="1521" t="str">
        <x:v>P2中段</x:v>
      </x:c>
      <x:c r="C10" s="1521" t="str">
        <x:v>ロードマップ</x:v>
      </x:c>
      <x:c r="D10" s="1521" t="str">
        <x:v>0～3か月：重要設備確認／3～6か月：計測整理／6～12か月：更新計画</x:v>
      </x:c>
      <x:c r="E10" s="1521" t="str">
        <x:v>架空条件</x:v>
      </x:c>
      <x:c r="F10" s="1521" t="str">
        <x:v>横軸ロードマップ</x:v>
      </x:c>
      <x:c r="G10" s="1521" t="str">
        <x:v>匿名</x:v>
      </x:c>
      <x:c r="H10" s="1521" t="str">
        <x:v>期間表示</x:v>
      </x:c>
      <x:c r="I10" s="1521" t="str">
        <x:v>実施確約ではない</x:v>
      </x:c>
      <x:c r="J10" s="1521" t="str">
        <x:v>短期・中期の行動を段階的に示します。</x:v>
      </x:c>
      <x:c r="K10" s="1521" t="str">
        <x:v>個別相談へ</x:v>
      </x:c>
      <x:c r="L10" s="1521" t="str">
        <x:v>診断担当</x:v>
      </x:c>
      <x:c r="M10" s="1521" t="str">
        <x:v>営業責任者</x:v>
      </x:c>
      <x:c r="N10" s="1521" t="str">
        <x:v>確定</x:v>
      </x:c>
      <x:c r="O10" s="1521" t="str"/>
      <x:c r="P10" s="2846" t="str"/>
    </x:row>
    <x:row r="11">
      <x:c r="A11" s="2845" t="str">
        <x:v>SMP-007</x:v>
      </x:c>
      <x:c r="B11" s="1521" t="str">
        <x:v>P2下段</x:v>
      </x:c>
      <x:c r="C11" s="1521" t="str">
        <x:v>Evidence</x:v>
      </x:c>
      <x:c r="D11" s="1521" t="str">
        <x:v>設備年式：自己申告／故障履歴：未提出／電力請求：確認済み</x:v>
      </x:c>
      <x:c r="E11" s="1521" t="str">
        <x:v>架空条件</x:v>
      </x:c>
      <x:c r="F11" s="1521" t="str">
        <x:v>根拠一覧</x:v>
      </x:c>
      <x:c r="G11" s="1521" t="str">
        <x:v>匿名</x:v>
      </x:c>
      <x:c r="H11" s="1521" t="str">
        <x:v>Level表示</x:v>
      </x:c>
      <x:c r="I11" s="1521" t="str">
        <x:v>L0～L3を説明</x:v>
      </x:c>
      <x:c r="J11" s="1521" t="str">
        <x:v>診断の根拠と情報不足を区別して表示します。</x:v>
      </x:c>
      <x:c r="K11" s="1521" t="str">
        <x:v>Evidence説明へ</x:v>
      </x:c>
      <x:c r="L11" s="1521" t="str">
        <x:v>診断担当</x:v>
      </x:c>
      <x:c r="M11" s="1521" t="str">
        <x:v>診断責任者</x:v>
      </x:c>
      <x:c r="N11" s="1521" t="str">
        <x:v>確定</x:v>
      </x:c>
      <x:c r="O11" s="1521" t="str"/>
      <x:c r="P11" s="2846" t="str"/>
    </x:row>
    <x:row r="12">
      <x:c r="A12" s="2847" t="str">
        <x:v>SMP-008</x:v>
      </x:c>
      <x:c r="B12" s="2848" t="str">
        <x:v>PDF配布</x:v>
      </x:c>
      <x:c r="C12" s="2848" t="str">
        <x:v>サンプルPDF</x:v>
      </x:c>
      <x:c r="D12" s="2848" t="str">
        <x:v>A3横2ページの低解像度または透かし入りPDF</x:v>
      </x:c>
      <x:c r="E12" s="2848" t="str">
        <x:v>架空条件</x:v>
      </x:c>
      <x:c r="F12" s="2848" t="str">
        <x:v>PDF</x:v>
      </x:c>
      <x:c r="G12" s="2848" t="str">
        <x:v>SAMPLE透かし</x:v>
      </x:c>
      <x:c r="H12" s="2848" t="str">
        <x:v>表示</x:v>
      </x:c>
      <x:c r="I12" s="2848" t="str">
        <x:v>転載・誤用防止</x:v>
      </x:c>
      <x:c r="J12" s="2848" t="str">
        <x:v>詳細なレポート構成をご確認いただけます。</x:v>
      </x:c>
      <x:c r="K12" s="2848" t="str">
        <x:v>PDF表示</x:v>
      </x:c>
      <x:c r="L12" s="2848" t="str">
        <x:v>Web担当</x:v>
      </x:c>
      <x:c r="M12" s="2848" t="str">
        <x:v>事業責任者</x:v>
      </x:c>
      <x:c r="N12" s="2848" t="str">
        <x:v>確認中</x:v>
      </x:c>
      <x:c r="O12" s="2848" t="str"/>
      <x:c r="P12" s="2849" t="str">
        <x:v>PDF配布可否を社内確認</x:v>
      </x:c>
    </x:row>
  </x:sheetData>
  <x:mergeCells>
    <x:mergeCell ref="A1:P1"/>
    <x:mergeCell ref="A2:P2"/>
  </x:mergeCells>
  <x:dataValidations count="1">
    <x:dataValidation type="list" sqref="N5:N12">
      <x:formula1>"確定,確認中,修正中,保留"</x:formula1>
    </x:dataValidation>
  </x:dataValidations>
  <x:pageMargins left="0.7" right="0.7" top="0.75" bottom="0.75" header="0.3" footer="0.3"/>
</x:worksheet>
</file>

<file path=xl/worksheets/sheet71.xml><?xml version="1.0" encoding="utf-8"?>
<x:worksheet xmlns:x="http://schemas.openxmlformats.org/spreadsheetml/2006/main">
  <x:sheetFormatPr defaultRowHeight="15"/>
  <x:cols>
    <x:col min="1" max="1" width="12" hidden="0" customWidth="1"/>
    <x:col min="2" max="2" width="16" hidden="0" customWidth="1"/>
    <x:col min="3" max="3" width="40" hidden="0" customWidth="1"/>
    <x:col min="4" max="4" width="20" hidden="0" customWidth="1"/>
    <x:col min="5" max="5" width="20" hidden="0" customWidth="1"/>
    <x:col min="6" max="6" width="18" hidden="0" customWidth="1"/>
    <x:col min="7" max="7" width="14" hidden="0" customWidth="1"/>
    <x:col min="8" max="8" width="34" hidden="0" customWidth="1"/>
    <x:col min="9" max="9" width="18" hidden="0" customWidth="1"/>
    <x:col min="10" max="10" width="14" hidden="0" customWidth="1"/>
    <x:col min="11" max="11" width="14" hidden="0" customWidth="1"/>
    <x:col min="12" max="12" width="22" hidden="0" customWidth="1"/>
    <x:col min="13" max="13" width="12" hidden="0" customWidth="1"/>
    <x:col min="14" max="14" width="14" hidden="0" customWidth="1"/>
    <x:col min="15" max="15" width="14" hidden="0" customWidth="1"/>
    <x:col min="16" max="16" width="22" hidden="0" customWidth="1"/>
  </x:cols>
  <x:sheetData>
    <x:row r="1" ht="30" customHeight="1">
      <x:c r="A1" s="2808" t="str">
        <x:v>70_責任者直接承認・判断ログ</x:v>
      </x:c>
      <x:c r="B1" s="2808"/>
      <x:c r="C1" s="2808"/>
      <x:c r="D1" s="2808"/>
      <x:c r="E1" s="2808"/>
      <x:c r="F1" s="2808"/>
      <x:c r="G1" s="2808"/>
      <x:c r="H1" s="2808"/>
      <x:c r="I1" s="2808"/>
      <x:c r="J1" s="2808"/>
      <x:c r="K1" s="2808"/>
      <x:c r="L1" s="2808"/>
      <x:c r="M1" s="2808"/>
      <x:c r="N1" s="2808"/>
      <x:c r="O1" s="2808"/>
      <x:c r="P1" s="2808"/>
    </x:row>
    <x:row r="2" ht="38" customHeight="1">
      <x:c r="A2" s="2811" t="str">
        <x:v>山元氏が事業責任者兼LP担当として直接確認・承認する。社内レビュー会議は設けない。</x:v>
      </x:c>
      <x:c r="B2" s="2811"/>
      <x:c r="C2" s="2811"/>
      <x:c r="D2" s="2811"/>
      <x:c r="E2" s="2811"/>
      <x:c r="F2" s="2811"/>
      <x:c r="G2" s="2811"/>
      <x:c r="H2" s="2811"/>
      <x:c r="I2" s="2811"/>
      <x:c r="J2" s="2811"/>
      <x:c r="K2" s="2811"/>
      <x:c r="L2" s="2811"/>
      <x:c r="M2" s="2811"/>
      <x:c r="N2" s="2811"/>
      <x:c r="O2" s="2811"/>
      <x:c r="P2" s="2811"/>
    </x:row>
    <x:row r="4" ht="38" customHeight="1">
      <x:c r="A4" s="2823" t="str">
        <x:v>Decision ID</x:v>
      </x:c>
      <x:c r="B4" s="2824" t="str">
        <x:v>対象</x:v>
      </x:c>
      <x:c r="C4" s="2824" t="str">
        <x:v>確認・判断事項</x:v>
      </x:c>
      <x:c r="D4" s="2824" t="str">
        <x:v>参照資料</x:v>
      </x:c>
      <x:c r="E4" s="2824" t="str">
        <x:v>責任者</x:v>
      </x:c>
      <x:c r="F4" s="2824" t="str">
        <x:v>判断</x:v>
      </x:c>
      <x:c r="G4" s="2824" t="str">
        <x:v>判断理由・条件</x:v>
      </x:c>
      <x:c r="H4" s="2824" t="str">
        <x:v>修正要否</x:v>
      </x:c>
      <x:c r="I4" s="2824" t="str">
        <x:v>修正内容</x:v>
      </x:c>
      <x:c r="J4" s="2824" t="str">
        <x:v>実施日</x:v>
      </x:c>
      <x:c r="K4" s="2824" t="str">
        <x:v>完了確認</x:v>
      </x:c>
      <x:c r="L4" s="2824" t="str">
        <x:v>証跡</x:v>
      </x:c>
      <x:c r="M4" s="2824" t="str">
        <x:v>次アクション</x:v>
      </x:c>
      <x:c r="N4" s="2824" t="str">
        <x:v>状態</x:v>
      </x:c>
      <x:c r="O4" s="2824" t="str">
        <x:v>確認日</x:v>
      </x:c>
      <x:c r="P4" s="2825" t="str">
        <x:v>備考</x:v>
      </x:c>
    </x:row>
    <x:row r="5">
      <x:c r="A5" s="2842" t="str">
        <x:v>DEC-001</x:v>
      </x:c>
      <x:c r="B5" s="2843" t="str">
        <x:v>LP構成</x:v>
      </x:c>
      <x:c r="C5" s="2843" t="str">
        <x:v>PC・スマホの情報順序、CTA、受付期間外表示を採用</x:v>
      </x:c>
      <x:c r="D5" s="2843" t="str">
        <x:v>65</x:v>
      </x:c>
      <x:c r="E5" s="2843" t="str">
        <x:v>山元氏</x:v>
      </x:c>
      <x:c r="F5" s="2843" t="str">
        <x:v>採用</x:v>
      </x:c>
      <x:c r="G5" s="2843" t="str">
        <x:v>57の構成と整合</x:v>
      </x:c>
      <x:c r="H5" s="2843" t="str">
        <x:v>不要</x:v>
      </x:c>
      <x:c r="I5" s="2843" t="str"/>
      <x:c r="J5" s="2843" t="str"/>
      <x:c r="K5" s="2843" t="str"/>
      <x:c r="L5" s="2843" t="str">
        <x:v>Version記録</x:v>
      </x:c>
      <x:c r="M5" s="2843" t="str">
        <x:v>情シス個別確認</x:v>
      </x:c>
      <x:c r="N5" s="2843" t="str">
        <x:v>確定</x:v>
      </x:c>
      <x:c r="O5" s="2843" t="str"/>
      <x:c r="P5" s="2844" t="str"/>
    </x:row>
    <x:row r="6">
      <x:c r="A6" s="2845" t="str">
        <x:v>DEC-002</x:v>
      </x:c>
      <x:c r="B6" s="1521" t="str">
        <x:v>掲載文章</x:v>
      </x:c>
      <x:c r="C6" s="1521" t="str">
        <x:v>66を完成稿として採用</x:v>
      </x:c>
      <x:c r="D6" s="1521" t="str">
        <x:v>66</x:v>
      </x:c>
      <x:c r="E6" s="1521" t="str">
        <x:v>山元氏</x:v>
      </x:c>
      <x:c r="F6" s="1521" t="str">
        <x:v>採用</x:v>
      </x:c>
      <x:c r="G6" s="1521" t="str">
        <x:v>誤認を避けた表現</x:v>
      </x:c>
      <x:c r="H6" s="1521" t="str">
        <x:v>不要</x:v>
      </x:c>
      <x:c r="I6" s="1521" t="str"/>
      <x:c r="J6" s="1521" t="str"/>
      <x:c r="K6" s="1521" t="str"/>
      <x:c r="L6" s="1521" t="str">
        <x:v>Version記録</x:v>
      </x:c>
      <x:c r="M6" s="1521" t="str">
        <x:v>LP制作</x:v>
      </x:c>
      <x:c r="N6" s="1521" t="str">
        <x:v>確定</x:v>
      </x:c>
      <x:c r="O6" s="1521" t="str"/>
      <x:c r="P6" s="2846" t="str"/>
    </x:row>
    <x:row r="7">
      <x:c r="A7" s="2845" t="str">
        <x:v>DEC-003</x:v>
      </x:c>
      <x:c r="B7" s="1521" t="str">
        <x:v>公開質問</x:v>
      </x:c>
      <x:c r="C7" s="1521" t="str">
        <x:v>68の18問を初期質問として採用</x:v>
      </x:c>
      <x:c r="D7" s="1521" t="str">
        <x:v>68</x:v>
      </x:c>
      <x:c r="E7" s="1521" t="str">
        <x:v>山元氏</x:v>
      </x:c>
      <x:c r="F7" s="1521" t="str">
        <x:v>採用</x:v>
      </x:c>
      <x:c r="G7" s="1521" t="str">
        <x:v>10～15分目標</x:v>
      </x:c>
      <x:c r="H7" s="1521" t="str">
        <x:v>不要</x:v>
      </x:c>
      <x:c r="I7" s="1521" t="str"/>
      <x:c r="J7" s="1521" t="str"/>
      <x:c r="K7" s="1521" t="str"/>
      <x:c r="L7" s="1521" t="str">
        <x:v>Version記録</x:v>
      </x:c>
      <x:c r="M7" s="1521" t="str">
        <x:v>フォーム実装</x:v>
      </x:c>
      <x:c r="N7" s="1521" t="str">
        <x:v>確定</x:v>
      </x:c>
      <x:c r="O7" s="1521" t="str"/>
      <x:c r="P7" s="2846" t="str"/>
    </x:row>
    <x:row r="8">
      <x:c r="A8" s="2845" t="str">
        <x:v>DEC-004</x:v>
      </x:c>
      <x:c r="B8" s="1521" t="str">
        <x:v>A3サンプル</x:v>
      </x:c>
      <x:c r="C8" s="1521" t="str">
        <x:v>69の架空サンプル仕様を採用</x:v>
      </x:c>
      <x:c r="D8" s="1521" t="str">
        <x:v>69</x:v>
      </x:c>
      <x:c r="E8" s="1521" t="str">
        <x:v>山元氏</x:v>
      </x:c>
      <x:c r="F8" s="1521" t="str">
        <x:v>採用</x:v>
      </x:c>
      <x:c r="G8" s="1521" t="str">
        <x:v>実顧客情報不使用</x:v>
      </x:c>
      <x:c r="H8" s="1521" t="str">
        <x:v>不要</x:v>
      </x:c>
      <x:c r="I8" s="1521" t="str"/>
      <x:c r="J8" s="1521" t="str"/>
      <x:c r="K8" s="1521" t="str"/>
      <x:c r="L8" s="1521" t="str">
        <x:v>Version記録</x:v>
      </x:c>
      <x:c r="M8" s="1521" t="str">
        <x:v>素材制作</x:v>
      </x:c>
      <x:c r="N8" s="1521" t="str">
        <x:v>確定</x:v>
      </x:c>
      <x:c r="O8" s="1521" t="str"/>
      <x:c r="P8" s="2846" t="str"/>
    </x:row>
    <x:row r="9">
      <x:c r="A9" s="2845" t="str">
        <x:v>DEC-005</x:v>
      </x:c>
      <x:c r="B9" s="1521" t="str">
        <x:v>公開構成</x:v>
      </x:c>
      <x:c r="C9" s="1521" t="str">
        <x:v>独立サブドメインLP＋既存サイト相互リンク</x:v>
      </x:c>
      <x:c r="D9" s="1521" t="str">
        <x:v>62/63/64</x:v>
      </x:c>
      <x:c r="E9" s="1521" t="str">
        <x:v>山元氏</x:v>
      </x:c>
      <x:c r="F9" s="1521" t="str">
        <x:v>採用</x:v>
      </x:c>
      <x:c r="G9" s="1521" t="str">
        <x:v>早期開始を優先</x:v>
      </x:c>
      <x:c r="H9" s="1521" t="str">
        <x:v>不要</x:v>
      </x:c>
      <x:c r="I9" s="1521" t="str"/>
      <x:c r="J9" s="1521" t="str"/>
      <x:c r="K9" s="1521" t="str"/>
      <x:c r="L9" s="1521" t="str">
        <x:v>Version記録</x:v>
      </x:c>
      <x:c r="M9" s="1521" t="str">
        <x:v>情シス個別確認</x:v>
      </x:c>
      <x:c r="N9" s="1521" t="str">
        <x:v>確定</x:v>
      </x:c>
      <x:c r="O9" s="1521" t="str"/>
      <x:c r="P9" s="2846" t="str"/>
    </x:row>
    <x:row r="10">
      <x:c r="A10" s="2845" t="str">
        <x:v>DEC-006</x:v>
      </x:c>
      <x:c r="B10" s="1521" t="str">
        <x:v>受付運用</x:v>
      </x:c>
      <x:c r="C10" s="1521" t="str">
        <x:v>LP先行公開、受付のみ期間外、模擬3件後に開始</x:v>
      </x:c>
      <x:c r="D10" s="1521" t="str">
        <x:v>47/56/67</x:v>
      </x:c>
      <x:c r="E10" s="1521" t="str">
        <x:v>山元氏</x:v>
      </x:c>
      <x:c r="F10" s="1521" t="str">
        <x:v>採用</x:v>
      </x:c>
      <x:c r="G10" s="1521" t="str">
        <x:v>制作とMVPを並行</x:v>
      </x:c>
      <x:c r="H10" s="1521" t="str">
        <x:v>不要</x:v>
      </x:c>
      <x:c r="I10" s="1521" t="str"/>
      <x:c r="J10" s="1521" t="str"/>
      <x:c r="K10" s="1521" t="str"/>
      <x:c r="L10" s="1521" t="str">
        <x:v>Version記録</x:v>
      </x:c>
      <x:c r="M10" s="1521" t="str">
        <x:v>実装</x:v>
      </x:c>
      <x:c r="N10" s="1521" t="str">
        <x:v>確定</x:v>
      </x:c>
      <x:c r="O10" s="1521" t="str"/>
      <x:c r="P10" s="2846" t="str"/>
    </x:row>
    <x:row r="11">
      <x:c r="A11" s="2845" t="str">
        <x:v>REV-007</x:v>
      </x:c>
      <x:c r="B11" s="1521" t="str">
        <x:v>Web</x:v>
      </x:c>
      <x:c r="C11" s="1521" t="str">
        <x:v>PC/スマホの情報量・CTA・リンク構成が制作可能</x:v>
      </x:c>
      <x:c r="D11" s="1521" t="str">
        <x:v>65/67</x:v>
      </x:c>
      <x:c r="E11" s="1521" t="str">
        <x:v>LP担当</x:v>
      </x:c>
      <x:c r="F11" s="1521" t="str"/>
      <x:c r="G11" s="1521" t="str">
        <x:v>未確認</x:v>
      </x:c>
      <x:c r="H11" s="1521" t="str"/>
      <x:c r="I11" s="1521" t="str"/>
      <x:c r="J11" s="1521" t="str"/>
      <x:c r="K11" s="1521" t="str"/>
      <x:c r="L11" s="1521" t="str">
        <x:v>画面レビュー</x:v>
      </x:c>
      <x:c r="M11" s="1521" t="str">
        <x:v>GT-LP1</x:v>
      </x:c>
      <x:c r="N11" s="1521" t="str">
        <x:v>未実施</x:v>
      </x:c>
      <x:c r="O11" s="1521" t="str"/>
      <x:c r="P11" s="2846" t="str"/>
    </x:row>
    <x:row r="12">
      <x:c r="A12" s="2845" t="str">
        <x:v>REV-008</x:v>
      </x:c>
      <x:c r="B12" s="1521" t="str">
        <x:v>表現</x:v>
      </x:c>
      <x:c r="C12" s="1521" t="str">
        <x:v>効果保証、即時自動診断、法的保証と誤認される表現がない</x:v>
      </x:c>
      <x:c r="D12" s="1521" t="str">
        <x:v>66</x:v>
      </x:c>
      <x:c r="E12" s="1521" t="str">
        <x:v>事業/管理責任者</x:v>
      </x:c>
      <x:c r="F12" s="1521" t="str"/>
      <x:c r="G12" s="1521" t="str">
        <x:v>未確認</x:v>
      </x:c>
      <x:c r="H12" s="1521" t="str"/>
      <x:c r="I12" s="1521" t="str"/>
      <x:c r="J12" s="1521" t="str"/>
      <x:c r="K12" s="1521" t="str"/>
      <x:c r="L12" s="1521" t="str">
        <x:v>文章レビュー</x:v>
      </x:c>
      <x:c r="M12" s="1521" t="str">
        <x:v>GT-LP1</x:v>
      </x:c>
      <x:c r="N12" s="1521" t="str">
        <x:v>未実施</x:v>
      </x:c>
      <x:c r="O12" s="1521" t="str"/>
      <x:c r="P12" s="2846" t="str"/>
    </x:row>
    <x:row r="13">
      <x:c r="A13" s="2845" t="str">
        <x:v>REV-009</x:v>
      </x:c>
      <x:c r="B13" s="1521" t="str">
        <x:v>サンプル</x:v>
      </x:c>
      <x:c r="C13" s="1521" t="str">
        <x:v>A3サンプルが架空情報であり、実顧客情報を含まない</x:v>
      </x:c>
      <x:c r="D13" s="1521" t="str">
        <x:v>69</x:v>
      </x:c>
      <x:c r="E13" s="1521" t="str">
        <x:v>診断責任者</x:v>
      </x:c>
      <x:c r="F13" s="1521" t="str"/>
      <x:c r="G13" s="1521" t="str">
        <x:v>未確認</x:v>
      </x:c>
      <x:c r="H13" s="1521" t="str"/>
      <x:c r="I13" s="1521" t="str"/>
      <x:c r="J13" s="1521" t="str"/>
      <x:c r="K13" s="1521" t="str"/>
      <x:c r="L13" s="1521" t="str">
        <x:v>サンプル確認</x:v>
      </x:c>
      <x:c r="M13" s="1521" t="str">
        <x:v>GT-LP1</x:v>
      </x:c>
      <x:c r="N13" s="1521" t="str">
        <x:v>未実施</x:v>
      </x:c>
      <x:c r="O13" s="1521" t="str"/>
      <x:c r="P13" s="2846" t="str"/>
    </x:row>
    <x:row r="14">
      <x:c r="A14" s="2847" t="str">
        <x:v>REV-010</x:v>
      </x:c>
      <x:c r="B14" s="2848" t="str">
        <x:v>受付</x:v>
      </x:c>
      <x:c r="C14" s="2848" t="str">
        <x:v>期間外に一般送信不可、社内テストのみ可能な説明が明確</x:v>
      </x:c>
      <x:c r="D14" s="2848" t="str">
        <x:v>65/67</x:v>
      </x:c>
      <x:c r="E14" s="2848" t="str">
        <x:v>情シス/事業責任者</x:v>
      </x:c>
      <x:c r="F14" s="2848" t="str"/>
      <x:c r="G14" s="2848" t="str">
        <x:v>未確認</x:v>
      </x:c>
      <x:c r="H14" s="2848" t="str"/>
      <x:c r="I14" s="2848" t="str"/>
      <x:c r="J14" s="2848" t="str"/>
      <x:c r="K14" s="2848" t="str"/>
      <x:c r="L14" s="2848" t="str">
        <x:v>状態確認</x:v>
      </x:c>
      <x:c r="M14" s="2848" t="str">
        <x:v>GT-LP1</x:v>
      </x:c>
      <x:c r="N14" s="2848" t="str">
        <x:v>未実施</x:v>
      </x:c>
      <x:c r="O14" s="2848" t="str"/>
      <x:c r="P14" s="2849" t="str"/>
    </x:row>
  </x:sheetData>
  <x:mergeCells>
    <x:mergeCell ref="A1:P1"/>
    <x:mergeCell ref="A2:P2"/>
  </x:mergeCells>
  <x:conditionalFormatting sqref="G5:G14">
    <x:cfRule type="expression" dxfId="30" priority="1">
      <x:formula>G5="適合"</x:formula>
    </x:cfRule>
    <x:cfRule type="expression" dxfId="31" priority="2">
      <x:formula>G5="条件付き適合"</x:formula>
    </x:cfRule>
    <x:cfRule type="expression" dxfId="32" priority="3">
      <x:formula>G5="不適合"</x:formula>
    </x:cfRule>
  </x:conditionalFormatting>
  <x:dataValidations count="3">
    <x:dataValidation type="list" sqref="G5:G14">
      <x:formula1>"適合,条件付き適合,不適合,未確認"</x:formula1>
    </x:dataValidation>
    <x:dataValidation type="list" sqref="K5:K14">
      <x:formula1>"不要,要,完了"</x:formula1>
    </x:dataValidation>
    <x:dataValidation type="list" sqref="N5:N14">
      <x:formula1>"未実施,実施中,完了,保留"</x:formula1>
    </x:dataValidation>
  </x:dataValidations>
  <x:pageMargins left="0.7" right="0.7" top="0.75" bottom="0.75" header="0.3" footer="0.3"/>
</x:worksheet>
</file>

<file path=xl/worksheets/sheet72.xml><?xml version="1.0" encoding="utf-8"?>
<x:worksheet xmlns:x="http://schemas.openxmlformats.org/spreadsheetml/2006/main">
  <x:sheetFormatPr defaultRowHeight="15"/>
  <x:cols>
    <x:col min="1" max="1" width="12" hidden="0" customWidth="1"/>
    <x:col min="2" max="2" width="16" hidden="0" customWidth="1"/>
    <x:col min="3" max="3" width="22" hidden="0" customWidth="1"/>
    <x:col min="4" max="4" width="32" hidden="0" customWidth="1"/>
    <x:col min="5" max="5" width="22" hidden="0" customWidth="1"/>
    <x:col min="6" max="6" width="12" hidden="0" customWidth="1"/>
    <x:col min="7" max="7" width="12" hidden="0" customWidth="1"/>
    <x:col min="8" max="8" width="32" hidden="0" customWidth="1"/>
    <x:col min="9" max="9" width="26" hidden="0" customWidth="1"/>
    <x:col min="10" max="10" width="32" hidden="0" customWidth="1"/>
    <x:col min="11" max="11" width="30" hidden="0" customWidth="1"/>
    <x:col min="12" max="12" width="14" hidden="0" customWidth="1"/>
    <x:col min="13" max="13" width="14" hidden="0" customWidth="1"/>
    <x:col min="14" max="14" width="14" hidden="0" customWidth="1"/>
    <x:col min="15" max="15" width="18" hidden="0" customWidth="1"/>
    <x:col min="16" max="16" width="22" hidden="0" customWidth="1"/>
  </x:cols>
  <x:sheetData>
    <x:row r="1" ht="30" customHeight="1">
      <x:c r="A1" s="2808" t="str">
        <x:v>71_責任者主導LP制作進行台帳</x:v>
      </x:c>
      <x:c r="B1" s="2808"/>
      <x:c r="C1" s="2808"/>
      <x:c r="D1" s="2808"/>
      <x:c r="E1" s="2808"/>
      <x:c r="F1" s="2808"/>
      <x:c r="G1" s="2808"/>
      <x:c r="H1" s="2808"/>
      <x:c r="I1" s="2808"/>
      <x:c r="J1" s="2808"/>
      <x:c r="K1" s="2808"/>
      <x:c r="L1" s="2808"/>
      <x:c r="M1" s="2808"/>
      <x:c r="N1" s="2808"/>
      <x:c r="O1" s="2808"/>
      <x:c r="P1" s="2808"/>
    </x:row>
    <x:row r="2" ht="38" customHeight="1">
      <x:c r="A2" s="2811" t="str">
        <x:v>山元氏がLP担当として直接進め、情シスには必要事項を個別確認する。会議・一括提示イベントは設けない。</x:v>
      </x:c>
      <x:c r="B2" s="2811"/>
      <x:c r="C2" s="2811"/>
      <x:c r="D2" s="2811"/>
      <x:c r="E2" s="2811"/>
      <x:c r="F2" s="2811"/>
      <x:c r="G2" s="2811"/>
      <x:c r="H2" s="2811"/>
      <x:c r="I2" s="2811"/>
      <x:c r="J2" s="2811"/>
      <x:c r="K2" s="2811"/>
      <x:c r="L2" s="2811"/>
      <x:c r="M2" s="2811"/>
      <x:c r="N2" s="2811"/>
      <x:c r="O2" s="2811"/>
      <x:c r="P2" s="2811"/>
    </x:row>
    <x:row r="4" ht="38" customHeight="1">
      <x:c r="A4" s="2823" t="str">
        <x:v>Task ID</x:v>
      </x:c>
      <x:c r="B4" s="2824" t="str">
        <x:v>工程</x:v>
      </x:c>
      <x:c r="C4" s="2824" t="str">
        <x:v>作業内容</x:v>
      </x:c>
      <x:c r="D4" s="2824" t="str">
        <x:v>参照資料</x:v>
      </x:c>
      <x:c r="E4" s="2824" t="str">
        <x:v>主担当</x:v>
      </x:c>
      <x:c r="F4" s="2824" t="str">
        <x:v>情シス確認</x:v>
      </x:c>
      <x:c r="G4" s="2824" t="str">
        <x:v>確認方法</x:v>
      </x:c>
      <x:c r="H4" s="2824" t="str">
        <x:v>前提</x:v>
      </x:c>
      <x:c r="I4" s="2824" t="str">
        <x:v>成果物</x:v>
      </x:c>
      <x:c r="J4" s="2824" t="str">
        <x:v>完了条件</x:v>
      </x:c>
      <x:c r="K4" s="2824" t="str">
        <x:v>予定日</x:v>
      </x:c>
      <x:c r="L4" s="2824" t="str">
        <x:v>実施日</x:v>
      </x:c>
      <x:c r="M4" s="2824" t="str">
        <x:v>状態</x:v>
      </x:c>
      <x:c r="N4" s="2824" t="str">
        <x:v>証跡</x:v>
      </x:c>
      <x:c r="O4" s="2824" t="str">
        <x:v>次工程</x:v>
      </x:c>
      <x:c r="P4" s="2825" t="str">
        <x:v>備考</x:v>
      </x:c>
    </x:row>
    <x:row r="5">
      <x:c r="A5" s="2842" t="str">
        <x:v>OWN-001</x:v>
      </x:c>
      <x:c r="B5" s="2843" t="str">
        <x:v>仕様確定</x:v>
      </x:c>
      <x:c r="C5" s="2843" t="str">
        <x:v>LP構成・文章・質問・A3サンプルを責任者承認</x:v>
      </x:c>
      <x:c r="D5" s="2843" t="str">
        <x:v>65～70</x:v>
      </x:c>
      <x:c r="E5" s="2843" t="str">
        <x:v>山元氏</x:v>
      </x:c>
      <x:c r="F5" s="2843" t="str">
        <x:v>不要</x:v>
      </x:c>
      <x:c r="G5" s="2843" t="str">
        <x:v>責任者判断</x:v>
      </x:c>
      <x:c r="H5" s="2843" t="str">
        <x:v>Version1.9</x:v>
      </x:c>
      <x:c r="I5" s="2843" t="str">
        <x:v>承認済み仕様</x:v>
      </x:c>
      <x:c r="J5" s="2843" t="str">
        <x:v>70で採用確定</x:v>
      </x:c>
      <x:c r="K5" s="2843" t="str"/>
      <x:c r="L5" s="2843" t="str"/>
      <x:c r="M5" s="2843" t="str">
        <x:v>完了</x:v>
      </x:c>
      <x:c r="N5" s="2843" t="str">
        <x:v>70</x:v>
      </x:c>
      <x:c r="O5" s="2843" t="str">
        <x:v>基盤仮選定</x:v>
      </x:c>
      <x:c r="P5" s="2844" t="str"/>
    </x:row>
    <x:row r="6">
      <x:c r="A6" s="2845" t="str">
        <x:v>OWN-002</x:v>
      </x:c>
      <x:c r="B6" s="1521" t="str">
        <x:v>基盤仮選定</x:v>
      </x:c>
      <x:c r="C6" s="1521" t="str">
        <x:v>Cloudflare Pages＋Microsoft Formsを第一候補として仮決定</x:v>
      </x:c>
      <x:c r="D6" s="1521" t="str">
        <x:v>72/73</x:v>
      </x:c>
      <x:c r="E6" s="1521" t="str">
        <x:v>山元氏</x:v>
      </x:c>
      <x:c r="F6" s="1521" t="str">
        <x:v>必要</x:v>
      </x:c>
      <x:c r="G6" s="1521" t="str">
        <x:v>個別確認</x:v>
      </x:c>
      <x:c r="H6" s="1521" t="str">
        <x:v>要件一覧</x:v>
      </x:c>
      <x:c r="I6" s="1521" t="str">
        <x:v>仮決定案</x:v>
      </x:c>
      <x:c r="J6" s="1521" t="str">
        <x:v>採用理由と代替案が明確</x:v>
      </x:c>
      <x:c r="K6" s="1521" t="str"/>
      <x:c r="L6" s="1521" t="str"/>
      <x:c r="M6" s="1521" t="str">
        <x:v>完了</x:v>
      </x:c>
      <x:c r="N6" s="1521" t="str">
        <x:v>72/73</x:v>
      </x:c>
      <x:c r="O6" s="1521" t="str">
        <x:v>仮環境構築</x:v>
      </x:c>
      <x:c r="P6" s="2846" t="str"/>
    </x:row>
    <x:row r="7">
      <x:c r="A7" s="2845" t="str">
        <x:v>OWN-003</x:v>
      </x:c>
      <x:c r="B7" s="1521" t="str">
        <x:v>仮環境構築</x:v>
      </x:c>
      <x:c r="C7" s="1521" t="str">
        <x:v>pages.dev仮URLとMicrosoft Forms初版を作成</x:v>
      </x:c>
      <x:c r="D7" s="1521" t="str">
        <x:v>73/74</x:v>
      </x:c>
      <x:c r="E7" s="1521" t="str">
        <x:v>山元氏</x:v>
      </x:c>
      <x:c r="F7" s="1521" t="str">
        <x:v>必要に応じて</x:v>
      </x:c>
      <x:c r="G7" s="1521" t="str">
        <x:v>個別支援</x:v>
      </x:c>
      <x:c r="H7" s="1521" t="str">
        <x:v>仮決定済み</x:v>
      </x:c>
      <x:c r="I7" s="1521" t="str">
        <x:v>仮URL・フォーム</x:v>
      </x:c>
      <x:c r="J7" s="1521" t="str">
        <x:v>テスト可能</x:v>
      </x:c>
      <x:c r="K7" s="1521" t="str"/>
      <x:c r="L7" s="1521" t="str"/>
      <x:c r="M7" s="1521" t="str">
        <x:v>実施中</x:v>
      </x:c>
      <x:c r="N7" s="1521" t="str">
        <x:v>/mnt/data/Energy_Doctor_LP_Prototype_v0.1.zip</x:v>
      </x:c>
      <x:c r="O7" s="1521" t="str">
        <x:v>HTML初版</x:v>
      </x:c>
      <x:c r="P7" s="2846" t="str"/>
    </x:row>
    <x:row r="8">
      <x:c r="A8" s="2845" t="str">
        <x:v>OWN-004</x:v>
      </x:c>
      <x:c r="B8" s="1521" t="str">
        <x:v>仮URL構築</x:v>
      </x:c>
      <x:c r="C8" s="1521" t="str">
        <x:v>LP骨格と文章を仮URLへ実装</x:v>
      </x:c>
      <x:c r="D8" s="1521" t="str">
        <x:v>65/66/67</x:v>
      </x:c>
      <x:c r="E8" s="1521" t="str">
        <x:v>山元氏</x:v>
      </x:c>
      <x:c r="F8" s="1521" t="str">
        <x:v>必要に応じて</x:v>
      </x:c>
      <x:c r="G8" s="1521" t="str">
        <x:v>個別支援</x:v>
      </x:c>
      <x:c r="H8" s="1521" t="str">
        <x:v>基盤利用可能</x:v>
      </x:c>
      <x:c r="I8" s="1521" t="str">
        <x:v>LP初版</x:v>
      </x:c>
      <x:c r="J8" s="1521" t="str">
        <x:v>PC・スマホで表示</x:v>
      </x:c>
      <x:c r="K8" s="1521" t="str"/>
      <x:c r="L8" s="1521" t="str"/>
      <x:c r="M8" s="1521" t="str">
        <x:v>未着手</x:v>
      </x:c>
      <x:c r="N8" s="1521" t="str"/>
      <x:c r="O8" s="1521" t="str">
        <x:v>フォーム実装</x:v>
      </x:c>
      <x:c r="P8" s="2846" t="str"/>
    </x:row>
    <x:row r="9">
      <x:c r="A9" s="2845" t="str">
        <x:v>OWN-005</x:v>
      </x:c>
      <x:c r="B9" s="1521" t="str">
        <x:v>フォーム実装</x:v>
      </x:c>
      <x:c r="C9" s="1521" t="str">
        <x:v>68の18問、基本情報、同意を実装</x:v>
      </x:c>
      <x:c r="D9" s="1521" t="str">
        <x:v>58/68</x:v>
      </x:c>
      <x:c r="E9" s="1521" t="str">
        <x:v>山元氏</x:v>
      </x:c>
      <x:c r="F9" s="1521" t="str">
        <x:v>必要に応じて</x:v>
      </x:c>
      <x:c r="G9" s="1521" t="str">
        <x:v>個別支援</x:v>
      </x:c>
      <x:c r="H9" s="1521" t="str">
        <x:v>LP初版</x:v>
      </x:c>
      <x:c r="I9" s="1521" t="str">
        <x:v>フォーム初版</x:v>
      </x:c>
      <x:c r="J9" s="1521" t="str">
        <x:v>テスト送信可能</x:v>
      </x:c>
      <x:c r="K9" s="1521" t="str"/>
      <x:c r="L9" s="1521" t="str"/>
      <x:c r="M9" s="1521" t="str">
        <x:v>未着手</x:v>
      </x:c>
      <x:c r="N9" s="1521" t="str"/>
      <x:c r="O9" s="1521" t="str">
        <x:v>状態切替</x:v>
      </x:c>
      <x:c r="P9" s="2846" t="str"/>
    </x:row>
    <x:row r="10">
      <x:c r="A10" s="2845" t="str">
        <x:v>OWN-006</x:v>
      </x:c>
      <x:c r="B10" s="1521" t="str">
        <x:v>状態切替</x:v>
      </x:c>
      <x:c r="C10" s="1521" t="str">
        <x:v>期間外・社内テスト・受付開始・一時停止を実装</x:v>
      </x:c>
      <x:c r="D10" s="1521" t="str">
        <x:v>56/67</x:v>
      </x:c>
      <x:c r="E10" s="1521" t="str">
        <x:v>山元氏</x:v>
      </x:c>
      <x:c r="F10" s="1521" t="str">
        <x:v>必要</x:v>
      </x:c>
      <x:c r="G10" s="1521" t="str">
        <x:v>個別確認</x:v>
      </x:c>
      <x:c r="H10" s="1521" t="str">
        <x:v>フォーム完成</x:v>
      </x:c>
      <x:c r="I10" s="1521" t="str">
        <x:v>状態切替</x:v>
      </x:c>
      <x:c r="J10" s="1521" t="str">
        <x:v>一般送信停止と社内テスト両立</x:v>
      </x:c>
      <x:c r="K10" s="1521" t="str"/>
      <x:c r="L10" s="1521" t="str"/>
      <x:c r="M10" s="1521" t="str">
        <x:v>未着手</x:v>
      </x:c>
      <x:c r="N10" s="1521" t="str"/>
      <x:c r="O10" s="1521" t="str">
        <x:v>A3素材</x:v>
      </x:c>
      <x:c r="P10" s="2846" t="str"/>
    </x:row>
    <x:row r="11">
      <x:c r="A11" s="2845" t="str">
        <x:v>OWN-007</x:v>
      </x:c>
      <x:c r="B11" s="1521" t="str">
        <x:v>A3素材</x:v>
      </x:c>
      <x:c r="C11" s="1521" t="str">
        <x:v>架空A3画像・PDF候補を作成</x:v>
      </x:c>
      <x:c r="D11" s="1521" t="str">
        <x:v>69</x:v>
      </x:c>
      <x:c r="E11" s="1521" t="str">
        <x:v>山元氏</x:v>
      </x:c>
      <x:c r="F11" s="1521" t="str">
        <x:v>不要</x:v>
      </x:c>
      <x:c r="G11" s="1521" t="str">
        <x:v>責任者確認</x:v>
      </x:c>
      <x:c r="H11" s="1521" t="str">
        <x:v>仕様確定</x:v>
      </x:c>
      <x:c r="I11" s="1521" t="str">
        <x:v>LP掲載素材</x:v>
      </x:c>
      <x:c r="J11" s="1521" t="str">
        <x:v>実顧客情報なし</x:v>
      </x:c>
      <x:c r="K11" s="1521" t="str"/>
      <x:c r="L11" s="1521" t="str"/>
      <x:c r="M11" s="1521" t="str">
        <x:v>未着手</x:v>
      </x:c>
      <x:c r="N11" s="1521" t="str"/>
      <x:c r="O11" s="1521" t="str">
        <x:v>LP統合</x:v>
      </x:c>
      <x:c r="P11" s="2846" t="str"/>
    </x:row>
    <x:row r="12">
      <x:c r="A12" s="2847" t="str">
        <x:v>OWN-008</x:v>
      </x:c>
      <x:c r="B12" s="2848" t="str">
        <x:v>LP統合</x:v>
      </x:c>
      <x:c r="C12" s="2848" t="str">
        <x:v>文章・フォーム・A3・FAQを統合</x:v>
      </x:c>
      <x:c r="D12" s="2848" t="str">
        <x:v>65～69</x:v>
      </x:c>
      <x:c r="E12" s="2848" t="str">
        <x:v>山元氏</x:v>
      </x:c>
      <x:c r="F12" s="2848" t="str">
        <x:v>必要に応じて</x:v>
      </x:c>
      <x:c r="G12" s="2848" t="str">
        <x:v>個別支援</x:v>
      </x:c>
      <x:c r="H12" s="2848" t="str">
        <x:v>各初版完成</x:v>
      </x:c>
      <x:c r="I12" s="2848" t="str">
        <x:v>仮URL完成版</x:v>
      </x:c>
      <x:c r="J12" s="2848" t="str">
        <x:v>61の試験実施可能</x:v>
      </x:c>
      <x:c r="K12" s="2848" t="str"/>
      <x:c r="L12" s="2848" t="str"/>
      <x:c r="M12" s="2848" t="str">
        <x:v>未着手</x:v>
      </x:c>
      <x:c r="N12" s="2848" t="str"/>
      <x:c r="O12" s="2848" t="str">
        <x:v>模擬案件</x:v>
      </x:c>
      <x:c r="P12" s="2849" t="str"/>
    </x:row>
    <x:row r="13">
      <x:c r="A13" t="str">
        <x:v>OWN-009</x:v>
      </x:c>
      <x:c r="B13" t="str">
        <x:v>模擬案件3件</x:v>
      </x:c>
      <x:c r="C13" t="str">
        <x:v>受付からA3送付まで処理</x:v>
      </x:c>
      <x:c r="D13" t="str">
        <x:v>55/61</x:v>
      </x:c>
      <x:c r="E13" t="str">
        <x:v>山元氏</x:v>
      </x:c>
      <x:c r="F13" t="str">
        <x:v>必要に応じて</x:v>
      </x:c>
      <x:c r="G13" t="str">
        <x:v>個別支援</x:v>
      </x:c>
      <x:c r="H13" t="str">
        <x:v>LP完成版</x:v>
      </x:c>
      <x:c r="I13" t="str">
        <x:v>試験記録</x:v>
      </x:c>
      <x:c r="J13" t="str">
        <x:v>全S項目合格</x:v>
      </x:c>
      <x:c r="K13" t="str"/>
      <x:c r="L13" t="str"/>
      <x:c r="M13" t="str">
        <x:v>未着手</x:v>
      </x:c>
      <x:c r="N13" t="str"/>
      <x:c r="O13" t="str">
        <x:v>本番接続</x:v>
      </x:c>
      <x:c r="P13" t="str"/>
    </x:row>
    <x:row r="14">
      <x:c r="A14" t="str">
        <x:v>OWN-010</x:v>
      </x:c>
      <x:c r="B14" t="str">
        <x:v>本番公開</x:v>
      </x:c>
      <x:c r="C14" t="str">
        <x:v>サブドメイン接続し期間外公開</x:v>
      </x:c>
      <x:c r="D14" t="str">
        <x:v>62/63</x:v>
      </x:c>
      <x:c r="E14" t="str">
        <x:v>山元氏</x:v>
      </x:c>
      <x:c r="F14" t="str">
        <x:v>必要</x:v>
      </x:c>
      <x:c r="G14" t="str">
        <x:v>個別作業調整</x:v>
      </x:c>
      <x:c r="H14" t="str">
        <x:v>試験合格</x:v>
      </x:c>
      <x:c r="I14" t="str">
        <x:v>公開LP</x:v>
      </x:c>
      <x:c r="J14" t="str">
        <x:v>HTTPS・相互リンク・期間外表示</x:v>
      </x:c>
      <x:c r="K14" t="str"/>
      <x:c r="L14" t="str"/>
      <x:c r="M14" t="str">
        <x:v>未着手</x:v>
      </x:c>
      <x:c r="N14" t="str"/>
      <x:c r="O14" t="str">
        <x:v>受付開始</x:v>
      </x:c>
      <x:c r="P14" t="str"/>
    </x:row>
    <x:row r="15">
      <x:c r="A15" t="str">
        <x:v>OWN-011</x:v>
      </x:c>
      <x:c r="B15" t="str">
        <x:v>受付開始</x:v>
      </x:c>
      <x:c r="C15" t="str">
        <x:v>56に基づき責任者判断で開始</x:v>
      </x:c>
      <x:c r="D15" t="str">
        <x:v>56</x:v>
      </x:c>
      <x:c r="E15" t="str">
        <x:v>山元氏</x:v>
      </x:c>
      <x:c r="F15" t="str">
        <x:v>必要に応じて</x:v>
      </x:c>
      <x:c r="G15" t="str">
        <x:v>個別通知</x:v>
      </x:c>
      <x:c r="H15" t="str">
        <x:v>全条件適合</x:v>
      </x:c>
      <x:c r="I15" t="str">
        <x:v>受付開始状態</x:v>
      </x:c>
      <x:c r="J15" t="str">
        <x:v>一般送信・通知正常</x:v>
      </x:c>
      <x:c r="K15" t="str"/>
      <x:c r="L15" t="str"/>
      <x:c r="M15" t="str">
        <x:v>未着手</x:v>
      </x:c>
      <x:c r="N15" t="str"/>
      <x:c r="O15" t="str">
        <x:v>パイロット運用</x:v>
      </x:c>
      <x:c r="P15" t="str"/>
    </x:row>
  </x:sheetData>
  <x:mergeCells>
    <x:mergeCell ref="A1:P1"/>
    <x:mergeCell ref="A2:P2"/>
  </x:mergeCells>
  <x:dataValidations count="2">
    <x:dataValidation type="list" sqref="F5:F12">
      <x:formula1>"必須,任意"</x:formula1>
    </x:dataValidation>
    <x:dataValidation type="list" sqref="N5:N12">
      <x:formula1>"未着手,準備中,準備済,提示済,回答済,完了,保留"</x:formula1>
    </x:dataValidation>
  </x:dataValidations>
  <x:pageMargins left="0.7" right="0.7" top="0.75" bottom="0.75" header="0.3" footer="0.3"/>
</x:worksheet>
</file>

<file path=xl/worksheets/sheet73.xml><?xml version="1.0" encoding="utf-8"?>
<x:worksheet xmlns:x="http://schemas.openxmlformats.org/spreadsheetml/2006/main">
  <x:sheetFormatPr defaultRowHeight="15"/>
  <x:cols>
    <x:col min="1" max="1" width="12" hidden="0" customWidth="1"/>
    <x:col min="2" max="2" width="24" hidden="0" customWidth="1"/>
    <x:col min="3" max="3" width="34" hidden="0" customWidth="1"/>
    <x:col min="4" max="4" width="14" hidden="0" customWidth="1"/>
    <x:col min="5" max="5" width="14" hidden="0" customWidth="1"/>
    <x:col min="6" max="6" width="16" hidden="0" customWidth="1"/>
    <x:col min="7" max="7" width="18" hidden="0" customWidth="1"/>
    <x:col min="8" max="8" width="24" hidden="0" customWidth="1"/>
    <x:col min="9" max="9" width="30" hidden="0" customWidth="1"/>
    <x:col min="10" max="10" width="22" hidden="0" customWidth="1"/>
    <x:col min="11" max="11" width="24" hidden="0" customWidth="1"/>
    <x:col min="12" max="12" width="22" hidden="0" customWidth="1"/>
    <x:col min="13" max="13" width="20" hidden="0" customWidth="1"/>
    <x:col min="14" max="14" width="34" hidden="0" customWidth="1"/>
    <x:col min="15" max="15" width="38" hidden="0" customWidth="1"/>
    <x:col min="16" max="16" width="14" hidden="0" customWidth="1"/>
    <x:col min="17" max="17" width="48" hidden="0" customWidth="1"/>
  </x:cols>
  <x:sheetData>
    <x:row r="1" ht="30" customHeight="1">
      <x:c r="A1" s="2862" t="str">
        <x:v>72_LP公開基盤比較</x:v>
      </x:c>
      <x:c r="B1" s="2862"/>
      <x:c r="C1" s="2862"/>
      <x:c r="D1" s="2862"/>
      <x:c r="E1" s="2862"/>
      <x:c r="F1" s="2862"/>
      <x:c r="G1" s="2862"/>
      <x:c r="H1" s="2862"/>
      <x:c r="I1" s="2862"/>
      <x:c r="J1" s="2862"/>
      <x:c r="K1" s="2862"/>
      <x:c r="L1" s="2862"/>
      <x:c r="M1" s="2862"/>
      <x:c r="N1" s="2862"/>
      <x:c r="O1" s="2862"/>
      <x:c r="P1" s="2862"/>
      <x:c r="Q1" s="2862"/>
    </x:row>
    <x:row r="2" ht="38" customHeight="1">
      <x:c r="A2" s="2865" t="str">
        <x:v>独立LPの公開基盤を、追加費用、独自サブドメイン、SSL、更新性、フォーム連携、社内運用、将来拡張の観点で比較する。</x:v>
      </x:c>
      <x:c r="B2" s="2865"/>
      <x:c r="C2" s="2865"/>
      <x:c r="D2" s="2865"/>
      <x:c r="E2" s="2865"/>
      <x:c r="F2" s="2865"/>
      <x:c r="G2" s="2865"/>
      <x:c r="H2" s="2865"/>
      <x:c r="I2" s="2865"/>
      <x:c r="J2" s="2865"/>
      <x:c r="K2" s="2865"/>
      <x:c r="L2" s="2865"/>
      <x:c r="M2" s="2865"/>
      <x:c r="N2" s="2865"/>
      <x:c r="O2" s="2865"/>
      <x:c r="P2" s="2865"/>
      <x:c r="Q2" s="2865"/>
    </x:row>
    <x:row r="4" ht="38" customHeight="1">
      <x:c r="A4" s="2877" t="str">
        <x:v>候補ID</x:v>
      </x:c>
      <x:c r="B4" s="2878" t="str">
        <x:v>候補</x:v>
      </x:c>
      <x:c r="C4" s="2878" t="str">
        <x:v>想定構成</x:v>
      </x:c>
      <x:c r="D4" s="2878" t="str">
        <x:v>初期費用</x:v>
      </x:c>
      <x:c r="E4" s="2878" t="str">
        <x:v>月額費用</x:v>
      </x:c>
      <x:c r="F4" s="2878" t="str">
        <x:v>独自サブドメイン</x:v>
      </x:c>
      <x:c r="G4" s="2878" t="str">
        <x:v>SSL</x:v>
      </x:c>
      <x:c r="H4" s="2878" t="str">
        <x:v>公開方法</x:v>
      </x:c>
      <x:c r="I4" s="2878" t="str">
        <x:v>社内更新性</x:v>
      </x:c>
      <x:c r="J4" s="2878" t="str">
        <x:v>フォーム</x:v>
      </x:c>
      <x:c r="K4" s="2878" t="str">
        <x:v>回答データ</x:v>
      </x:c>
      <x:c r="L4" s="2878" t="str">
        <x:v>受付状態切替</x:v>
      </x:c>
      <x:c r="M4" s="2878" t="str">
        <x:v>ログ・分析</x:v>
      </x:c>
      <x:c r="N4" s="2878" t="str">
        <x:v>主な長所</x:v>
      </x:c>
      <x:c r="O4" s="2878" t="str">
        <x:v>主な制約・リスク</x:v>
      </x:c>
      <x:c r="P4" s="2878" t="str">
        <x:v>仮評価</x:v>
      </x:c>
      <x:c r="Q4" s="2879" t="str">
        <x:v>公式情報</x:v>
      </x:c>
    </x:row>
    <x:row r="5">
      <x:c r="A5" s="2896" t="str">
        <x:v>PLT-001</x:v>
      </x:c>
      <x:c r="B5" s="2897" t="str">
        <x:v>Cloudflare Pages＋Microsoft Forms</x:v>
      </x:c>
      <x:c r="C5" s="2897" t="str">
        <x:v>LPはCloudflare Pages、受付はMicrosoft Formsを埋込またはリンク</x:v>
      </x:c>
      <x:c r="D5" s="2897" t="str">
        <x:v>0円候補</x:v>
      </x:c>
      <x:c r="E5" s="2897" t="str">
        <x:v>0円候補</x:v>
      </x:c>
      <x:c r="F5" s="2897" t="str">
        <x:v>対応</x:v>
      </x:c>
      <x:c r="G5" s="2897" t="str">
        <x:v>自動証明書候補</x:v>
      </x:c>
      <x:c r="H5" s="2897" t="str">
        <x:v>HTML一式をDrag &amp; DropまたはGit連携</x:v>
      </x:c>
      <x:c r="I5" s="2897" t="str">
        <x:v>AIでHTML生成後、ファイル更新で対応可能</x:v>
      </x:c>
      <x:c r="J5" s="2897" t="str">
        <x:v>Microsoft Forms</x:v>
      </x:c>
      <x:c r="K5" s="2897" t="str">
        <x:v>Excel／OneDrive・SharePoint</x:v>
      </x:c>
      <x:c r="L5" s="2897" t="str">
        <x:v>LPのCTA・フォーム表示を切替</x:v>
      </x:c>
      <x:c r="M5" s="2897" t="str">
        <x:v>Cloudflare側＋Forms側</x:v>
      </x:c>
      <x:c r="N5" s="2897" t="str">
        <x:v>独立LP、CNAME接続、直接アップロード、無料枠、フォーム回答をExcel化</x:v>
      </x:c>
      <x:c r="O5" s="2897" t="str">
        <x:v>HTML更新に最低限のファイル操作が必要。Formsのブランド自由度は限定</x:v>
      </x:c>
      <x:c r="P5" s="2897" t="str">
        <x:v>第一候補</x:v>
      </x:c>
      <x:c r="Q5" s="2898" t="str">
        <x:v>https://developers.cloudflare.com/pages/get-started/direct-upload/ ; https://developers.cloudflare.com/pages/configuration/custom-domains/ ; https://support.microsoft.com/ja-JP/Forms/share-a-form ; https://support.microsoft.com/ja-jp/forms/check-and-share-your-form-results</x:v>
      </x:c>
    </x:row>
    <x:row r="6">
      <x:c r="A6" s="2899" t="str">
        <x:v>PLT-002</x:v>
      </x:c>
      <x:c r="B6" s="1521" t="str">
        <x:v>GitHub Pages＋Microsoft Forms</x:v>
      </x:c>
      <x:c r="C6" s="1521" t="str">
        <x:v>LPはGitHub Pages、受付はMicrosoft Forms</x:v>
      </x:c>
      <x:c r="D6" s="1521" t="str">
        <x:v>0円候補</x:v>
      </x:c>
      <x:c r="E6" s="1521" t="str">
        <x:v>0円候補</x:v>
      </x:c>
      <x:c r="F6" s="1521" t="str">
        <x:v>対応</x:v>
      </x:c>
      <x:c r="G6" s="1521" t="str">
        <x:v>HTTPS対応</x:v>
      </x:c>
      <x:c r="H6" s="1521" t="str">
        <x:v>Gitリポジトリから公開</x:v>
      </x:c>
      <x:c r="I6" s="1521" t="str">
        <x:v>Git操作が必要。AI支援可</x:v>
      </x:c>
      <x:c r="J6" s="1521" t="str">
        <x:v>Microsoft Forms</x:v>
      </x:c>
      <x:c r="K6" s="1521" t="str">
        <x:v>Excel／OneDrive・SharePoint</x:v>
      </x:c>
      <x:c r="L6" s="1521" t="str">
        <x:v>LPの更新で切替</x:v>
      </x:c>
      <x:c r="M6" s="1521" t="str">
        <x:v>GitHub＋Forms</x:v>
      </x:c>
      <x:c r="N6" s="1521" t="str">
        <x:v>カスタムドメイン、HTTPS、Version管理</x:v>
      </x:c>
      <x:c r="O6" s="1521" t="str">
        <x:v>無料利用では公開リポジトリ前提になりやすい。商用LP用途の運用適合性を要確認</x:v>
      </x:c>
      <x:c r="P6" s="1521" t="str">
        <x:v>第二候補</x:v>
      </x:c>
      <x:c r="Q6" s="2900" t="str">
        <x:v>https://docs.github.com/en/pages/configuring-a-custom-domain-for-your-github-pages-site/about-custom-domains-and-github-pages ; https://docs.github.com/en/pages/getting-started-with-github-pages/github-pages-limits ; https://support.microsoft.com/en-US/Forms/send-a-form-and-collect-responses</x:v>
      </x:c>
    </x:row>
    <x:row r="7">
      <x:c r="A7" s="2899" t="str">
        <x:v>PLT-003</x:v>
      </x:c>
      <x:c r="B7" s="1521" t="str">
        <x:v>Microsoft Power Pages</x:v>
      </x:c>
      <x:c r="C7" s="1521" t="str">
        <x:v>LP・フォーム・データをPower Platformで統合</x:v>
      </x:c>
      <x:c r="D7" s="1521" t="str">
        <x:v>要確認</x:v>
      </x:c>
      <x:c r="E7" s="1521" t="str">
        <x:v>要確認</x:v>
      </x:c>
      <x:c r="F7" s="1521" t="str">
        <x:v>対応</x:v>
      </x:c>
      <x:c r="G7" s="1521" t="str">
        <x:v>証明書設定要</x:v>
      </x:c>
      <x:c r="H7" s="1521" t="str">
        <x:v>Power Pagesデザイナー</x:v>
      </x:c>
      <x:c r="I7" s="1521" t="str">
        <x:v>ノーコード性が高い</x:v>
      </x:c>
      <x:c r="J7" s="1521" t="str">
        <x:v>Power Pagesフォーム</x:v>
      </x:c>
      <x:c r="K7" s="1521" t="str">
        <x:v>Dataverse等</x:v>
      </x:c>
      <x:c r="L7" s="1521" t="str">
        <x:v>サイト設定で対応候補</x:v>
      </x:c>
      <x:c r="M7" s="1521" t="str">
        <x:v>Power Platform管理</x:v>
      </x:c>
      <x:c r="N7" s="1521" t="str">
        <x:v>Microsoft環境内で統合しやすい</x:v>
      </x:c>
      <x:c r="O7" s="1521" t="str">
        <x:v>本番サイトはライセンス・SSL証明書・運用費用の確認が必要</x:v>
      </x:c>
      <x:c r="P7" s="1521" t="str">
        <x:v>保留</x:v>
      </x:c>
      <x:c r="Q7" s="2900" t="str">
        <x:v>https://learn.microsoft.com/ja-jp/power-pages/admin/add-custom-domain ; https://learn.microsoft.com/en-us/power-pages/go-live/assign-licensing</x:v>
      </x:c>
    </x:row>
    <x:row r="8">
      <x:c r="A8" s="2901" t="str">
        <x:v>PLT-004</x:v>
      </x:c>
      <x:c r="B8" s="2902" t="str">
        <x:v>既存サイト制作会社へ独立LP依頼</x:v>
      </x:c>
      <x:c r="C8" s="2902" t="str">
        <x:v>外部制作会社がサブドメインLPを制作</x:v>
      </x:c>
      <x:c r="D8" s="2902" t="str">
        <x:v>有償可能性</x:v>
      </x:c>
      <x:c r="E8" s="2902" t="str">
        <x:v>保守費可能性</x:v>
      </x:c>
      <x:c r="F8" s="2902" t="str">
        <x:v>対応候補</x:v>
      </x:c>
      <x:c r="G8" s="2902" t="str">
        <x:v>対応候補</x:v>
      </x:c>
      <x:c r="H8" s="2902" t="str">
        <x:v>制作会社作業</x:v>
      </x:c>
      <x:c r="I8" s="2902" t="str">
        <x:v>更新依頼が必要になる可能性</x:v>
      </x:c>
      <x:c r="J8" s="2902" t="str">
        <x:v>別途選定</x:v>
      </x:c>
      <x:c r="K8" s="2902" t="str">
        <x:v>別途選定</x:v>
      </x:c>
      <x:c r="L8" s="2902" t="str">
        <x:v>制作会社対応</x:v>
      </x:c>
      <x:c r="M8" s="2902" t="str">
        <x:v>制作会社対応</x:v>
      </x:c>
      <x:c r="N8" s="2902" t="str">
        <x:v>品質・保守体制を確保しやすい</x:v>
      </x:c>
      <x:c r="O8" s="2902" t="str">
        <x:v>初期スピード、費用、更新待ちが今回方針と合わない可能性</x:v>
      </x:c>
      <x:c r="P8" s="2902" t="str">
        <x:v>予備案</x:v>
      </x:c>
      <x:c r="Q8" s="2903" t="str">
        <x:v>https://www.fujielectric.co.jp/fols/officeservice/homepage.html</x:v>
      </x:c>
    </x:row>
    <x:row r="11" ht="38" customHeight="1">
      <x:c r="A11" s="2877" t="str">
        <x:v>評価項目</x:v>
      </x:c>
      <x:c r="B11" s="2878" t="str">
        <x:v>重み</x:v>
      </x:c>
      <x:c r="C11" s="2878" t="str">
        <x:v>Cloudflare+Forms</x:v>
      </x:c>
      <x:c r="D11" s="2878" t="str">
        <x:v>GitHub+Forms</x:v>
      </x:c>
      <x:c r="E11" s="2878" t="str">
        <x:v>Power Pages</x:v>
      </x:c>
      <x:c r="F11" s="2879" t="str">
        <x:v>外部制作</x:v>
      </x:c>
      <x:c r="G11" t="str">
        <x:v>評価基準</x:v>
      </x:c>
      <x:c r="H11" t="str"/>
      <x:c r="I11" t="str"/>
      <x:c r="J11" t="str"/>
    </x:row>
    <x:row r="12">
      <x:c r="A12" s="2896" t="str">
        <x:v>追加費用抑制</x:v>
      </x:c>
      <x:c r="B12" s="2897" t="n">
        <x:v>25</x:v>
      </x:c>
      <x:c r="C12" s="2897" t="n">
        <x:v>5</x:v>
      </x:c>
      <x:c r="D12" s="2897" t="n">
        <x:v>5</x:v>
      </x:c>
      <x:c r="E12" s="2897" t="n">
        <x:v>2</x:v>
      </x:c>
      <x:c r="F12" s="2898" t="n">
        <x:v>1</x:v>
      </x:c>
      <x:c r="G12" t="str">
        <x:v>5=0円見込み、1=有償前提</x:v>
      </x:c>
      <x:c r="H12" t="str"/>
      <x:c r="I12" t="str"/>
      <x:c r="J12" t="str"/>
    </x:row>
    <x:row r="13">
      <x:c r="A13" s="2899" t="str">
        <x:v>早期開始</x:v>
      </x:c>
      <x:c r="B13" s="1521" t="n">
        <x:v>20</x:v>
      </x:c>
      <x:c r="C13" s="1521" t="n">
        <x:v>5</x:v>
      </x:c>
      <x:c r="D13" s="1521" t="n">
        <x:v>4</x:v>
      </x:c>
      <x:c r="E13" s="1521" t="n">
        <x:v>3</x:v>
      </x:c>
      <x:c r="F13" s="2900" t="n">
        <x:v>2</x:v>
      </x:c>
      <x:c r="G13" t="str">
        <x:v>5=即時構築可能</x:v>
      </x:c>
      <x:c r="H13" t="str"/>
      <x:c r="I13" t="str"/>
      <x:c r="J13" t="str"/>
    </x:row>
    <x:row r="14">
      <x:c r="A14" s="2899" t="str">
        <x:v>独自サブドメイン・SSL</x:v>
      </x:c>
      <x:c r="B14" s="1521" t="n">
        <x:v>15</x:v>
      </x:c>
      <x:c r="C14" s="1521" t="n">
        <x:v>5</x:v>
      </x:c>
      <x:c r="D14" s="1521" t="n">
        <x:v>5</x:v>
      </x:c>
      <x:c r="E14" s="1521" t="n">
        <x:v>4</x:v>
      </x:c>
      <x:c r="F14" s="2900" t="n">
        <x:v>4</x:v>
      </x:c>
      <x:c r="G14" t="str">
        <x:v>5=標準対応</x:v>
      </x:c>
      <x:c r="H14" t="str"/>
      <x:c r="I14" t="str"/>
      <x:c r="J14" t="str"/>
    </x:row>
    <x:row r="15">
      <x:c r="A15" s="2899" t="str">
        <x:v>社内更新・AI協業</x:v>
      </x:c>
      <x:c r="B15" s="1521" t="n">
        <x:v>15</x:v>
      </x:c>
      <x:c r="C15" s="1521" t="n">
        <x:v>4</x:v>
      </x:c>
      <x:c r="D15" s="1521" t="n">
        <x:v>3</x:v>
      </x:c>
      <x:c r="E15" s="1521" t="n">
        <x:v>4</x:v>
      </x:c>
      <x:c r="F15" s="2900" t="n">
        <x:v>2</x:v>
      </x:c>
      <x:c r="G15" t="str">
        <x:v>5=非技術者でも更新容易</x:v>
      </x:c>
      <x:c r="H15" t="str"/>
      <x:c r="I15" t="str"/>
      <x:c r="J15" t="str"/>
    </x:row>
    <x:row r="16">
      <x:c r="A16" s="2899" t="str">
        <x:v>フォーム・Excel連携</x:v>
      </x:c>
      <x:c r="B16" s="1521" t="n">
        <x:v>15</x:v>
      </x:c>
      <x:c r="C16" s="1521" t="n">
        <x:v>5</x:v>
      </x:c>
      <x:c r="D16" s="1521" t="n">
        <x:v>5</x:v>
      </x:c>
      <x:c r="E16" s="1521" t="n">
        <x:v>4</x:v>
      </x:c>
      <x:c r="F16" s="2900" t="n">
        <x:v>3</x:v>
      </x:c>
      <x:c r="G16" t="str">
        <x:v>5=既存M365と直結</x:v>
      </x:c>
      <x:c r="H16" t="str"/>
      <x:c r="I16" t="str"/>
      <x:c r="J16" t="str"/>
    </x:row>
    <x:row r="17">
      <x:c r="A17" s="2901" t="str">
        <x:v>将来拡張・移行性</x:v>
      </x:c>
      <x:c r="B17" s="2902" t="n">
        <x:v>10</x:v>
      </x:c>
      <x:c r="C17" s="2902" t="n">
        <x:v>4</x:v>
      </x:c>
      <x:c r="D17" s="2902" t="n">
        <x:v>4</x:v>
      </x:c>
      <x:c r="E17" s="2902" t="n">
        <x:v>5</x:v>
      </x:c>
      <x:c r="F17" s="2903" t="n">
        <x:v>3</x:v>
      </x:c>
      <x:c r="G17" t="str">
        <x:v>5=機能拡張しやすい</x:v>
      </x:c>
      <x:c r="H17" t="str"/>
      <x:c r="I17" t="str"/>
      <x:c r="J17" t="str"/>
    </x:row>
    <x:row r="19" ht="38" customHeight="1">
      <x:c r="A19" s="2877" t="str">
        <x:v>総合評価</x:v>
      </x:c>
      <x:c r="B19" s="2878" t="str">
        <x:v>重み合計</x:v>
      </x:c>
      <x:c r="C19" s="2878" t="str">
        <x:v>Cloudflare+Forms</x:v>
      </x:c>
      <x:c r="D19" s="2878" t="str">
        <x:v>GitHub+Forms</x:v>
      </x:c>
      <x:c r="E19" s="2878" t="str">
        <x:v>Power Pages</x:v>
      </x:c>
      <x:c r="F19" s="2879" t="str">
        <x:v>外部制作</x:v>
      </x:c>
    </x:row>
    <x:row r="20">
      <x:c r="A20" s="2896" t="str">
        <x:v>加重点</x:v>
      </x:c>
      <x:c r="B20" s="2897" t="n">
        <x:f>SUM(B12:B17)</x:f>
        <x:v>100</x:v>
      </x:c>
      <x:c r="C20" s="2904" t="n">
        <x:f>SUMPRODUCT($B$12:$B$17,C12:C17)/SUM($B$12:$B$17)</x:f>
        <x:v>4.75</x:v>
      </x:c>
      <x:c r="D20" s="2904" t="n">
        <x:f>SUMPRODUCT($B$12:$B$17,D12:D17)/SUM($B$12:$B$17)</x:f>
        <x:v>4.4</x:v>
      </x:c>
      <x:c r="E20" s="2904" t="n">
        <x:f>SUMPRODUCT($B$12:$B$17,E12:E17)/SUM($B$12:$B$17)</x:f>
        <x:v>3.4</x:v>
      </x:c>
      <x:c r="F20" s="2905" t="n">
        <x:f>SUMPRODUCT($B$12:$B$17,F12:F17)/SUM($B$12:$B$17)</x:f>
        <x:v>2.3</x:v>
      </x:c>
    </x:row>
    <x:row r="21">
      <x:c r="A21" s="2901" t="str">
        <x:v>順位</x:v>
      </x:c>
      <x:c r="B21" s="2902" t="str"/>
      <x:c r="C21" s="2902" t="n">
        <x:f>RANK(C20,$C$20:$F$20,0)</x:f>
        <x:v>1</x:v>
      </x:c>
      <x:c r="D21" s="2902" t="n">
        <x:f>RANK(D20,$C$20:$F$20,0)</x:f>
        <x:v>2</x:v>
      </x:c>
      <x:c r="E21" s="2902" t="n">
        <x:f>RANK(E20,$C$20:$F$20,0)</x:f>
        <x:v>3</x:v>
      </x:c>
      <x:c r="F21" s="2903" t="n">
        <x:f>RANK(F20,$C$20:$F$20,0)</x:f>
        <x:v>4</x:v>
      </x:c>
    </x:row>
  </x:sheetData>
  <x:mergeCells>
    <x:mergeCell ref="A1:Q1"/>
    <x:mergeCell ref="A2:Q2"/>
  </x:mergeCells>
  <x:conditionalFormatting sqref="C20:F20">
    <x:cfRule type="dataBar" priority="1">
      <x:dataBar>
        <x:cfvo type="min"/>
        <x:cfvo type="max"/>
        <x:color rgb="FFA02B93"/>
      </x:dataBar>
      <x:extLst>
        <x:ext xmlns:x14="http://schemas.microsoft.com/office/spreadsheetml/2009/9/main" uri="{B025F937-C7B1-47D3-B67F-A62EFF666E3E}">
          <x14:id>{679C9B93-DAED-28B0-2E10-B4C94366BDEA}</x14:id>
        </x:ext>
      </x:extLst>
    </x:cfRule>
  </x:conditionalFormatting>
  <x:dataValidations count="1">
    <x:dataValidation type="list" sqref="P5:P8">
      <x:formula1>"第一候補,第二候補,保留,予備案,除外"</x:formula1>
    </x:dataValidation>
  </x:dataValidations>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679C9B93-DAED-28B0-2E10-B4C94366BDEA}">
            <x14:dataBar gradient="1">
              <x14:cfvo type="min"/>
              <x14:cfvo type="max"/>
              <x14:fillColor rgb="FFA02B93"/>
            </x14:dataBar>
          </x14:cfRule>
          <xm:sqref>C20:F20</xm:sqref>
        </x14:conditionalFormatting>
      </x14:conditionalFormattings>
    </x:ext>
  </x:extLst>
</x:worksheet>
</file>

<file path=xl/worksheets/sheet74.xml><?xml version="1.0" encoding="utf-8"?>
<x:worksheet xmlns:x="http://schemas.openxmlformats.org/spreadsheetml/2006/main">
  <x:sheetFormatPr defaultRowHeight="15"/>
  <x:cols>
    <x:col min="1" max="1" width="12" hidden="0" customWidth="1"/>
    <x:col min="2" max="2" width="18" hidden="0" customWidth="1"/>
    <x:col min="3" max="3" width="30" hidden="0" customWidth="1"/>
    <x:col min="4" max="4" width="34" hidden="0" customWidth="1"/>
    <x:col min="5" max="5" width="36" hidden="0" customWidth="1"/>
    <x:col min="6" max="6" width="38" hidden="0" customWidth="1"/>
    <x:col min="7" max="7" width="30" hidden="0" customWidth="1"/>
    <x:col min="8" max="8" width="18" hidden="0" customWidth="1"/>
    <x:col min="9" max="9" width="18" hidden="0" customWidth="1"/>
    <x:col min="10" max="10" width="14" hidden="0" customWidth="1"/>
    <x:col min="11" max="11" width="30" hidden="0" customWidth="1"/>
    <x:col min="12" max="12" width="24" hidden="0" customWidth="1"/>
    <x:col min="13" max="13" width="22" hidden="0" customWidth="1"/>
    <x:col min="14" max="14" width="14" hidden="0" customWidth="1"/>
    <x:col min="15" max="15" width="14" hidden="0" customWidth="1"/>
    <x:col min="16" max="16" width="22" hidden="0" customWidth="1"/>
  </x:cols>
  <x:sheetData>
    <x:row r="1" ht="30" customHeight="1">
      <x:c r="A1" s="2862" t="str">
        <x:v>73_LP公開基盤仮決定</x:v>
      </x:c>
      <x:c r="B1" s="2862"/>
      <x:c r="C1" s="2862"/>
      <x:c r="D1" s="2862"/>
      <x:c r="E1" s="2862"/>
      <x:c r="F1" s="2862"/>
      <x:c r="G1" s="2862"/>
      <x:c r="H1" s="2862"/>
      <x:c r="I1" s="2862"/>
      <x:c r="J1" s="2862"/>
      <x:c r="K1" s="2862"/>
      <x:c r="L1" s="2862"/>
      <x:c r="M1" s="2862"/>
      <x:c r="N1" s="2862"/>
      <x:c r="O1" s="2862"/>
      <x:c r="P1" s="2862"/>
    </x:row>
    <x:row r="2" ht="38" customHeight="1">
      <x:c r="A2" s="2865" t="str">
        <x:v>事業側の仮決定として、Cloudflare Pages＋Microsoft Formsを第一候補とし、情シスには技術可否・管理者・DNS・セキュリティを個別確認する。</x:v>
      </x:c>
      <x:c r="B2" s="2865"/>
      <x:c r="C2" s="2865"/>
      <x:c r="D2" s="2865"/>
      <x:c r="E2" s="2865"/>
      <x:c r="F2" s="2865"/>
      <x:c r="G2" s="2865"/>
      <x:c r="H2" s="2865"/>
      <x:c r="I2" s="2865"/>
      <x:c r="J2" s="2865"/>
      <x:c r="K2" s="2865"/>
      <x:c r="L2" s="2865"/>
      <x:c r="M2" s="2865"/>
      <x:c r="N2" s="2865"/>
      <x:c r="O2" s="2865"/>
      <x:c r="P2" s="2865"/>
    </x:row>
    <x:row r="4" ht="38" customHeight="1">
      <x:c r="A4" s="2877" t="str">
        <x:v>決定ID</x:v>
      </x:c>
      <x:c r="B4" s="2878" t="str">
        <x:v>対象</x:v>
      </x:c>
      <x:c r="C4" s="2878" t="str">
        <x:v>仮決定</x:v>
      </x:c>
      <x:c r="D4" s="2878" t="str">
        <x:v>採用理由</x:v>
      </x:c>
      <x:c r="E4" s="2878" t="str">
        <x:v>実装方法</x:v>
      </x:c>
      <x:c r="F4" s="2878" t="str">
        <x:v>情シス確認事項</x:v>
      </x:c>
      <x:c r="G4" s="2878" t="str">
        <x:v>代替案</x:v>
      </x:c>
      <x:c r="H4" s="2878" t="str">
        <x:v>追加費用方針</x:v>
      </x:c>
      <x:c r="I4" s="2878" t="str">
        <x:v>責任者</x:v>
      </x:c>
      <x:c r="J4" s="2878" t="str">
        <x:v>状態</x:v>
      </x:c>
      <x:c r="K4" s="2878" t="str">
        <x:v>確認結果</x:v>
      </x:c>
      <x:c r="L4" s="2878" t="str">
        <x:v>最終決定</x:v>
      </x:c>
      <x:c r="M4" s="2878" t="str">
        <x:v>証跡</x:v>
      </x:c>
      <x:c r="N4" s="2878" t="str">
        <x:v>期限</x:v>
      </x:c>
      <x:c r="O4" s="2878" t="str">
        <x:v>確認日</x:v>
      </x:c>
      <x:c r="P4" s="2879" t="str">
        <x:v>備考</x:v>
      </x:c>
    </x:row>
    <x:row r="5">
      <x:c r="A5" s="2896" t="str">
        <x:v>ARCH-001</x:v>
      </x:c>
      <x:c r="B5" s="2897" t="str">
        <x:v>LP公開基盤</x:v>
      </x:c>
      <x:c r="C5" s="2897" t="str">
        <x:v>Cloudflare Pages</x:v>
      </x:c>
      <x:c r="D5" s="2897" t="str">
        <x:v>独立サブドメイン、無料枠候補、Drag &amp; Drop公開、将来Git連携が可能</x:v>
      </x:c>
      <x:c r="E5" s="2897" t="str">
        <x:v>AIでHTML/CSS/JSを生成し、初期はDirect Uploadで公開</x:v>
      </x:c>
      <x:c r="F5" s="2897" t="str">
        <x:v>Cloudflare利用可否、アカウント管理、社内規程、DNS接続</x:v>
      </x:c>
      <x:c r="G5" s="2897" t="str">
        <x:v>GitHub Pagesまたは情シス指定基盤</x:v>
      </x:c>
      <x:c r="H5" s="2897" t="str">
        <x:v>0円を原則</x:v>
      </x:c>
      <x:c r="I5" s="2897" t="str">
        <x:v>山元氏</x:v>
      </x:c>
      <x:c r="J5" s="2897" t="str">
        <x:v>仮決定</x:v>
      </x:c>
      <x:c r="K5" s="2897" t="str"/>
      <x:c r="L5" s="2897" t="str"/>
      <x:c r="M5" s="2897" t="str">
        <x:v>Cloudflare公式情報</x:v>
      </x:c>
      <x:c r="N5" s="2897" t="str"/>
      <x:c r="O5" s="2897" t="str"/>
      <x:c r="P5" s="2898" t="str"/>
    </x:row>
    <x:row r="6">
      <x:c r="A6" s="2899" t="str">
        <x:v>ARCH-002</x:v>
      </x:c>
      <x:c r="B6" s="1521" t="str">
        <x:v>公開URL</x:v>
      </x:c>
      <x:c r="C6" s="1521" t="str">
        <x:v>https://energy-doctor.sawa-em.co.jp/</x:v>
      </x:c>
      <x:c r="D6" s="1521" t="str">
        <x:v>公式性と既存サイトからの分離を両立</x:v>
      </x:c>
      <x:c r="E6" s="1521" t="str">
        <x:v>Cloudflare Pagesのカスタムドメインに登録し、DNSでCNAME設定</x:v>
      </x:c>
      <x:c r="F6" s="1521" t="str">
        <x:v>サブドメイン発行、CNAME設定、CAA制約、切戻し</x:v>
      </x:c>
      <x:c r="G6" s="1521" t="str">
        <x:v>別サブドメインまたは一時pages.dev URL</x:v>
      </x:c>
      <x:c r="H6" s="1521" t="str">
        <x:v>0円を原則</x:v>
      </x:c>
      <x:c r="I6" s="1521" t="str">
        <x:v>山元氏</x:v>
      </x:c>
      <x:c r="J6" s="1521" t="str">
        <x:v>仮決定</x:v>
      </x:c>
      <x:c r="K6" s="1521" t="str"/>
      <x:c r="L6" s="1521" t="str"/>
      <x:c r="M6" s="1521" t="str">
        <x:v>DNS設定記録</x:v>
      </x:c>
      <x:c r="N6" s="1521" t="str"/>
      <x:c r="O6" s="1521" t="str"/>
      <x:c r="P6" s="2900" t="str"/>
    </x:row>
    <x:row r="7">
      <x:c r="A7" s="2899" t="str">
        <x:v>ARCH-003</x:v>
      </x:c>
      <x:c r="B7" s="1521" t="str">
        <x:v>SSL</x:v>
      </x:c>
      <x:c r="C7" s="1521" t="str">
        <x:v>Cloudflare Pages側の証明書管理を利用</x:v>
      </x:c>
      <x:c r="D7" s="1521" t="str">
        <x:v>自動更新を前提に手動失効リスクを低減</x:v>
      </x:c>
      <x:c r="E7" s="1521" t="str">
        <x:v>カスタムドメイン登録後にHTTPS確認</x:v>
      </x:c>
      <x:c r="F7" s="1521" t="str">
        <x:v>CAAレコード、証明書管理、障害時連絡</x:v>
      </x:c>
      <x:c r="G7" s="1521" t="str">
        <x:v>情シス指定SSL運用</x:v>
      </x:c>
      <x:c r="H7" s="1521" t="str">
        <x:v>0円を原則</x:v>
      </x:c>
      <x:c r="I7" s="1521" t="str">
        <x:v>山元氏</x:v>
      </x:c>
      <x:c r="J7" s="1521" t="str">
        <x:v>仮決定</x:v>
      </x:c>
      <x:c r="K7" s="1521" t="str"/>
      <x:c r="L7" s="1521" t="str"/>
      <x:c r="M7" s="1521" t="str">
        <x:v>証明書画面</x:v>
      </x:c>
      <x:c r="N7" s="1521" t="str"/>
      <x:c r="O7" s="1521" t="str"/>
      <x:c r="P7" s="2900" t="str"/>
    </x:row>
    <x:row r="8">
      <x:c r="A8" s="2899" t="str">
        <x:v>ARCH-004</x:v>
      </x:c>
      <x:c r="B8" s="1521" t="str">
        <x:v>公開フォーム</x:v>
      </x:c>
      <x:c r="C8" s="1521" t="str">
        <x:v>Microsoft Forms</x:v>
      </x:c>
      <x:c r="D8" s="1521" t="str">
        <x:v>既存Microsoft 365、外部回答、Web埋込、Excel連携を利用できる可能性</x:v>
      </x:c>
      <x:c r="E8" s="1521" t="str">
        <x:v>LPへ埋込または外部リンク。初期はファイル添付なし</x:v>
      </x:c>
      <x:c r="F8" s="1521" t="str">
        <x:v>契約プラン、外部回答可否、埋込可否、保存先、共有所有者</x:v>
      </x:c>
      <x:c r="G8" s="1521" t="str">
        <x:v>LP内の別フォームサービスまたは静的フォーム</x:v>
      </x:c>
      <x:c r="H8" s="1521" t="str">
        <x:v>既存契約内</x:v>
      </x:c>
      <x:c r="I8" s="1521" t="str">
        <x:v>山元氏</x:v>
      </x:c>
      <x:c r="J8" s="1521" t="str">
        <x:v>仮決定</x:v>
      </x:c>
      <x:c r="K8" s="1521" t="str"/>
      <x:c r="L8" s="1521" t="str"/>
      <x:c r="M8" s="1521" t="str">
        <x:v>Forms設定</x:v>
      </x:c>
      <x:c r="N8" s="1521" t="str"/>
      <x:c r="O8" s="1521" t="str"/>
      <x:c r="P8" s="2900" t="str"/>
    </x:row>
    <x:row r="9">
      <x:c r="A9" s="2899" t="str">
        <x:v>ARCH-005</x:v>
      </x:c>
      <x:c r="B9" s="1521" t="str">
        <x:v>回答保存</x:v>
      </x:c>
      <x:c r="C9" s="1521" t="str">
        <x:v>Microsoft Forms連携Excel</x:v>
      </x:c>
      <x:c r="D9" s="1521" t="str">
        <x:v>初期月数件のため、Excel接続で十分</x:v>
      </x:c>
      <x:c r="E9" s="1521" t="str">
        <x:v>回答ブックをOneDriveまたはSharePointで管理</x:v>
      </x:c>
      <x:c r="F9" s="1521" t="str">
        <x:v>個人フォーム／グループフォーム、権限、保存期間</x:v>
      </x:c>
      <x:c r="G9" s="1521" t="str">
        <x:v>CSVダウンロード＋診断台帳へ転記</x:v>
      </x:c>
      <x:c r="H9" s="1521" t="str">
        <x:v>既存契約内</x:v>
      </x:c>
      <x:c r="I9" s="1521" t="str">
        <x:v>山元氏</x:v>
      </x:c>
      <x:c r="J9" s="1521" t="str">
        <x:v>仮決定</x:v>
      </x:c>
      <x:c r="K9" s="1521" t="str"/>
      <x:c r="L9" s="1521" t="str"/>
      <x:c r="M9" s="1521" t="str">
        <x:v>Excel保存先</x:v>
      </x:c>
      <x:c r="N9" s="1521" t="str"/>
      <x:c r="O9" s="1521" t="str"/>
      <x:c r="P9" s="2900" t="str"/>
    </x:row>
    <x:row r="10">
      <x:c r="A10" s="2899" t="str">
        <x:v>ARCH-006</x:v>
      </x:c>
      <x:c r="B10" s="1521" t="str">
        <x:v>受付状態</x:v>
      </x:c>
      <x:c r="C10" s="1521" t="str">
        <x:v>LPのCTA・埋込表示を切替</x:v>
      </x:c>
      <x:c r="D10" s="1521" t="str">
        <x:v>Webは公開したまま受付のみ停止できる</x:v>
      </x:c>
      <x:c r="E10" s="1521" t="str">
        <x:v>期間外はFormsを非表示または無効化し、準備中文面を表示</x:v>
      </x:c>
      <x:c r="F10" s="1521" t="str">
        <x:v>切替権限、緊急停止方法、社内テスト経路</x:v>
      </x:c>
      <x:c r="G10" s="1521" t="str">
        <x:v>限定Forms URLで社内テスト</x:v>
      </x:c>
      <x:c r="H10" s="1521" t="str">
        <x:v>0円</x:v>
      </x:c>
      <x:c r="I10" s="1521" t="str">
        <x:v>山元氏</x:v>
      </x:c>
      <x:c r="J10" s="1521" t="str">
        <x:v>仮決定</x:v>
      </x:c>
      <x:c r="K10" s="1521" t="str"/>
      <x:c r="L10" s="1521" t="str"/>
      <x:c r="M10" s="1521" t="str">
        <x:v>切替テスト</x:v>
      </x:c>
      <x:c r="N10" s="1521" t="str"/>
      <x:c r="O10" s="1521" t="str"/>
      <x:c r="P10" s="2900" t="str"/>
    </x:row>
    <x:row r="11">
      <x:c r="A11" s="2899" t="str">
        <x:v>ARCH-007</x:v>
      </x:c>
      <x:c r="B11" s="1521" t="str">
        <x:v>更新方法</x:v>
      </x:c>
      <x:c r="C11" s="1521" t="str">
        <x:v>初期はDirect Upload、安定後にGit連携を再検討</x:v>
      </x:c>
      <x:c r="D11" s="1521" t="str">
        <x:v>最短で開始し、初期にGit運用を必須化しない</x:v>
      </x:c>
      <x:c r="E11" s="1521" t="str">
        <x:v>HTML一式をzipまたはフォルダでアップロード</x:v>
      </x:c>
      <x:c r="F11" s="1521" t="str">
        <x:v>アカウント権限、変更履歴、バックアップ</x:v>
      </x:c>
      <x:c r="G11" s="1521" t="str">
        <x:v>GitHub連携または情シス管理アップロード</x:v>
      </x:c>
      <x:c r="H11" s="1521" t="str">
        <x:v>0円</x:v>
      </x:c>
      <x:c r="I11" s="1521" t="str">
        <x:v>山元氏</x:v>
      </x:c>
      <x:c r="J11" s="1521" t="str">
        <x:v>仮決定</x:v>
      </x:c>
      <x:c r="K11" s="1521" t="str"/>
      <x:c r="L11" s="1521" t="str"/>
      <x:c r="M11" s="1521" t="str">
        <x:v>デプロイ記録</x:v>
      </x:c>
      <x:c r="N11" s="1521" t="str"/>
      <x:c r="O11" s="1521" t="str"/>
      <x:c r="P11" s="2900" t="str"/>
    </x:row>
    <x:row r="12">
      <x:c r="A12" s="2901" t="str">
        <x:v>ARCH-008</x:v>
      </x:c>
      <x:c r="B12" s="2902" t="str">
        <x:v>分析</x:v>
      </x:c>
      <x:c r="C12" s="2902" t="str">
        <x:v>Cloudflareアクセス情報＋Forms回答数</x:v>
      </x:c>
      <x:c r="D12" s="2902" t="str">
        <x:v>LP流入と回答件数を分けて確認可能</x:v>
      </x:c>
      <x:c r="E12" s="2902" t="str">
        <x:v>初期は月次手動集計</x:v>
      </x:c>
      <x:c r="F12" s="2902" t="str">
        <x:v>閲覧権限、ログ保持、Cookie・プライバシー対応</x:v>
      </x:c>
      <x:c r="G12" s="2902" t="str">
        <x:v>アクセス解析なしで開始し回答件数のみ</x:v>
      </x:c>
      <x:c r="H12" s="2902" t="str">
        <x:v>0円を原則</x:v>
      </x:c>
      <x:c r="I12" s="2902" t="str">
        <x:v>山元氏</x:v>
      </x:c>
      <x:c r="J12" s="2902" t="str">
        <x:v>仮決定</x:v>
      </x:c>
      <x:c r="K12" s="2902" t="str"/>
      <x:c r="L12" s="2902" t="str"/>
      <x:c r="M12" s="2902" t="str">
        <x:v>月次記録</x:v>
      </x:c>
      <x:c r="N12" s="2902" t="str"/>
      <x:c r="O12" s="2902" t="str"/>
      <x:c r="P12" s="2903" t="str"/>
    </x:row>
  </x:sheetData>
  <x:mergeCells>
    <x:mergeCell ref="A1:P1"/>
    <x:mergeCell ref="A2:P2"/>
  </x:mergeCells>
  <x:dataValidations count="1">
    <x:dataValidation type="list" sqref="J5:J12">
      <x:formula1>"仮決定,確認中,条件付き採用,確定,見直し,保留"</x:formula1>
    </x:dataValidation>
  </x:dataValidations>
  <x:pageMargins left="0.7" right="0.7" top="0.75" bottom="0.75" header="0.3" footer="0.3"/>
</x:worksheet>
</file>

<file path=xl/worksheets/sheet75.xml><?xml version="1.0" encoding="utf-8"?>
<x:worksheet xmlns:x="http://schemas.openxmlformats.org/spreadsheetml/2006/main">
  <x:sheetFormatPr defaultRowHeight="15"/>
  <x:cols>
    <x:col min="1" max="1" width="8" hidden="0" customWidth="1"/>
    <x:col min="2" max="2" width="18" hidden="0" customWidth="1"/>
    <x:col min="3" max="3" width="38" hidden="0" customWidth="1"/>
    <x:col min="4" max="4" width="22" hidden="0" customWidth="1"/>
    <x:col min="5" max="5" width="28" hidden="0" customWidth="1"/>
    <x:col min="6" max="6" width="24" hidden="0" customWidth="1"/>
    <x:col min="7" max="7" width="18" hidden="0" customWidth="1"/>
    <x:col min="8" max="8" width="30" hidden="0" customWidth="1"/>
    <x:col min="9" max="9" width="24" hidden="0" customWidth="1"/>
    <x:col min="10" max="10" width="18" hidden="0" customWidth="1"/>
    <x:col min="11" max="11" width="14" hidden="0" customWidth="1"/>
    <x:col min="12" max="12" width="14" hidden="0" customWidth="1"/>
    <x:col min="13" max="13" width="14" hidden="0" customWidth="1"/>
    <x:col min="14" max="14" width="22" hidden="0" customWidth="1"/>
    <x:col min="15" max="15" width="20" hidden="0" customWidth="1"/>
    <x:col min="16" max="16" width="22" hidden="0" customWidth="1"/>
  </x:cols>
  <x:sheetData>
    <x:row r="1" ht="30" customHeight="1">
      <x:c r="A1" s="2862" t="str">
        <x:v>74_LP仮構築手順</x:v>
      </x:c>
      <x:c r="B1" s="2862"/>
      <x:c r="C1" s="2862"/>
      <x:c r="D1" s="2862"/>
      <x:c r="E1" s="2862"/>
      <x:c r="F1" s="2862"/>
      <x:c r="G1" s="2862"/>
      <x:c r="H1" s="2862"/>
      <x:c r="I1" s="2862"/>
      <x:c r="J1" s="2862"/>
      <x:c r="K1" s="2862"/>
      <x:c r="L1" s="2862"/>
      <x:c r="M1" s="2862"/>
      <x:c r="N1" s="2862"/>
      <x:c r="O1" s="2862"/>
      <x:c r="P1" s="2862"/>
    </x:row>
    <x:row r="2" ht="38" customHeight="1">
      <x:c r="A2" s="2865" t="str">
        <x:v>情シスの最終確認を待たずに、変更可能な範囲で仮URL・HTML・Microsoft Formsを作成し、後からDNS接続できるように進める。</x:v>
      </x:c>
      <x:c r="B2" s="2865"/>
      <x:c r="C2" s="2865"/>
      <x:c r="D2" s="2865"/>
      <x:c r="E2" s="2865"/>
      <x:c r="F2" s="2865"/>
      <x:c r="G2" s="2865"/>
      <x:c r="H2" s="2865"/>
      <x:c r="I2" s="2865"/>
      <x:c r="J2" s="2865"/>
      <x:c r="K2" s="2865"/>
      <x:c r="L2" s="2865"/>
      <x:c r="M2" s="2865"/>
      <x:c r="N2" s="2865"/>
      <x:c r="O2" s="2865"/>
      <x:c r="P2" s="2865"/>
    </x:row>
    <x:row r="4" ht="38" customHeight="1">
      <x:c r="A4" s="2877" t="str">
        <x:v>Step</x:v>
      </x:c>
      <x:c r="B4" s="2878" t="str">
        <x:v>工程</x:v>
      </x:c>
      <x:c r="C4" s="2878" t="str">
        <x:v>作業内容</x:v>
      </x:c>
      <x:c r="D4" s="2878" t="str">
        <x:v>入力資料</x:v>
      </x:c>
      <x:c r="E4" s="2878" t="str">
        <x:v>成果物</x:v>
      </x:c>
      <x:c r="F4" s="2878" t="str">
        <x:v>情シス確認</x:v>
      </x:c>
      <x:c r="G4" s="2878" t="str">
        <x:v>実施可能時期</x:v>
      </x:c>
      <x:c r="H4" s="2878" t="str">
        <x:v>完了条件</x:v>
      </x:c>
      <x:c r="I4" s="2878" t="str">
        <x:v>ロールバック</x:v>
      </x:c>
      <x:c r="J4" s="2878" t="str">
        <x:v>主担当</x:v>
      </x:c>
      <x:c r="K4" s="2878" t="str">
        <x:v>状態</x:v>
      </x:c>
      <x:c r="L4" s="2878" t="str">
        <x:v>予定日</x:v>
      </x:c>
      <x:c r="M4" s="2878" t="str">
        <x:v>実施日</x:v>
      </x:c>
      <x:c r="N4" s="2878" t="str">
        <x:v>証跡</x:v>
      </x:c>
      <x:c r="O4" s="2878" t="str">
        <x:v>次工程</x:v>
      </x:c>
      <x:c r="P4" s="2879" t="str">
        <x:v>備考</x:v>
      </x:c>
    </x:row>
    <x:row r="5">
      <x:c r="A5" s="2896" t="n">
        <x:v>1</x:v>
      </x:c>
      <x:c r="B5" s="2897" t="str">
        <x:v>Cloudflare仮環境</x:v>
      </x:c>
      <x:c r="C5" s="2897" t="str">
        <x:v>CloudflareアカウントとPages仮プロジェクトを用意</x:v>
      </x:c>
      <x:c r="D5" s="2897" t="str">
        <x:v>63/73</x:v>
      </x:c>
      <x:c r="E5" s="2897" t="str">
        <x:v>pages.dev仮URL</x:v>
      </x:c>
      <x:c r="F5" s="2897" t="str">
        <x:v>アカウント利用可否は後追い確認可</x:v>
      </x:c>
      <x:c r="G5" s="2897" t="str">
        <x:v>即時候補</x:v>
      </x:c>
      <x:c r="H5" s="2897" t="str">
        <x:v>仮URLが表示される</x:v>
      </x:c>
      <x:c r="I5" s="2897" t="str">
        <x:v>プロジェクト削除</x:v>
      </x:c>
      <x:c r="J5" s="2897" t="str">
        <x:v>山元氏</x:v>
      </x:c>
      <x:c r="K5" s="2897" t="str">
        <x:v>確認待ち</x:v>
      </x:c>
      <x:c r="L5" s="2897" t="str"/>
      <x:c r="M5" s="2897" t="str"/>
      <x:c r="N5" s="2897" t="str"/>
      <x:c r="O5" s="2897" t="str">
        <x:v>HTML作成</x:v>
      </x:c>
      <x:c r="P5" s="2898" t="str"/>
    </x:row>
    <x:row r="6">
      <x:c r="A6" s="2899" t="n">
        <x:v>2</x:v>
      </x:c>
      <x:c r="B6" s="1521" t="str">
        <x:v>HTML初版</x:v>
      </x:c>
      <x:c r="C6" s="1521" t="str">
        <x:v>65・66を基に1ページLPをHTML/CSSで作成</x:v>
      </x:c>
      <x:c r="D6" s="1521" t="str">
        <x:v>65/66/67</x:v>
      </x:c>
      <x:c r="E6" s="1521" t="str">
        <x:v>LPファイル一式</x:v>
      </x:c>
      <x:c r="F6" s="1521" t="str">
        <x:v>不要</x:v>
      </x:c>
      <x:c r="G6" s="1521" t="str">
        <x:v>即時</x:v>
      </x:c>
      <x:c r="H6" s="1521" t="str">
        <x:v>PC・スマホで主要ブロック表示</x:v>
      </x:c>
      <x:c r="I6" s="1521" t="str">
        <x:v>旧zipを再アップロード</x:v>
      </x:c>
      <x:c r="J6" s="1521" t="str">
        <x:v>山元氏＋AI</x:v>
      </x:c>
      <x:c r="K6" s="1521" t="str">
        <x:v>完了</x:v>
      </x:c>
      <x:c r="L6" s="1521" t="str"/>
      <x:c r="M6" s="1521" t="str"/>
      <x:c r="N6" s="1521" t="str">
        <x:v>/mnt/data/Energy_Doctor_LP_Prototype_v0.1.zip</x:v>
      </x:c>
      <x:c r="O6" s="1521" t="str">
        <x:v>Forms作成</x:v>
      </x:c>
      <x:c r="P6" s="2900" t="str"/>
    </x:row>
    <x:row r="7">
      <x:c r="A7" s="2899" t="n">
        <x:v>3</x:v>
      </x:c>
      <x:c r="B7" s="1521" t="str">
        <x:v>Forms初版</x:v>
      </x:c>
      <x:c r="C7" s="1521" t="str">
        <x:v>58・68を基にMicrosoft Formsを作成</x:v>
      </x:c>
      <x:c r="D7" s="1521" t="str">
        <x:v>58/68</x:v>
      </x:c>
      <x:c r="E7" s="1521" t="str">
        <x:v>公開質問フォーム</x:v>
      </x:c>
      <x:c r="F7" s="1521" t="str">
        <x:v>外部回答可否・共有所有者</x:v>
      </x:c>
      <x:c r="G7" s="1521" t="str">
        <x:v>即時候補</x:v>
      </x:c>
      <x:c r="H7" s="1521" t="str">
        <x:v>18問＋基本情報＋同意が入力可能</x:v>
      </x:c>
      <x:c r="I7" s="1521" t="str">
        <x:v>フォームを非公開</x:v>
      </x:c>
      <x:c r="J7" s="1521" t="str">
        <x:v>山元氏</x:v>
      </x:c>
      <x:c r="K7" s="1521" t="str">
        <x:v>仕様作成済</x:v>
      </x:c>
      <x:c r="L7" s="1521" t="str"/>
      <x:c r="M7" s="1521" t="str"/>
      <x:c r="N7" s="1521" t="str">
        <x:v>/mnt/data/Energy_Doctor_LP_Prototype_v0.1.zip</x:v>
      </x:c>
      <x:c r="O7" s="1521" t="str">
        <x:v>LP接続</x:v>
      </x:c>
      <x:c r="P7" s="2900" t="str"/>
    </x:row>
    <x:row r="8">
      <x:c r="A8" s="2899" t="n">
        <x:v>4</x:v>
      </x:c>
      <x:c r="B8" s="1521" t="str">
        <x:v>LP接続</x:v>
      </x:c>
      <x:c r="C8" s="1521" t="str">
        <x:v>FormsをLPへ埋込またはリンク</x:v>
      </x:c>
      <x:c r="D8" s="1521" t="str">
        <x:v>59/67/73</x:v>
      </x:c>
      <x:c r="E8" s="1521" t="str">
        <x:v>仮URL統合版</x:v>
      </x:c>
      <x:c r="F8" s="1521" t="str">
        <x:v>埋込可否</x:v>
      </x:c>
      <x:c r="G8" s="1521" t="str">
        <x:v>Forms完成後</x:v>
      </x:c>
      <x:c r="H8" s="1521" t="str">
        <x:v>送信・通知・Excel出力を確認</x:v>
      </x:c>
      <x:c r="I8" s="1521" t="str">
        <x:v>リンクを外す</x:v>
      </x:c>
      <x:c r="J8" s="1521" t="str">
        <x:v>山元氏</x:v>
      </x:c>
      <x:c r="K8" s="1521" t="str">
        <x:v>未着手</x:v>
      </x:c>
      <x:c r="L8" s="1521" t="str"/>
      <x:c r="M8" s="1521" t="str"/>
      <x:c r="N8" s="1521" t="str"/>
      <x:c r="O8" s="1521" t="str">
        <x:v>期間外制御</x:v>
      </x:c>
      <x:c r="P8" s="2900" t="str"/>
    </x:row>
    <x:row r="9">
      <x:c r="A9" s="2899" t="n">
        <x:v>5</x:v>
      </x:c>
      <x:c r="B9" s="1521" t="str">
        <x:v>期間外制御</x:v>
      </x:c>
      <x:c r="C9" s="1521" t="str">
        <x:v>受付準備中文面とフォーム非表示を実装</x:v>
      </x:c>
      <x:c r="D9" s="1521" t="str">
        <x:v>59/67</x:v>
      </x:c>
      <x:c r="E9" s="1521" t="str">
        <x:v>期間外版LP</x:v>
      </x:c>
      <x:c r="F9" s="1521" t="str">
        <x:v>緊急停止方法</x:v>
      </x:c>
      <x:c r="G9" s="1521" t="str">
        <x:v>仮URL完成後</x:v>
      </x:c>
      <x:c r="H9" s="1521" t="str">
        <x:v>一般送信不可</x:v>
      </x:c>
      <x:c r="I9" s="1521" t="str">
        <x:v>前版へ戻す</x:v>
      </x:c>
      <x:c r="J9" s="1521" t="str">
        <x:v>山元氏</x:v>
      </x:c>
      <x:c r="K9" s="1521" t="str">
        <x:v>未着手</x:v>
      </x:c>
      <x:c r="L9" s="1521" t="str"/>
      <x:c r="M9" s="1521" t="str"/>
      <x:c r="N9" s="1521" t="str"/>
      <x:c r="O9" s="1521" t="str">
        <x:v>A3素材</x:v>
      </x:c>
      <x:c r="P9" s="2900" t="str"/>
    </x:row>
    <x:row r="10">
      <x:c r="A10" s="2899" t="n">
        <x:v>6</x:v>
      </x:c>
      <x:c r="B10" s="1521" t="str">
        <x:v>A3素材</x:v>
      </x:c>
      <x:c r="C10" s="1521" t="str">
        <x:v>69に基づき架空サンプル画像を作成</x:v>
      </x:c>
      <x:c r="D10" s="1521" t="str">
        <x:v>69</x:v>
      </x:c>
      <x:c r="E10" s="1521" t="str">
        <x:v>A3サンプル画像</x:v>
      </x:c>
      <x:c r="F10" s="1521" t="str">
        <x:v>不要</x:v>
      </x:c>
      <x:c r="G10" s="1521" t="str">
        <x:v>並行可能</x:v>
      </x:c>
      <x:c r="H10" s="1521" t="str">
        <x:v>実顧客情報なし</x:v>
      </x:c>
      <x:c r="I10" s="1521" t="str">
        <x:v>画像削除</x:v>
      </x:c>
      <x:c r="J10" s="1521" t="str">
        <x:v>山元氏＋AI</x:v>
      </x:c>
      <x:c r="K10" s="1521" t="str">
        <x:v>未着手</x:v>
      </x:c>
      <x:c r="L10" s="1521" t="str"/>
      <x:c r="M10" s="1521" t="str"/>
      <x:c r="N10" s="1521" t="str"/>
      <x:c r="O10" s="1521" t="str">
        <x:v>統合試験</x:v>
      </x:c>
      <x:c r="P10" s="2900" t="str"/>
    </x:row>
    <x:row r="11">
      <x:c r="A11" s="2899" t="n">
        <x:v>7</x:v>
      </x:c>
      <x:c r="B11" s="1521" t="str">
        <x:v>統合試験</x:v>
      </x:c>
      <x:c r="C11" s="1521" t="str">
        <x:v>61のWebテストと模擬案件3件を実施</x:v>
      </x:c>
      <x:c r="D11" s="1521" t="str">
        <x:v>55/61</x:v>
      </x:c>
      <x:c r="E11" s="1521" t="str">
        <x:v>試験記録</x:v>
      </x:c>
      <x:c r="F11" s="1521" t="str">
        <x:v>必要時個別支援</x:v>
      </x:c>
      <x:c r="G11" s="1521" t="str">
        <x:v>仮URL統合後</x:v>
      </x:c>
      <x:c r="H11" s="1521" t="str">
        <x:v>全S項目合格</x:v>
      </x:c>
      <x:c r="I11" s="1521" t="str">
        <x:v>期間外継続</x:v>
      </x:c>
      <x:c r="J11" s="1521" t="str">
        <x:v>山元氏</x:v>
      </x:c>
      <x:c r="K11" s="1521" t="str">
        <x:v>未着手</x:v>
      </x:c>
      <x:c r="L11" s="1521" t="str"/>
      <x:c r="M11" s="1521" t="str"/>
      <x:c r="N11" s="1521" t="str"/>
      <x:c r="O11" s="1521" t="str">
        <x:v>DNS接続</x:v>
      </x:c>
      <x:c r="P11" s="2900" t="str"/>
    </x:row>
    <x:row r="12">
      <x:c r="A12" s="2899" t="n">
        <x:v>8</x:v>
      </x:c>
      <x:c r="B12" s="1521" t="str">
        <x:v>DNS接続</x:v>
      </x:c>
      <x:c r="C12" s="1521" t="str">
        <x:v>情シス確認後、サブドメインとSSLを接続</x:v>
      </x:c>
      <x:c r="D12" s="1521" t="str">
        <x:v>63/73</x:v>
      </x:c>
      <x:c r="E12" s="1521" t="str">
        <x:v>本番URL</x:v>
      </x:c>
      <x:c r="F12" s="1521" t="str">
        <x:v>必須</x:v>
      </x:c>
      <x:c r="G12" s="1521" t="str">
        <x:v>技術回答後</x:v>
      </x:c>
      <x:c r="H12" s="1521" t="str">
        <x:v>HTTPSで表示</x:v>
      </x:c>
      <x:c r="I12" s="1521" t="str">
        <x:v>CNAME切戻し</x:v>
      </x:c>
      <x:c r="J12" s="1521" t="str">
        <x:v>情シス＋山元氏</x:v>
      </x:c>
      <x:c r="K12" s="1521" t="str">
        <x:v>未着手</x:v>
      </x:c>
      <x:c r="L12" s="1521" t="str"/>
      <x:c r="M12" s="1521" t="str"/>
      <x:c r="N12" s="1521" t="str"/>
      <x:c r="O12" s="1521" t="str">
        <x:v>相互リンク</x:v>
      </x:c>
      <x:c r="P12" s="2900" t="str"/>
    </x:row>
    <x:row r="13">
      <x:c r="A13" s="2899" t="n">
        <x:v>9</x:v>
      </x:c>
      <x:c r="B13" s="1521" t="str">
        <x:v>相互リンク</x:v>
      </x:c>
      <x:c r="C13" s="1521" t="str">
        <x:v>既存公式サイトとLPを相互リンク</x:v>
      </x:c>
      <x:c r="D13" s="1521" t="str">
        <x:v>62/67</x:v>
      </x:c>
      <x:c r="E13" s="1521" t="str">
        <x:v>関連サイト導線</x:v>
      </x:c>
      <x:c r="F13" s="1521" t="str">
        <x:v>既存サイト変更担当</x:v>
      </x:c>
      <x:c r="G13" s="1521" t="str">
        <x:v>DNS接続後</x:v>
      </x:c>
      <x:c r="H13" s="1521" t="str">
        <x:v>双方遷移正常</x:v>
      </x:c>
      <x:c r="I13" s="1521" t="str">
        <x:v>リンク削除</x:v>
      </x:c>
      <x:c r="J13" s="1521" t="str">
        <x:v>山元氏＋既存Web担当</x:v>
      </x:c>
      <x:c r="K13" s="1521" t="str">
        <x:v>未着手</x:v>
      </x:c>
      <x:c r="L13" s="1521" t="str"/>
      <x:c r="M13" s="1521" t="str"/>
      <x:c r="N13" s="1521" t="str"/>
      <x:c r="O13" s="1521" t="str">
        <x:v>受付開始</x:v>
      </x:c>
      <x:c r="P13" s="2900" t="str"/>
    </x:row>
    <x:row r="14">
      <x:c r="A14" s="2901" t="n">
        <x:v>10</x:v>
      </x:c>
      <x:c r="B14" s="2902" t="str">
        <x:v>受付開始</x:v>
      </x:c>
      <x:c r="C14" s="2902" t="str">
        <x:v>56の条件適合後にForms表示・CTA有効化</x:v>
      </x:c>
      <x:c r="D14" s="2902" t="str">
        <x:v>56</x:v>
      </x:c>
      <x:c r="E14" s="2902" t="str">
        <x:v>受付開始版</x:v>
      </x:c>
      <x:c r="F14" s="2902" t="str">
        <x:v>必要時通知</x:v>
      </x:c>
      <x:c r="G14" s="2902" t="str">
        <x:v>全S合格後</x:v>
      </x:c>
      <x:c r="H14" s="2902" t="str">
        <x:v>一般送信・通知正常</x:v>
      </x:c>
      <x:c r="I14" s="2902" t="str">
        <x:v>期間外へ即時戻す</x:v>
      </x:c>
      <x:c r="J14" s="2902" t="str">
        <x:v>山元氏</x:v>
      </x:c>
      <x:c r="K14" s="2902" t="str">
        <x:v>未着手</x:v>
      </x:c>
      <x:c r="L14" s="2902" t="str"/>
      <x:c r="M14" s="2902" t="str"/>
      <x:c r="N14" s="2902" t="str"/>
      <x:c r="O14" s="2902" t="str">
        <x:v>パイロット</x:v>
      </x:c>
      <x:c r="P14" s="2903" t="str"/>
    </x:row>
  </x:sheetData>
  <x:mergeCells>
    <x:mergeCell ref="A1:P1"/>
    <x:mergeCell ref="A2:P2"/>
  </x:mergeCells>
  <x:conditionalFormatting sqref="K5:K14">
    <x:cfRule type="expression" dxfId="33" priority="1">
      <x:formula>K5="完了"</x:formula>
    </x:cfRule>
    <x:cfRule type="expression" dxfId="34" priority="2">
      <x:formula>K5="確認待ち"</x:formula>
    </x:cfRule>
  </x:conditionalFormatting>
  <x:dataValidations count="1">
    <x:dataValidation type="list" sqref="K5:K14">
      <x:formula1>"未着手,実施中,確認待ち,完了,保留"</x:formula1>
    </x:dataValidation>
  </x:dataValidations>
  <x:pageMargins left="0.7" right="0.7" top="0.75" bottom="0.75" header="0.3" footer="0.3"/>
</x:worksheet>
</file>

<file path=xl/worksheets/sheet76.xml><?xml version="1.0" encoding="utf-8"?>
<x:worksheet xmlns:x="http://schemas.openxmlformats.org/spreadsheetml/2006/main">
  <x:sheetFormatPr defaultRowHeight="15"/>
  <x:cols>
    <x:col min="1" max="1" width="12" hidden="0" customWidth="1"/>
    <x:col min="2" max="2" width="24" hidden="0" customWidth="1"/>
    <x:col min="3" max="3" width="20" hidden="0" customWidth="1"/>
    <x:col min="4" max="4" width="38" hidden="0" customWidth="1"/>
    <x:col min="5" max="5" width="24" hidden="0" customWidth="1"/>
    <x:col min="6" max="6" width="18" hidden="0" customWidth="1"/>
    <x:col min="7" max="7" width="18" hidden="0" customWidth="1"/>
    <x:col min="8" max="8" width="18" hidden="0" customWidth="1"/>
    <x:col min="9" max="9" width="16" hidden="0" customWidth="1"/>
    <x:col min="10" max="10" width="22" hidden="0" customWidth="1"/>
    <x:col min="11" max="11" width="20" hidden="0" customWidth="1"/>
    <x:col min="12" max="12" width="30" hidden="0" customWidth="1"/>
    <x:col min="13" max="13" width="36" hidden="0" customWidth="1"/>
    <x:col min="14" max="14" width="14" hidden="0" customWidth="1"/>
    <x:col min="15" max="15" width="14" hidden="0" customWidth="1"/>
    <x:col min="16" max="16" width="22" hidden="0" customWidth="1"/>
  </x:cols>
  <x:sheetData>
    <x:row r="1" ht="30" customHeight="1">
      <x:c r="A1" s="2915" t="str">
        <x:v>75_LP_HTML初版仕様</x:v>
      </x:c>
      <x:c r="B1" s="2915"/>
      <x:c r="C1" s="2915"/>
      <x:c r="D1" s="2915"/>
      <x:c r="E1" s="2915"/>
      <x:c r="F1" s="2915"/>
      <x:c r="G1" s="2915"/>
      <x:c r="H1" s="2915"/>
      <x:c r="I1" s="2915"/>
      <x:c r="J1" s="2915"/>
      <x:c r="K1" s="2915"/>
      <x:c r="L1" s="2915"/>
      <x:c r="M1" s="2915"/>
      <x:c r="N1" s="2915"/>
      <x:c r="O1" s="2915"/>
      <x:c r="P1" s="2915"/>
    </x:row>
    <x:row r="2" ht="38" customHeight="1">
      <x:c r="A2" s="2918" t="str">
        <x:v>実際に作成したLPプロトタイプv0.1のファイル構成、実装機能、設定箇所、未確定事項を管理する。</x:v>
      </x:c>
      <x:c r="B2" s="2918"/>
      <x:c r="C2" s="2918"/>
      <x:c r="D2" s="2918"/>
      <x:c r="E2" s="2918"/>
      <x:c r="F2" s="2918"/>
      <x:c r="G2" s="2918"/>
      <x:c r="H2" s="2918"/>
      <x:c r="I2" s="2918"/>
      <x:c r="J2" s="2918"/>
      <x:c r="K2" s="2918"/>
      <x:c r="L2" s="2918"/>
      <x:c r="M2" s="2918"/>
      <x:c r="N2" s="2918"/>
      <x:c r="O2" s="2918"/>
      <x:c r="P2" s="2918"/>
    </x:row>
    <x:row r="4" ht="38" customHeight="1">
      <x:c r="A4" s="2930" t="str">
        <x:v>File ID</x:v>
      </x:c>
      <x:c r="B4" s="2931" t="str">
        <x:v>ファイル</x:v>
      </x:c>
      <x:c r="C4" s="2931" t="str">
        <x:v>役割</x:v>
      </x:c>
      <x:c r="D4" s="2931" t="str">
        <x:v>主な内容</x:v>
      </x:c>
      <x:c r="E4" s="2931" t="str">
        <x:v>設定箇所</x:v>
      </x:c>
      <x:c r="F4" s="2931" t="str">
        <x:v>受付期間外</x:v>
      </x:c>
      <x:c r="G4" s="2931" t="str">
        <x:v>社内テスト</x:v>
      </x:c>
      <x:c r="H4" s="2931" t="str">
        <x:v>受付開始</x:v>
      </x:c>
      <x:c r="I4" s="2931" t="str">
        <x:v>レスポンシブ</x:v>
      </x:c>
      <x:c r="J4" s="2931" t="str">
        <x:v>アクセシビリティ</x:v>
      </x:c>
      <x:c r="K4" s="2931" t="str">
        <x:v>依存サービス</x:v>
      </x:c>
      <x:c r="L4" s="2931" t="str">
        <x:v>未確定事項</x:v>
      </x:c>
      <x:c r="M4" s="2931" t="str">
        <x:v>成果物</x:v>
      </x:c>
      <x:c r="N4" s="2931" t="str">
        <x:v>状態</x:v>
      </x:c>
      <x:c r="O4" s="2931" t="str">
        <x:v>確認日</x:v>
      </x:c>
      <x:c r="P4" s="2932" t="str">
        <x:v>備考</x:v>
      </x:c>
    </x:row>
    <x:row r="5">
      <x:c r="A5" s="2949" t="str">
        <x:v>HTML-001</x:v>
      </x:c>
      <x:c r="B5" s="2950" t="str">
        <x:v>index.html</x:v>
      </x:c>
      <x:c r="C5" s="2950" t="str">
        <x:v>LP本文</x:v>
      </x:c>
      <x:c r="D5" s="2950" t="str">
        <x:v>65・66に基づく12セクション、FAQ、フォーム導線、相互リンク</x:v>
      </x:c>
      <x:c r="E5" s="2950" t="str">
        <x:v>本文・URL</x:v>
      </x:c>
      <x:c r="F5" s="2950" t="str">
        <x:v>準備中表示</x:v>
      </x:c>
      <x:c r="G5" s="2950" t="str">
        <x:v>テスト導線表示</x:v>
      </x:c>
      <x:c r="H5" s="2950" t="str">
        <x:v>Forms導線表示</x:v>
      </x:c>
      <x:c r="I5" s="2950" t="str">
        <x:v>対応</x:v>
      </x:c>
      <x:c r="J5" s="2950" t="str">
        <x:v>見出し・skip link・ARIA</x:v>
      </x:c>
      <x:c r="K5" s="2950" t="str">
        <x:v>なし</x:v>
      </x:c>
      <x:c r="L5" s="2950" t="str">
        <x:v>公式サイト内の個別リンクURL</x:v>
      </x:c>
      <x:c r="M5" s="2950" t="str">
        <x:v>/mnt/data/Energy_Doctor_LP_Prototype_v0.1.zip</x:v>
      </x:c>
      <x:c r="N5" s="2950" t="str">
        <x:v>作成済</x:v>
      </x:c>
      <x:c r="O5" s="2950" t="str"/>
      <x:c r="P5" s="2951" t="str"/>
    </x:row>
    <x:row r="6">
      <x:c r="A6" s="2952" t="str">
        <x:v>HTML-002</x:v>
      </x:c>
      <x:c r="B6" s="1521" t="str">
        <x:v>styles.css</x:v>
      </x:c>
      <x:c r="C6" s="1521" t="str">
        <x:v>デザイン</x:v>
      </x:c>
      <x:c r="D6" s="1521" t="str">
        <x:v>澤電気機械の信頼感を意識した青系、PC・スマホ対応</x:v>
      </x:c>
      <x:c r="E6" s="1521" t="str">
        <x:v>CSS変数</x:v>
      </x:c>
      <x:c r="F6" s="1521" t="str">
        <x:v>同じ</x:v>
      </x:c>
      <x:c r="G6" s="1521" t="str">
        <x:v>同じ</x:v>
      </x:c>
      <x:c r="H6" s="1521" t="str">
        <x:v>同じ</x:v>
      </x:c>
      <x:c r="I6" s="1521" t="str">
        <x:v>対応</x:v>
      </x:c>
      <x:c r="J6" s="1521" t="str">
        <x:v>コントラスト・タップ領域</x:v>
      </x:c>
      <x:c r="K6" s="1521" t="str">
        <x:v>なし</x:v>
      </x:c>
      <x:c r="L6" s="1521" t="str">
        <x:v>最終ブランド色・ロゴ</x:v>
      </x:c>
      <x:c r="M6" s="1521" t="str">
        <x:v>同上</x:v>
      </x:c>
      <x:c r="N6" s="1521" t="str">
        <x:v>作成済</x:v>
      </x:c>
      <x:c r="O6" s="1521" t="str"/>
      <x:c r="P6" s="2953" t="str"/>
    </x:row>
    <x:row r="7">
      <x:c r="A7" s="2952" t="str">
        <x:v>HTML-003</x:v>
      </x:c>
      <x:c r="B7" s="1521" t="str">
        <x:v>config.js</x:v>
      </x:c>
      <x:c r="C7" s="1521" t="str">
        <x:v>状態設定</x:v>
      </x:c>
      <x:c r="D7" s="1521" t="str">
        <x:v>closed/test/open/paused、Forms URL</x:v>
      </x:c>
      <x:c r="E7" s="1521" t="str">
        <x:v>receptionStatus・URL</x:v>
      </x:c>
      <x:c r="F7" s="1521" t="str">
        <x:v>closed</x:v>
      </x:c>
      <x:c r="G7" s="1521" t="str">
        <x:v>test</x:v>
      </x:c>
      <x:c r="H7" s="1521" t="str">
        <x:v>open</x:v>
      </x:c>
      <x:c r="I7" s="1521" t="str">
        <x:v>—</x:v>
      </x:c>
      <x:c r="J7" s="1521" t="str">
        <x:v>—</x:v>
      </x:c>
      <x:c r="K7" s="1521" t="str">
        <x:v>Microsoft Forms</x:v>
      </x:c>
      <x:c r="L7" s="1521" t="str">
        <x:v>実フォームURL</x:v>
      </x:c>
      <x:c r="M7" s="1521" t="str">
        <x:v>同上</x:v>
      </x:c>
      <x:c r="N7" s="1521" t="str">
        <x:v>作成済</x:v>
      </x:c>
      <x:c r="O7" s="1521" t="str"/>
      <x:c r="P7" s="2953" t="str"/>
    </x:row>
    <x:row r="8">
      <x:c r="A8" s="2952" t="str">
        <x:v>HTML-004</x:v>
      </x:c>
      <x:c r="B8" s="1521" t="str">
        <x:v>script.js</x:v>
      </x:c>
      <x:c r="C8" s="1521" t="str">
        <x:v>画面制御</x:v>
      </x:c>
      <x:c r="D8" s="1521" t="str">
        <x:v>受付状態切替、CTA、フォーム表示、スマホメニュー</x:v>
      </x:c>
      <x:c r="E8" s="1521" t="str">
        <x:v>config.js参照</x:v>
      </x:c>
      <x:c r="F8" s="1521" t="str">
        <x:v>送信不可</x:v>
      </x:c>
      <x:c r="G8" s="1521" t="str">
        <x:v>テストURL</x:v>
      </x:c>
      <x:c r="H8" s="1521" t="str">
        <x:v>公開URL</x:v>
      </x:c>
      <x:c r="I8" s="1521" t="str">
        <x:v>対応</x:v>
      </x:c>
      <x:c r="J8" s="1521" t="str">
        <x:v>ARIA状態更新</x:v>
      </x:c>
      <x:c r="K8" s="1521" t="str">
        <x:v>なし</x:v>
      </x:c>
      <x:c r="L8" s="1521" t="str">
        <x:v>なし</x:v>
      </x:c>
      <x:c r="M8" s="1521" t="str">
        <x:v>同上</x:v>
      </x:c>
      <x:c r="N8" s="1521" t="str">
        <x:v>作成済</x:v>
      </x:c>
      <x:c r="O8" s="1521" t="str"/>
      <x:c r="P8" s="2953" t="str"/>
    </x:row>
    <x:row r="9">
      <x:c r="A9" s="2952" t="str">
        <x:v>HTML-005</x:v>
      </x:c>
      <x:c r="B9" s="1521" t="str">
        <x:v>README.md</x:v>
      </x:c>
      <x:c r="C9" s="1521" t="str">
        <x:v>導入手順</x:v>
      </x:c>
      <x:c r="D9" s="1521" t="str">
        <x:v>Direct Upload、設定変更、注意事項</x:v>
      </x:c>
      <x:c r="E9" s="1521" t="str">
        <x:v>—</x:v>
      </x:c>
      <x:c r="F9" s="1521" t="str">
        <x:v>説明あり</x:v>
      </x:c>
      <x:c r="G9" s="1521" t="str">
        <x:v>説明あり</x:v>
      </x:c>
      <x:c r="H9" s="1521" t="str">
        <x:v>説明あり</x:v>
      </x:c>
      <x:c r="I9" s="1521" t="str">
        <x:v>—</x:v>
      </x:c>
      <x:c r="J9" s="1521" t="str">
        <x:v>—</x:v>
      </x:c>
      <x:c r="K9" s="1521" t="str">
        <x:v>Cloudflare Pages</x:v>
      </x:c>
      <x:c r="L9" s="1521" t="str">
        <x:v>社内アカウント</x:v>
      </x:c>
      <x:c r="M9" s="1521" t="str">
        <x:v>同上</x:v>
      </x:c>
      <x:c r="N9" s="1521" t="str">
        <x:v>作成済</x:v>
      </x:c>
      <x:c r="O9" s="1521" t="str"/>
      <x:c r="P9" s="2953" t="str"/>
    </x:row>
    <x:row r="10">
      <x:c r="A10" s="2954" t="str">
        <x:v>HTML-006</x:v>
      </x:c>
      <x:c r="B10" s="2955" t="str">
        <x:v>forms_implementation_spec.csv</x:v>
      </x:c>
      <x:c r="C10" s="2955" t="str">
        <x:v>Forms実装仕様</x:v>
      </x:c>
      <x:c r="D10" s="2955" t="str">
        <x:v>基本情報、18問、レポート希望、同意</x:v>
      </x:c>
      <x:c r="E10" s="2955" t="str">
        <x:v>Microsoft Forms側</x:v>
      </x:c>
      <x:c r="F10" s="2955" t="str">
        <x:v>未公開</x:v>
      </x:c>
      <x:c r="G10" s="2955" t="str">
        <x:v>限定</x:v>
      </x:c>
      <x:c r="H10" s="2955" t="str">
        <x:v>外部回答</x:v>
      </x:c>
      <x:c r="I10" s="2955" t="str">
        <x:v>Forms標準</x:v>
      </x:c>
      <x:c r="J10" s="2955" t="str">
        <x:v>Forms標準</x:v>
      </x:c>
      <x:c r="K10" s="2955" t="str">
        <x:v>Microsoft Forms</x:v>
      </x:c>
      <x:c r="L10" s="2955" t="str">
        <x:v>外部回答・所有者・保存先</x:v>
      </x:c>
      <x:c r="M10" s="2955" t="str">
        <x:v>同上</x:v>
      </x:c>
      <x:c r="N10" s="2955" t="str">
        <x:v>作成済</x:v>
      </x:c>
      <x:c r="O10" s="2955" t="str"/>
      <x:c r="P10" s="2956" t="str"/>
    </x:row>
  </x:sheetData>
  <x:mergeCells>
    <x:mergeCell ref="A1:P1"/>
    <x:mergeCell ref="A2:P2"/>
  </x:mergeCells>
  <x:dataValidations count="1">
    <x:dataValidation type="list" sqref="N5:N10">
      <x:formula1>"未着手,作成中,作成済,テスト中,完了,保留"</x:formula1>
    </x:dataValidation>
  </x:dataValidations>
  <x:pageMargins left="0.7" right="0.7" top="0.75" bottom="0.75" header="0.3" footer="0.3"/>
</x:worksheet>
</file>

<file path=xl/worksheets/sheet77.xml><?xml version="1.0" encoding="utf-8"?>
<x:worksheet xmlns:x="http://schemas.openxmlformats.org/spreadsheetml/2006/main">
  <x:sheetFormatPr defaultRowHeight="15"/>
  <x:cols>
    <x:col min="1" max="1" width="12" hidden="0" customWidth="1"/>
    <x:col min="2" max="2" width="16" hidden="0" customWidth="1"/>
    <x:col min="3" max="3" width="24" hidden="0" customWidth="1"/>
    <x:col min="4" max="4" width="38" hidden="0" customWidth="1"/>
    <x:col min="5" max="5" width="28" hidden="0" customWidth="1"/>
    <x:col min="6" max="6" width="12" hidden="0" customWidth="1"/>
    <x:col min="7" max="7" width="28" hidden="0" customWidth="1"/>
    <x:col min="8" max="8" width="28" hidden="0" customWidth="1"/>
    <x:col min="9" max="9" width="16" hidden="0" customWidth="1"/>
    <x:col min="10" max="10" width="18" hidden="0" customWidth="1"/>
    <x:col min="11" max="11" width="18" hidden="0" customWidth="1"/>
    <x:col min="12" max="12" width="22" hidden="0" customWidth="1"/>
    <x:col min="13" max="13" width="18" hidden="0" customWidth="1"/>
    <x:col min="14" max="14" width="14" hidden="0" customWidth="1"/>
    <x:col min="15" max="15" width="14" hidden="0" customWidth="1"/>
    <x:col min="16" max="16" width="22" hidden="0" customWidth="1"/>
  </x:cols>
  <x:sheetData>
    <x:row r="1" ht="30" customHeight="1">
      <x:c r="A1" s="2915" t="str">
        <x:v>76_MicrosoftForms実装仕様</x:v>
      </x:c>
      <x:c r="B1" s="2915"/>
      <x:c r="C1" s="2915"/>
      <x:c r="D1" s="2915"/>
      <x:c r="E1" s="2915"/>
      <x:c r="F1" s="2915"/>
      <x:c r="G1" s="2915"/>
      <x:c r="H1" s="2915"/>
      <x:c r="I1" s="2915"/>
      <x:c r="J1" s="2915"/>
      <x:c r="K1" s="2915"/>
      <x:c r="L1" s="2915"/>
      <x:c r="M1" s="2915"/>
      <x:c r="N1" s="2915"/>
      <x:c r="O1" s="2915"/>
      <x:c r="P1" s="2915"/>
    </x:row>
    <x:row r="2" ht="38" customHeight="1">
      <x:c r="A2" s="2918" t="str">
        <x:v>Microsoft Formsへ手入力で実装できるように、セクション構成、設定、分岐、回答保存、公開状態を整理する。</x:v>
      </x:c>
      <x:c r="B2" s="2918"/>
      <x:c r="C2" s="2918"/>
      <x:c r="D2" s="2918"/>
      <x:c r="E2" s="2918"/>
      <x:c r="F2" s="2918"/>
      <x:c r="G2" s="2918"/>
      <x:c r="H2" s="2918"/>
      <x:c r="I2" s="2918"/>
      <x:c r="J2" s="2918"/>
      <x:c r="K2" s="2918"/>
      <x:c r="L2" s="2918"/>
      <x:c r="M2" s="2918"/>
      <x:c r="N2" s="2918"/>
      <x:c r="O2" s="2918"/>
      <x:c r="P2" s="2918"/>
    </x:row>
    <x:row r="4" ht="38" customHeight="1">
      <x:c r="A4" s="2930" t="str">
        <x:v>設定ID</x:v>
      </x:c>
      <x:c r="B4" s="2931" t="str">
        <x:v>分類</x:v>
      </x:c>
      <x:c r="C4" s="2931" t="str">
        <x:v>設定・項目</x:v>
      </x:c>
      <x:c r="D4" s="2931" t="str">
        <x:v>仮仕様</x:v>
      </x:c>
      <x:c r="E4" s="2931" t="str">
        <x:v>実装方法</x:v>
      </x:c>
      <x:c r="F4" s="2931" t="str">
        <x:v>必須</x:v>
      </x:c>
      <x:c r="G4" s="2931" t="str">
        <x:v>情シス確認</x:v>
      </x:c>
      <x:c r="H4" s="2931" t="str">
        <x:v>テスト内容</x:v>
      </x:c>
      <x:c r="I4" s="2931" t="str">
        <x:v>期間外</x:v>
      </x:c>
      <x:c r="J4" s="2931" t="str">
        <x:v>社内テスト</x:v>
      </x:c>
      <x:c r="K4" s="2931" t="str">
        <x:v>受付開始</x:v>
      </x:c>
      <x:c r="L4" s="2931" t="str">
        <x:v>保存・通知</x:v>
      </x:c>
      <x:c r="M4" s="2931" t="str">
        <x:v>責任者</x:v>
      </x:c>
      <x:c r="N4" s="2931" t="str">
        <x:v>状態</x:v>
      </x:c>
      <x:c r="O4" s="2931" t="str">
        <x:v>確認日</x:v>
      </x:c>
      <x:c r="P4" s="2932" t="str">
        <x:v>備考</x:v>
      </x:c>
    </x:row>
    <x:row r="5">
      <x:c r="A5" s="2949" t="str">
        <x:v>MSF-001</x:v>
      </x:c>
      <x:c r="B5" s="2950" t="str">
        <x:v>フォーム基本</x:v>
      </x:c>
      <x:c r="C5" s="2950" t="str">
        <x:v>名称</x:v>
      </x:c>
      <x:c r="D5" s="2950" t="str">
        <x:v>Energy Doctor簡易診断</x:v>
      </x:c>
      <x:c r="E5" s="2950" t="str">
        <x:v>Microsoft Formsで新規作成</x:v>
      </x:c>
      <x:c r="F5" s="2950" t="str">
        <x:v>必須</x:v>
      </x:c>
      <x:c r="G5" s="2950" t="str">
        <x:v>フォーム所有者</x:v>
      </x:c>
      <x:c r="H5" s="2950" t="str">
        <x:v>名称・説明表示</x:v>
      </x:c>
      <x:c r="I5" s="2950" t="str">
        <x:v>非公開</x:v>
      </x:c>
      <x:c r="J5" s="2950" t="str">
        <x:v>限定URL</x:v>
      </x:c>
      <x:c r="K5" s="2950" t="str">
        <x:v>外部回答</x:v>
      </x:c>
      <x:c r="L5" s="2950" t="str">
        <x:v>—</x:v>
      </x:c>
      <x:c r="M5" s="2950" t="str">
        <x:v>山元氏</x:v>
      </x:c>
      <x:c r="N5" s="2950" t="str">
        <x:v>未着手</x:v>
      </x:c>
      <x:c r="O5" s="2950" t="str"/>
      <x:c r="P5" s="2951" t="str"/>
    </x:row>
    <x:row r="6">
      <x:c r="A6" s="2952" t="str">
        <x:v>MSF-002</x:v>
      </x:c>
      <x:c r="B6" s="1521" t="str">
        <x:v>フォーム基本</x:v>
      </x:c>
      <x:c r="C6" s="1521" t="str">
        <x:v>説明</x:v>
      </x:c>
      <x:c r="D6" s="1521" t="str">
        <x:v>10～15分、分からない項目は不明、ファイル添付なし</x:v>
      </x:c>
      <x:c r="E6" s="1521" t="str">
        <x:v>説明欄へ記載</x:v>
      </x:c>
      <x:c r="F6" s="1521" t="str">
        <x:v>必須</x:v>
      </x:c>
      <x:c r="G6" s="1521" t="str">
        <x:v>外部表示可否</x:v>
      </x:c>
      <x:c r="H6" s="1521" t="str">
        <x:v>スマホ表示</x:v>
      </x:c>
      <x:c r="I6" s="1521" t="str">
        <x:v>非公開</x:v>
      </x:c>
      <x:c r="J6" s="1521" t="str">
        <x:v>限定URL</x:v>
      </x:c>
      <x:c r="K6" s="1521" t="str">
        <x:v>外部回答</x:v>
      </x:c>
      <x:c r="L6" s="1521" t="str">
        <x:v>—</x:v>
      </x:c>
      <x:c r="M6" s="1521" t="str">
        <x:v>山元氏</x:v>
      </x:c>
      <x:c r="N6" s="1521" t="str">
        <x:v>未着手</x:v>
      </x:c>
      <x:c r="O6" s="1521" t="str"/>
      <x:c r="P6" s="2953" t="str"/>
    </x:row>
    <x:row r="7">
      <x:c r="A7" s="2952" t="str">
        <x:v>MSF-003</x:v>
      </x:c>
      <x:c r="B7" s="1521" t="str">
        <x:v>回答設定</x:v>
      </x:c>
      <x:c r="C7" s="1521" t="str">
        <x:v>回答者</x:v>
      </x:c>
      <x:c r="D7" s="1521" t="str">
        <x:v>受付開始時は組織外を含む回答を想定</x:v>
      </x:c>
      <x:c r="E7" s="1521" t="str">
        <x:v>設定画面で選択</x:v>
      </x:c>
      <x:c r="F7" s="1521" t="str">
        <x:v>必須</x:v>
      </x:c>
      <x:c r="G7" s="1521" t="str">
        <x:v>契約プラン・社内規程</x:v>
      </x:c>
      <x:c r="H7" s="1521" t="str">
        <x:v>外部メールから送信</x:v>
      </x:c>
      <x:c r="I7" s="1521" t="str">
        <x:v>非公開</x:v>
      </x:c>
      <x:c r="J7" s="1521" t="str">
        <x:v>限定</x:v>
      </x:c>
      <x:c r="K7" s="1521" t="str">
        <x:v>外部回答</x:v>
      </x:c>
      <x:c r="L7" s="1521" t="str">
        <x:v>回答ブック</x:v>
      </x:c>
      <x:c r="M7" s="1521" t="str">
        <x:v>山元氏</x:v>
      </x:c>
      <x:c r="N7" s="1521" t="str">
        <x:v>未着手</x:v>
      </x:c>
      <x:c r="O7" s="1521" t="str"/>
      <x:c r="P7" s="2953" t="str"/>
    </x:row>
    <x:row r="8">
      <x:c r="A8" s="2952" t="str">
        <x:v>MSF-004</x:v>
      </x:c>
      <x:c r="B8" s="1521" t="str">
        <x:v>セクション</x:v>
      </x:c>
      <x:c r="C8" s="1521" t="str">
        <x:v>構成</x:v>
      </x:c>
      <x:c r="D8" s="1521" t="str">
        <x:v>基本情報／連絡先／診断目的／設備／エネルギー／建屋・環境／管理・運用／レポート・同意</x:v>
      </x:c>
      <x:c r="E8" s="1521" t="str">
        <x:v>8セクション</x:v>
      </x:c>
      <x:c r="F8" s="1521" t="str">
        <x:v>必須</x:v>
      </x:c>
      <x:c r="G8" s="1521" t="str">
        <x:v>項目数制限</x:v>
      </x:c>
      <x:c r="H8" s="1521" t="str">
        <x:v>前後移動・進捗</x:v>
      </x:c>
      <x:c r="I8" s="1521" t="str">
        <x:v>非公開</x:v>
      </x:c>
      <x:c r="J8" s="1521" t="str">
        <x:v>限定</x:v>
      </x:c>
      <x:c r="K8" s="1521" t="str">
        <x:v>公開</x:v>
      </x:c>
      <x:c r="L8" s="1521" t="str">
        <x:v>回答ブック</x:v>
      </x:c>
      <x:c r="M8" s="1521" t="str">
        <x:v>山元氏</x:v>
      </x:c>
      <x:c r="N8" s="1521" t="str">
        <x:v>未着手</x:v>
      </x:c>
      <x:c r="O8" s="1521" t="str"/>
      <x:c r="P8" s="2953" t="str"/>
    </x:row>
    <x:row r="9">
      <x:c r="A9" s="2952" t="str">
        <x:v>MSF-005</x:v>
      </x:c>
      <x:c r="B9" s="1521" t="str">
        <x:v>質問</x:v>
      </x:c>
      <x:c r="C9" s="1521" t="str">
        <x:v>最小質問</x:v>
      </x:c>
      <x:c r="D9" s="1521" t="str">
        <x:v>68の18問＋基本情報・連絡先・レポート・同意</x:v>
      </x:c>
      <x:c r="E9" s="1521" t="str">
        <x:v>CSV仕様に従い手入力</x:v>
      </x:c>
      <x:c r="F9" s="1521" t="str">
        <x:v>必須</x:v>
      </x:c>
      <x:c r="G9" s="1521" t="str">
        <x:v>選択肢・文字数制約</x:v>
      </x:c>
      <x:c r="H9" s="1521" t="str">
        <x:v>全問送信</x:v>
      </x:c>
      <x:c r="I9" s="1521" t="str">
        <x:v>非公開</x:v>
      </x:c>
      <x:c r="J9" s="1521" t="str">
        <x:v>限定</x:v>
      </x:c>
      <x:c r="K9" s="1521" t="str">
        <x:v>公開</x:v>
      </x:c>
      <x:c r="L9" s="1521" t="str">
        <x:v>回答ブック</x:v>
      </x:c>
      <x:c r="M9" s="1521" t="str">
        <x:v>山元氏</x:v>
      </x:c>
      <x:c r="N9" s="1521" t="str">
        <x:v>未着手</x:v>
      </x:c>
      <x:c r="O9" s="1521" t="str"/>
      <x:c r="P9" s="2953" t="str"/>
    </x:row>
    <x:row r="10">
      <x:c r="A10" s="2952" t="str">
        <x:v>MSF-006</x:v>
      </x:c>
      <x:c r="B10" s="1521" t="str">
        <x:v>分岐</x:v>
      </x:c>
      <x:c r="C10" s="1521" t="str">
        <x:v>初期版</x:v>
      </x:c>
      <x:c r="D10" s="1521" t="str">
        <x:v>複雑な分岐は使用せず全18問を表示</x:v>
      </x:c>
      <x:c r="E10" s="1521" t="str">
        <x:v>分岐なし</x:v>
      </x:c>
      <x:c r="F10" s="1521" t="str">
        <x:v>任意</x:v>
      </x:c>
      <x:c r="G10" s="1521" t="str">
        <x:v>—</x:v>
      </x:c>
      <x:c r="H10" s="1521" t="str">
        <x:v>回答時間計測</x:v>
      </x:c>
      <x:c r="I10" s="1521" t="str">
        <x:v>非公開</x:v>
      </x:c>
      <x:c r="J10" s="1521" t="str">
        <x:v>限定</x:v>
      </x:c>
      <x:c r="K10" s="1521" t="str">
        <x:v>公開</x:v>
      </x:c>
      <x:c r="L10" s="1521" t="str">
        <x:v>回答ブック</x:v>
      </x:c>
      <x:c r="M10" s="1521" t="str">
        <x:v>山元氏</x:v>
      </x:c>
      <x:c r="N10" s="1521" t="str">
        <x:v>未着手</x:v>
      </x:c>
      <x:c r="O10" s="1521" t="str"/>
      <x:c r="P10" s="2953" t="str"/>
    </x:row>
    <x:row r="11">
      <x:c r="A11" s="2952" t="str">
        <x:v>MSF-007</x:v>
      </x:c>
      <x:c r="B11" s="1521" t="str">
        <x:v>ファイル</x:v>
      </x:c>
      <x:c r="C11" s="1521" t="str">
        <x:v>添付</x:v>
      </x:c>
      <x:c r="D11" s="1521" t="str">
        <x:v>ファイルアップロード質問を設けない</x:v>
      </x:c>
      <x:c r="E11" s="1521" t="str">
        <x:v>項目なし</x:v>
      </x:c>
      <x:c r="F11" s="1521" t="str">
        <x:v>必須</x:v>
      </x:c>
      <x:c r="G11" s="1521" t="str">
        <x:v>—</x:v>
      </x:c>
      <x:c r="H11" s="1521" t="str">
        <x:v>添付欄がない</x:v>
      </x:c>
      <x:c r="I11" s="1521" t="str">
        <x:v>非公開</x:v>
      </x:c>
      <x:c r="J11" s="1521" t="str">
        <x:v>限定</x:v>
      </x:c>
      <x:c r="K11" s="1521" t="str">
        <x:v>公開</x:v>
      </x:c>
      <x:c r="L11" s="1521" t="str">
        <x:v>—</x:v>
      </x:c>
      <x:c r="M11" s="1521" t="str">
        <x:v>山元氏</x:v>
      </x:c>
      <x:c r="N11" s="1521" t="str">
        <x:v>未着手</x:v>
      </x:c>
      <x:c r="O11" s="1521" t="str"/>
      <x:c r="P11" s="2953" t="str"/>
    </x:row>
    <x:row r="12">
      <x:c r="A12" s="2952" t="str">
        <x:v>MSF-008</x:v>
      </x:c>
      <x:c r="B12" s="1521" t="str">
        <x:v>同意</x:v>
      </x:c>
      <x:c r="C12" s="1521" t="str">
        <x:v>同意確認</x:v>
      </x:c>
      <x:c r="D12" s="1521" t="str">
        <x:v>情報利用・秘密情報・AI利用説明へリンクし、同意するを必須</x:v>
      </x:c>
      <x:c r="E12" s="1521" t="str">
        <x:v>Choice質問</x:v>
      </x:c>
      <x:c r="F12" s="1521" t="str">
        <x:v>必須</x:v>
      </x:c>
      <x:c r="G12" s="1521" t="str">
        <x:v>説明ページURL</x:v>
      </x:c>
      <x:c r="H12" s="1521" t="str">
        <x:v>未同意送信不可</x:v>
      </x:c>
      <x:c r="I12" s="1521" t="str">
        <x:v>非公開</x:v>
      </x:c>
      <x:c r="J12" s="1521" t="str">
        <x:v>限定</x:v>
      </x:c>
      <x:c r="K12" s="1521" t="str">
        <x:v>公開</x:v>
      </x:c>
      <x:c r="L12" s="1521" t="str">
        <x:v>回答ブック</x:v>
      </x:c>
      <x:c r="M12" s="1521" t="str">
        <x:v>山元氏</x:v>
      </x:c>
      <x:c r="N12" s="1521" t="str">
        <x:v>未着手</x:v>
      </x:c>
      <x:c r="O12" s="1521" t="str"/>
      <x:c r="P12" s="2953" t="str"/>
    </x:row>
    <x:row r="13">
      <x:c r="A13" s="2952" t="str">
        <x:v>MSF-009</x:v>
      </x:c>
      <x:c r="B13" s="1521" t="str">
        <x:v>完了画面</x:v>
      </x:c>
      <x:c r="C13" s="1521" t="str">
        <x:v>受付完了文</x:v>
      </x:c>
      <x:c r="D13" s="1521" t="str">
        <x:v>59 MSG-003を表示</x:v>
      </x:c>
      <x:c r="E13" s="1521" t="str">
        <x:v>完了メッセージ</x:v>
      </x:c>
      <x:c r="F13" s="1521" t="str">
        <x:v>必須</x:v>
      </x:c>
      <x:c r="G13" s="1521" t="str">
        <x:v>カスタム可否</x:v>
      </x:c>
      <x:c r="H13" s="1521" t="str">
        <x:v>送信後表示</x:v>
      </x:c>
      <x:c r="I13" s="1521" t="str">
        <x:v>非公開</x:v>
      </x:c>
      <x:c r="J13" s="1521" t="str">
        <x:v>テスト文</x:v>
      </x:c>
      <x:c r="K13" s="1521" t="str">
        <x:v>本番文</x:v>
      </x:c>
      <x:c r="L13" s="1521" t="str">
        <x:v>—</x:v>
      </x:c>
      <x:c r="M13" s="1521" t="str">
        <x:v>山元氏</x:v>
      </x:c>
      <x:c r="N13" s="1521" t="str">
        <x:v>未着手</x:v>
      </x:c>
      <x:c r="O13" s="1521" t="str"/>
      <x:c r="P13" s="2953" t="str"/>
    </x:row>
    <x:row r="14">
      <x:c r="A14" s="2952" t="str">
        <x:v>MSF-010</x:v>
      </x:c>
      <x:c r="B14" s="1521" t="str">
        <x:v>回答保存</x:v>
      </x:c>
      <x:c r="C14" s="1521" t="str">
        <x:v>Excel</x:v>
      </x:c>
      <x:c r="D14" s="1521" t="str">
        <x:v>回答をExcelで開き、OneDriveまたはSharePointで管理</x:v>
      </x:c>
      <x:c r="E14" s="1521" t="str">
        <x:v>Forms回答機能</x:v>
      </x:c>
      <x:c r="F14" s="1521" t="str">
        <x:v>必須</x:v>
      </x:c>
      <x:c r="G14" s="1521" t="str">
        <x:v>個人/グループフォーム、保存先</x:v>
      </x:c>
      <x:c r="H14" s="1521" t="str">
        <x:v>新規回答反映</x:v>
      </x:c>
      <x:c r="I14" s="1521" t="str">
        <x:v>非公開</x:v>
      </x:c>
      <x:c r="J14" s="1521" t="str">
        <x:v>テスト保存</x:v>
      </x:c>
      <x:c r="K14" s="1521" t="str">
        <x:v>本番保存</x:v>
      </x:c>
      <x:c r="L14" s="1521" t="str">
        <x:v>Excel</x:v>
      </x:c>
      <x:c r="M14" s="1521" t="str">
        <x:v>山元氏</x:v>
      </x:c>
      <x:c r="N14" s="1521" t="str">
        <x:v>未着手</x:v>
      </x:c>
      <x:c r="O14" s="1521" t="str"/>
      <x:c r="P14" s="2953" t="str"/>
    </x:row>
    <x:row r="15">
      <x:c r="A15" s="2952" t="str">
        <x:v>MSF-011</x:v>
      </x:c>
      <x:c r="B15" s="1521" t="str">
        <x:v>通知</x:v>
      </x:c>
      <x:c r="C15" s="1521" t="str">
        <x:v>受付通知</x:v>
      </x:c>
      <x:c r="D15" s="1521" t="str">
        <x:v>初期はForms通知または手動確認。共有メールは後続</x:v>
      </x:c>
      <x:c r="E15" s="1521" t="str">
        <x:v>設定または運用</x:v>
      </x:c>
      <x:c r="F15" s="1521" t="str">
        <x:v>必須</x:v>
      </x:c>
      <x:c r="G15" s="1521" t="str">
        <x:v>通知機能・共有メール</x:v>
      </x:c>
      <x:c r="H15" s="1521" t="str">
        <x:v>テスト通知</x:v>
      </x:c>
      <x:c r="I15" s="1521" t="str">
        <x:v>なし</x:v>
      </x:c>
      <x:c r="J15" s="1521" t="str">
        <x:v>テスト通知</x:v>
      </x:c>
      <x:c r="K15" s="1521" t="str">
        <x:v>本番通知</x:v>
      </x:c>
      <x:c r="L15" s="1521" t="str">
        <x:v>メール</x:v>
      </x:c>
      <x:c r="M15" s="1521" t="str">
        <x:v>山元氏</x:v>
      </x:c>
      <x:c r="N15" s="1521" t="str">
        <x:v>未着手</x:v>
      </x:c>
      <x:c r="O15" s="1521" t="str"/>
      <x:c r="P15" s="2953" t="str"/>
    </x:row>
    <x:row r="16">
      <x:c r="A16" s="2954" t="str">
        <x:v>MSF-012</x:v>
      </x:c>
      <x:c r="B16" s="2955" t="str">
        <x:v>公開</x:v>
      </x:c>
      <x:c r="C16" s="2955" t="str">
        <x:v>URL</x:v>
      </x:c>
      <x:c r="D16" s="2955" t="str">
        <x:v>公開用URLと社内テスト用運用を分離</x:v>
      </x:c>
      <x:c r="E16" s="2955" t="str">
        <x:v>複製または同一フォームの限定運用</x:v>
      </x:c>
      <x:c r="F16" s="2955" t="str">
        <x:v>必須</x:v>
      </x:c>
      <x:c r="G16" s="2955" t="str">
        <x:v>最適方式</x:v>
      </x:c>
      <x:c r="H16" s="2955" t="str">
        <x:v>一般送信不可</x:v>
      </x:c>
      <x:c r="I16" s="2955" t="str">
        <x:v>非公開</x:v>
      </x:c>
      <x:c r="J16" s="2955" t="str">
        <x:v>限定URL</x:v>
      </x:c>
      <x:c r="K16" s="2955" t="str">
        <x:v>公開URL</x:v>
      </x:c>
      <x:c r="L16" s="2955" t="str">
        <x:v>—</x:v>
      </x:c>
      <x:c r="M16" s="2955" t="str">
        <x:v>山元氏</x:v>
      </x:c>
      <x:c r="N16" s="2955" t="str">
        <x:v>未着手</x:v>
      </x:c>
      <x:c r="O16" s="2955" t="str"/>
      <x:c r="P16" s="2956" t="str"/>
    </x:row>
  </x:sheetData>
  <x:mergeCells>
    <x:mergeCell ref="A1:P1"/>
    <x:mergeCell ref="A2:P2"/>
  </x:mergeCells>
  <x:dataValidations count="2">
    <x:dataValidation type="list" sqref="F5:F16">
      <x:formula1>"必須,任意"</x:formula1>
    </x:dataValidation>
    <x:dataValidation type="list" sqref="N5:N16">
      <x:formula1>"未着手,実装中,テスト中,完了,保留"</x:formula1>
    </x:dataValidation>
  </x:dataValidations>
  <x:pageMargins left="0.7" right="0.7" top="0.75" bottom="0.75" header="0.3" footer="0.3"/>
</x:worksheet>
</file>

<file path=xl/worksheets/sheet78.xml><?xml version="1.0" encoding="utf-8"?>
<x:worksheet xmlns:x="http://schemas.openxmlformats.org/spreadsheetml/2006/main">
  <x:sheetFormatPr defaultRowHeight="15"/>
  <x:cols>
    <x:col min="1" max="1" width="13" hidden="0" customWidth="1"/>
    <x:col min="2" max="2" width="14" hidden="0" customWidth="1"/>
    <x:col min="3" max="3" width="44" hidden="0" customWidth="1"/>
    <x:col min="4" max="4" width="16" hidden="0" customWidth="1"/>
    <x:col min="5" max="5" width="16" hidden="0" customWidth="1"/>
    <x:col min="6" max="6" width="42" hidden="0" customWidth="1"/>
    <x:col min="7" max="7" width="28" hidden="0" customWidth="1"/>
    <x:col min="8" max="8" width="42" hidden="0" customWidth="1"/>
    <x:col min="9" max="9" width="28" hidden="0" customWidth="1"/>
    <x:col min="10" max="10" width="34" hidden="0" customWidth="1"/>
  </x:cols>
  <x:sheetData>
    <x:row r="1">
      <x:c r="A1" s="2984" t="str">
        <x:v>77_WQ-Q_Traceability</x:v>
      </x:c>
      <x:c r="B1" s="2984"/>
      <x:c r="C1" s="2984"/>
      <x:c r="D1" s="2984"/>
      <x:c r="E1" s="2984"/>
      <x:c r="F1" s="2984"/>
      <x:c r="G1" s="2984"/>
      <x:c r="H1" s="2984"/>
      <x:c r="I1" s="2984"/>
      <x:c r="J1" s="2984"/>
    </x:row>
    <x:row r="2">
      <x:c r="A2" s="2980" t="str">
        <x:v>ED-DI-002に基づく正式Traceability。S社レビュー（2026-09-02）により18問を確定。対応区分はDirect / Aggregated / Partial / N/Aの4区分。WQ-404はQ101/Q103/Q104/Q106/Q108/Q109/Q110/Q112/Q404/Q408へ閉じた対応として修正承認。公開WQ回答から正式Qの個別回答値は自動生成・転記しない。</x:v>
      </x:c>
      <x:c r="B2" s="2980"/>
      <x:c r="C2" s="2980"/>
      <x:c r="D2" s="2980"/>
      <x:c r="E2" s="2980"/>
      <x:c r="F2" s="2980"/>
      <x:c r="G2" s="2980"/>
      <x:c r="H2" s="2980"/>
      <x:c r="I2" s="2980"/>
      <x:c r="J2" s="2980"/>
    </x:row>
    <x:row r="4">
      <x:c r="A4" s="2976" t="str">
        <x:v>Web質問ID</x:v>
      </x:c>
      <x:c r="B4" s="2976" t="str">
        <x:v>分野</x:v>
      </x:c>
      <x:c r="C4" s="2976" t="str">
        <x:v>公開質問概要</x:v>
      </x:c>
      <x:c r="D4" s="2976" t="str">
        <x:v>正式Q-ID</x:v>
      </x:c>
      <x:c r="E4" s="2976" t="str">
        <x:v>対応区分</x:v>
      </x:c>
      <x:c r="F4" s="2976" t="str">
        <x:v>対応根拠</x:v>
      </x:c>
      <x:c r="G4" s="2976" t="str">
        <x:v>正式Q側Unknown処理</x:v>
      </x:c>
      <x:c r="H4" s="2976" t="str">
        <x:v>公開Web暫定処理</x:v>
      </x:c>
      <x:c r="I4" s="2976" t="str">
        <x:v>確認状態</x:v>
      </x:c>
      <x:c r="J4" s="2976" t="str">
        <x:v>備考</x:v>
      </x:c>
    </x:row>
    <x:row r="5" ht="62" customHeight="1">
      <x:c r="A5" s="2364" t="str">
        <x:v>WQ-001</x:v>
      </x:c>
      <x:c r="B5" s="2364" t="str">
        <x:v>基本</x:v>
      </x:c>
      <x:c r="C5" s="2364" t="str">
        <x:v>今回、最も確認したいテーマを選択してください。</x:v>
      </x:c>
      <x:c r="D5" s="3023"/>
      <x:c r="E5" s="3023" t="str">
        <x:v>N/A</x:v>
      </x:c>
      <x:c r="F5" s="3023" t="str">
        <x:v>診断目的・営業フォロー用。正式KPIの単一Qに相当させない。</x:v>
      </x:c>
      <x:c r="G5" s="3023" t="str">
        <x:v>—</x:v>
      </x:c>
      <x:c r="H5" s="3023" t="str">
        <x:v>KPI算定対象外。未選択不可。</x:v>
      </x:c>
      <x:c r="I5" s="3023" t="str">
        <x:v>APPROVED / S社 Review Complete（2026-09-02）</x:v>
      </x:c>
      <x:c r="J5" s="3023" t="str">
        <x:v>診断目的・営業フォロー用。正式KPI/Q回答には接続しない。</x:v>
      </x:c>
    </x:row>
    <x:row r="6" ht="62" customHeight="1">
      <x:c r="A6" s="2364" t="str">
        <x:v>WQ-101</x:v>
      </x:c>
      <x:c r="B6" s="2364" t="str">
        <x:v>設備</x:v>
      </x:c>
      <x:c r="C6" s="2364" t="str">
        <x:v>主要設備の導入時期または経過年数を把握していますか。</x:v>
      </x:c>
      <x:c r="D6" s="3023" t="str">
        <x:v>Q201 / Q261</x:v>
      </x:c>
      <x:c r="E6" s="3023" t="str">
        <x:v>Partial</x:v>
      </x:c>
      <x:c r="F6" s="3023" t="str">
        <x:v>Q201は設備年齢、Q261は設備台帳。公開問は『年式を把握しているか』で両者を部分的に含むが、実年齢や台帳Evidenceを直接取得しない。</x:v>
      </x:c>
      <x:c r="G6" s="3023" t="str">
        <x:v>Q201: UNKNOWN＝DRI/充足率へ減点 / Q261: UNKNOWN＝L1</x:v>
      </x:c>
      <x:c r="H6" s="3023" t="str">
        <x:v>UNKNOWNとして情報充足率へ反映。正式Q回答へ転記しない。</x:v>
      </x:c>
      <x:c r="I6" s="3023" t="str">
        <x:v>APPROVED / S社 Review Complete（2026-09-02）</x:v>
      </x:c>
      <x:c r="J6" s="3023" t="str">
        <x:v>設備年齢把握と設備台帳整備の一部を代理。正式Q回答値への転記はしない。</x:v>
      </x:c>
    </x:row>
    <x:row r="7" ht="62" customHeight="1">
      <x:c r="A7" s="2364" t="str">
        <x:v>WQ-102</x:v>
      </x:c>
      <x:c r="B7" s="2364" t="str">
        <x:v>設備</x:v>
      </x:c>
      <x:c r="C7" s="2364" t="str">
        <x:v>故障や停止の履歴を記録し、傾向を確認していますか。</x:v>
      </x:c>
      <x:c r="D7" s="3023" t="str">
        <x:v>Q203 / Q302</x:v>
      </x:c>
      <x:c r="E7" s="3023" t="str">
        <x:v>Partial</x:v>
      </x:c>
      <x:c r="F7" s="3023" t="str">
        <x:v>Q203は故障傾向、Q302は履歴追跡。公開問は記録と傾向確認を一問に集約しているためDirectではない。</x:v>
      </x:c>
      <x:c r="G7" s="3023" t="str">
        <x:v>Q203: UNKNOWN＝L1 / Q302: UNKNOWN＝L1</x:v>
      </x:c>
      <x:c r="H7" s="3023" t="str">
        <x:v>UNKNOWNは要確認事項候補。正式Q回答へ転記しない。</x:v>
      </x:c>
      <x:c r="I7" s="3023" t="str">
        <x:v>APPROVED / S社 Review Complete（2026-09-02）</x:v>
      </x:c>
      <x:c r="J7" s="3023" t="str">
        <x:v>故障傾向と履歴追跡を一問で部分的に確認。正式Q回答値への転記はしない。</x:v>
      </x:c>
    </x:row>
    <x:row r="8" ht="62" customHeight="1">
      <x:c r="A8" s="2364" t="str">
        <x:v>WQ-103</x:v>
      </x:c>
      <x:c r="B8" s="2364" t="str">
        <x:v>設備</x:v>
      </x:c>
      <x:c r="C8" s="2364" t="str">
        <x:v>生産や業務を止める可能性がある重要設備に、代替手段がありますか。</x:v>
      </x:c>
      <x:c r="D8" s="3023" t="str">
        <x:v>Q109</x:v>
      </x:c>
      <x:c r="E8" s="3023" t="str">
        <x:v>Direct</x:v>
      </x:c>
      <x:c r="F8" s="3023" t="str">
        <x:v>公開問とQ109『代替手段』は意味が最も近い。ただし正式QはQ108停止影響との組合せGuardrailを含むため、Web単独で正式Guardrail確定はしない。</x:v>
      </x:c>
      <x:c r="G8" s="3023" t="str">
        <x:v>Q109: UNKNOWN＝L1</x:v>
      </x:c>
      <x:c r="H8" s="3023" t="str">
        <x:v>UNKNOWNは要確認事項。BCP関連のためGuardrail判定保留候補。</x:v>
      </x:c>
      <x:c r="I8" s="3023" t="str">
        <x:v>APPROVED / S社 Review Complete（2026-09-02）</x:v>
      </x:c>
      <x:c r="J8" s="3023" t="str">
        <x:v>質問テーマはQ109『代替手段』と直接対応。ただし正式Guardrail確定は追加条件確認後。</x:v>
      </x:c>
    </x:row>
    <x:row r="9" ht="62" customHeight="1">
      <x:c r="A9" s="2364" t="str">
        <x:v>WQ-104</x:v>
      </x:c>
      <x:c r="B9" s="2364" t="str">
        <x:v>設備</x:v>
      </x:c>
      <x:c r="C9" s="2364" t="str">
        <x:v>メーカー保守、交換部品、予備品の入手性を確認していますか。</x:v>
      </x:c>
      <x:c r="D9" s="3023" t="str">
        <x:v>Q106 / Q107 / Q206</x:v>
      </x:c>
      <x:c r="E9" s="3023" t="str">
        <x:v>Aggregated</x:v>
      </x:c>
      <x:c r="F9" s="3023" t="str">
        <x:v>Q106=保守終了、Q107=予備品、Q206=保守体制を一問にまとめている。個別のYES/NOやCoverageは取得していないためAggregated。</x:v>
      </x:c>
      <x:c r="G9" s="3023" t="str">
        <x:v>Q106: UNKNOWN＝L1 / Q107: UNKNOWN＝L1 / Q206: UNKNOWN＝L1</x:v>
      </x:c>
      <x:c r="H9" s="3023" t="str">
        <x:v>UNKNOWNは要確認事項。EOL/部品供給関連はGuardrail判定保留候補。</x:v>
      </x:c>
      <x:c r="I9" s="3023" t="str">
        <x:v>APPROVED / S社 Review Complete（2026-09-02）</x:v>
      </x:c>
      <x:c r="J9" s="3023" t="str">
        <x:v>保守終了・予備品・保守体制を一問に集約。EOL/BCP Screening用途。</x:v>
      </x:c>
    </x:row>
    <x:row r="10" ht="62" customHeight="1">
      <x:c r="A10" s="2364" t="str">
        <x:v>WQ-201</x:v>
      </x:c>
      <x:c r="B10" s="2364" t="str">
        <x:v>エネルギー</x:v>
      </x:c>
      <x:c r="C10" s="2364" t="str">
        <x:v>月別の電力使用量と最大需要電力を確認していますか。</x:v>
      </x:c>
      <x:c r="D10" s="3023" t="str">
        <x:v>Q221 / Q226</x:v>
      </x:c>
      <x:c r="E10" s="3023" t="str">
        <x:v>Aggregated</x:v>
      </x:c>
      <x:c r="F10" s="3023" t="str">
        <x:v>Q221=電力把握、Q226=デマンド管理。公開問が両要素を一問で確認する。</x:v>
      </x:c>
      <x:c r="G10" s="3023" t="str">
        <x:v>Q221: UNKNOWN＝L1 / Q226: UNKNOWN＝L1</x:v>
      </x:c>
      <x:c r="H10" s="3023" t="str">
        <x:v>UNKNOWNは情報充足率と要確認事項へ反映。</x:v>
      </x:c>
      <x:c r="I10" s="3023" t="str">
        <x:v>APPROVED / S社 Review Complete（2026-09-02）</x:v>
      </x:c>
      <x:c r="J10" s="3023" t="str">
        <x:v>電力把握とデマンド管理を一問に集約。</x:v>
      </x:c>
    </x:row>
    <x:row r="11" ht="62" customHeight="1">
      <x:c r="A11" s="2364" t="str">
        <x:v>WQ-202</x:v>
      </x:c>
      <x:c r="B11" s="2364" t="str">
        <x:v>エネルギー</x:v>
      </x:c>
      <x:c r="C11" s="2364" t="str">
        <x:v>設備別・工程別・時間帯別の電力使用を把握していますか。</x:v>
      </x:c>
      <x:c r="D11" s="3023" t="str">
        <x:v>Q222</x:v>
      </x:c>
      <x:c r="E11" s="3023" t="str">
        <x:v>Direct</x:v>
      </x:c>
      <x:c r="F11" s="3023" t="str">
        <x:v>Q222『設備別計測』と主要意図が一致。公開問は工程別・時間帯別まで含み範囲はやや広い。</x:v>
      </x:c>
      <x:c r="G11" s="3023" t="str">
        <x:v>Q222: UNKNOWN＝L1</x:v>
      </x:c>
      <x:c r="H11" s="3023" t="str">
        <x:v>UNKNOWNは情報充足率へ反映。</x:v>
      </x:c>
      <x:c r="I11" s="3023" t="str">
        <x:v>APPROVED / S社 Review Complete（2026-09-02）</x:v>
      </x:c>
      <x:c r="J11" s="3023" t="str">
        <x:v>設備別計測と主要意図が直接対応。</x:v>
      </x:c>
    </x:row>
    <x:row r="12" ht="62" customHeight="1">
      <x:c r="A12" s="2364" t="str">
        <x:v>WQ-203</x:v>
      </x:c>
      <x:c r="B12" s="2364" t="str">
        <x:v>エネルギー</x:v>
      </x:c>
      <x:c r="C12" s="2364" t="str">
        <x:v>電力使用量やデマンドに異常があった場合、原因を確認できますか。</x:v>
      </x:c>
      <x:c r="D12" s="3023"/>
      <x:c r="E12" s="3023" t="str">
        <x:v>N/A</x:v>
      </x:c>
      <x:c r="F12" s="3023" t="str">
        <x:v>V2.2正式Q群に『電力異常時の原因特定能力』へ直接対応するQが確認できない。近似Qを無理に割り当てない。</x:v>
      </x:c>
      <x:c r="G12" s="3023" t="str">
        <x:v>—</x:v>
      </x:c>
      <x:c r="H12" s="3023" t="str">
        <x:v>現行Web独自評価を維持。UNKNOWNは要確認事項候補。</x:v>
      </x:c>
      <x:c r="I12" s="3023" t="str">
        <x:v>APPROVED / S社 Review Complete（2026-09-02）</x:v>
      </x:c>
      <x:c r="J12" s="3023" t="str">
        <x:v>正式Q側に直接対応なし。公開Web独自評価として保持。</x:v>
      </x:c>
    </x:row>
    <x:row r="13" ht="62" customHeight="1">
      <x:c r="A13" s="2364" t="str">
        <x:v>WQ-204</x:v>
      </x:c>
      <x:c r="B13" s="2364" t="str">
        <x:v>エネルギー</x:v>
      </x:c>
      <x:c r="C13" s="2364" t="str">
        <x:v>直近3年以内に省エネ改善を実施しましたか。</x:v>
      </x:c>
      <x:c r="D13" s="3023" t="str">
        <x:v>Q224</x:v>
      </x:c>
      <x:c r="E13" s="3023" t="str">
        <x:v>Direct</x:v>
      </x:c>
      <x:c r="F13" s="3023" t="str">
        <x:v>Q224『省エネ改善』と主要意図が一致。公開問は直近3年という時間条件を追加している。</x:v>
      </x:c>
      <x:c r="G13" s="3023" t="str">
        <x:v>Q224: UNKNOWN＝L1</x:v>
      </x:c>
      <x:c r="H13" s="3023" t="str">
        <x:v>UNKNOWNは情報充足率へ反映。</x:v>
      </x:c>
      <x:c r="I13" s="3023" t="str">
        <x:v>APPROVED / S社 Review Complete（2026-09-02）</x:v>
      </x:c>
      <x:c r="J13" s="3023" t="str">
        <x:v>省エネ改善と主要意図が直接対応。</x:v>
      </x:c>
    </x:row>
    <x:row r="14" ht="62" customHeight="1">
      <x:c r="A14" s="2364" t="str">
        <x:v>WQ-301</x:v>
      </x:c>
      <x:c r="B14" s="2364" t="str">
        <x:v>建屋・環境</x:v>
      </x:c>
      <x:c r="C14" s="2364" t="str">
        <x:v>結露、雨漏り、暑熱、寒冷、粉じん等の作業環境課題がありますか。</x:v>
      </x:c>
      <x:c r="D14" s="3023" t="str">
        <x:v>Q241 / Q242 / Q243 / Q244</x:v>
      </x:c>
      <x:c r="E14" s="3023" t="str">
        <x:v>Aggregated</x:v>
      </x:c>
      <x:c r="F14" s="3023" t="str">
        <x:v>Q241雨漏り、Q242結露、Q243暑熱、Q244腐食・劣化に一部対応。寒冷・粉じん・臭気は正式Qに直接対応がなく、複数選択式なのでScreeningとして扱う。</x:v>
      </x:c>
      <x:c r="G14" s="3023" t="str">
        <x:v>Q241〜Q244: UNKNOWN＝L1</x:v>
      </x:c>
      <x:c r="H14" s="3023" t="str">
        <x:v>UNKNOWNは建屋状況の要確認事項。安全・品質関連はGuardrail判定保留候補。</x:v>
      </x:c>
      <x:c r="I14" s="3023" t="str">
        <x:v>APPROVED / S社 Review Complete（2026-09-02）</x:v>
      </x:c>
      <x:c r="J14" s="3023" t="str">
        <x:v>建屋・環境の複数状態をスクリーニング。寒冷・粉じん・臭気は正式Qに直接転記しない。</x:v>
      </x:c>
    </x:row>
    <x:row r="15" ht="62" customHeight="1">
      <x:c r="A15" s="2364" t="str">
        <x:v>WQ-302</x:v>
      </x:c>
      <x:c r="B15" s="2364" t="str">
        <x:v>建屋・環境</x:v>
      </x:c>
      <x:c r="C15" s="2364" t="str">
        <x:v>屋根、外壁、天井、床等の劣化状況を定期的に確認していますか。</x:v>
      </x:c>
      <x:c r="D15" s="3023" t="str">
        <x:v>Q245</x:v>
      </x:c>
      <x:c r="E15" s="3023" t="str">
        <x:v>Partial</x:v>
      </x:c>
      <x:c r="F15" s="3023" t="str">
        <x:v>Q245は『修繕計画』であり、公開問の『定期点検』とは同一ではない。建屋管理成熟度の一部としてPartial。</x:v>
      </x:c>
      <x:c r="G15" s="3023" t="str">
        <x:v>Q245: UNKNOWN＝L1</x:v>
      </x:c>
      <x:c r="H15" s="3023" t="str">
        <x:v>UNKNOWNは情報充足率と要確認事項へ反映。</x:v>
      </x:c>
      <x:c r="I15" s="3023" t="str">
        <x:v>APPROVED / S社 Review Complete（2026-09-02）</x:v>
      </x:c>
      <x:c r="J15" s="3023" t="str">
        <x:v>定期点検と修繕計画は同一ではないため部分対応。</x:v>
      </x:c>
    </x:row>
    <x:row r="16" ht="62" customHeight="1">
      <x:c r="A16" s="2364" t="str">
        <x:v>WQ-303</x:v>
      </x:c>
      <x:c r="B16" s="2364" t="str">
        <x:v>建屋・環境</x:v>
      </x:c>
      <x:c r="C16" s="2364" t="str">
        <x:v>建屋環境の課題が、品質、設備停止、作業者負担に影響していますか。</x:v>
      </x:c>
      <x:c r="D16" s="3023" t="str">
        <x:v>Q112 / Q108</x:v>
      </x:c>
      <x:c r="E16" s="3023" t="str">
        <x:v>Partial</x:v>
      </x:c>
      <x:c r="F16" s="3023" t="str">
        <x:v>Q112=安全影響、Q108=停止影響に部分的に近いが、公開問は品質・停止・作業者負担を一つにまとめる。正式Impact回答への転記は不適切。</x:v>
      </x:c>
      <x:c r="G16" s="3023" t="str">
        <x:v>Q112: UNKNOWN＝L1 / Q108: UNKNOWN＝L1</x:v>
      </x:c>
      <x:c r="H16" s="3023" t="str">
        <x:v>UNKNOWNは要確認事項。安全・品質影響が不明ならGuardrail判定保留候補。</x:v>
      </x:c>
      <x:c r="I16" s="3023" t="str">
        <x:v>APPROVED / S社 Review Complete（2026-09-02）</x:v>
      </x:c>
      <x:c r="J16" s="3023" t="str">
        <x:v>安全影響・停止影響を部分的にスクリーニング。正式Impact値へ自動変換しない。</x:v>
      </x:c>
    </x:row>
    <x:row r="17" ht="62" customHeight="1">
      <x:c r="A17" s="2364" t="str">
        <x:v>WQ-401</x:v>
      </x:c>
      <x:c r="B17" s="2364" t="str">
        <x:v>管理・運用</x:v>
      </x:c>
      <x:c r="C17" s="2364" t="str">
        <x:v>設備、エネルギー、建屋の課題を一元的に整理する担当者または会議がありますか。</x:v>
      </x:c>
      <x:c r="D17" s="3023" t="str">
        <x:v>Q264 / Q309</x:v>
      </x:c>
      <x:c r="E17" s="3023" t="str">
        <x:v>Partial</x:v>
      </x:c>
      <x:c r="F17" s="3023" t="str">
        <x:v>Q264=責任体制、Q309=意思決定者。公開問は部門横断の管理体制を聞いており両者の一部に対応。</x:v>
      </x:c>
      <x:c r="G17" s="3023" t="str">
        <x:v>Q264: UNKNOWN＝L1 / Q309: UNKNOWN＝L1</x:v>
      </x:c>
      <x:c r="H17" s="3023" t="str">
        <x:v>UNKNOWNは情報充足率へ反映。</x:v>
      </x:c>
      <x:c r="I17" s="3023" t="str">
        <x:v>APPROVED / S社 Review Complete（2026-09-02）</x:v>
      </x:c>
      <x:c r="J17" s="3023" t="str">
        <x:v>責任体制・意思決定体制の一部を代理。</x:v>
      </x:c>
    </x:row>
    <x:row r="18" ht="62" customHeight="1">
      <x:c r="A18" s="2364" t="str">
        <x:v>WQ-402</x:v>
      </x:c>
      <x:c r="B18" s="2364" t="str">
        <x:v>管理・運用</x:v>
      </x:c>
      <x:c r="C18" s="2364" t="str">
        <x:v>課題の優先順位を決める共通基準がありますか。</x:v>
      </x:c>
      <x:c r="D18" s="3023"/>
      <x:c r="E18" s="3023" t="str">
        <x:v>N/A</x:v>
      </x:c>
      <x:c r="F18" s="3023" t="str">
        <x:v>V2.2正式Q群に『共通優先順位基準』へ直接一致するQは確認できない。Web独自の管理成熟度質問として保持するのが安全。</x:v>
      </x:c>
      <x:c r="G18" s="3023" t="str">
        <x:v>—</x:v>
      </x:c>
      <x:c r="H18" s="3023" t="str">
        <x:v>現行Web独自評価を維持。UNKNOWNは要確認事項候補。</x:v>
      </x:c>
      <x:c r="I18" s="3023" t="str">
        <x:v>APPROVED / S社 Review Complete（2026-09-02）</x:v>
      </x:c>
      <x:c r="J18" s="3023" t="str">
        <x:v>正式Q側に直接対応なし。公開Web独自の管理成熟度評価として保持。</x:v>
      </x:c>
    </x:row>
    <x:row r="19" ht="62" customHeight="1">
      <x:c r="A19" s="2364" t="str">
        <x:v>WQ-403</x:v>
      </x:c>
      <x:c r="B19" s="2364" t="str">
        <x:v>管理・運用</x:v>
      </x:c>
      <x:c r="C19" s="2364" t="str">
        <x:v>設備更新や改善の中期計画がありますか。</x:v>
      </x:c>
      <x:c r="D19" s="3023" t="str">
        <x:v>Q262 / Q409</x:v>
      </x:c>
      <x:c r="E19" s="3023" t="str">
        <x:v>Partial</x:v>
      </x:c>
      <x:c r="F19" s="3023" t="str">
        <x:v>Q262=更新計画、Q409=事業計画連動。公開問は中期計画の有無までで、Evidenceや実施機会を直接確認しない。</x:v>
      </x:c>
      <x:c r="G19" s="3023" t="str">
        <x:v>Q262: UNKNOWN＝L1 / Q409: UNKNOWN＝L1</x:v>
      </x:c>
      <x:c r="H19" s="3023" t="str">
        <x:v>UNKNOWNは情報充足率へ反映。</x:v>
      </x:c>
      <x:c r="I19" s="3023" t="str">
        <x:v>APPROVED / S社 Review Complete（2026-09-02）</x:v>
      </x:c>
      <x:c r="J19" s="3023" t="str">
        <x:v>更新計画・事業計画連動を部分的に代理。</x:v>
      </x:c>
    </x:row>
    <x:row r="20" ht="62" customHeight="1">
      <x:c r="A20" s="2364" t="str">
        <x:v>WQ-404</x:v>
      </x:c>
      <x:c r="B20" s="2364" t="str">
        <x:v>管理・運用</x:v>
      </x:c>
      <x:c r="C20" s="2364" t="str">
        <x:v>安全、法令、品質、供給継続に関わる未解決課題がありますか。</x:v>
      </x:c>
      <x:c r="D20" s="3023" t="str">
        <x:v>Q101 / Q103 / Q104 / Q106 / Q108 / Q109 / Q110 / Q112 / Q404 / Q408</x:v>
      </x:c>
      <x:c r="E20" s="3023" t="str">
        <x:v>Aggregated</x:v>
      </x:c>
      <x:c r="F20" s="3023" t="str">
        <x:v>安全・法令・品質・EOL/供給・BCPに直接関係する正式Guardrail入力へ閉じた対応。WQ-404単独では正式Guardrailを確定しない。</x:v>
      </x:c>
      <x:c r="G20" s="3023" t="str">
        <x:v>Q101: スコア除外＋充足率/信頼度低下; Q103: Guardrail保留; Q104: 充足率減; Q106/Q108/Q109/Q110/Q112/Q404/Q408: UNKNOWN＝L1系</x:v>
      </x:c>
      <x:c r="H20" s="3023" t="str">
        <x:v>UNKNOWNはGuardrail判定保留として優先表示。TOP5へ直接加点しない。</x:v>
      </x:c>
      <x:c r="I20" s="3023" t="str">
        <x:v>APPROVED / S社 Review Complete（2026-09-02）</x:v>
      </x:c>
      <x:c r="J20" s="3023" t="str">
        <x:v>安全・法令・品質・EOL/供給・BCPに直接関係する正式Guardrail入力へ閉じた対応。WQ-404単独では正式Guardrailを確定しない。 対応正式Q-IDは閉じたリストとして確定。</x:v>
      </x:c>
    </x:row>
    <x:row r="21" ht="62" customHeight="1">
      <x:c r="A21" s="2364" t="str">
        <x:v>WQ-405</x:v>
      </x:c>
      <x:c r="B21" s="2364" t="str">
        <x:v>管理・運用</x:v>
      </x:c>
      <x:c r="C21" s="2364" t="str">
        <x:v>いつまでに判断または対応したいですか。</x:v>
      </x:c>
      <x:c r="D21" s="3023" t="str">
        <x:v>Q111 / Q401</x:v>
      </x:c>
      <x:c r="E21" s="3023" t="str">
        <x:v>Partial</x:v>
      </x:c>
      <x:c r="F21" s="3023" t="str">
        <x:v>Q111=期限事項、Q401=対応期限に近いが、公開問は顧客の希望時期。正式期限・外部要求とは区別して扱う。</x:v>
      </x:c>
      <x:c r="G21" s="3023" t="str">
        <x:v>Q111: UNKNOWN＝L1 / Q401: UNKNOWN＝L1</x:v>
      </x:c>
      <x:c r="H21" s="3023" t="str">
        <x:v>UNKNOWNは『期限未確認』として要確認事項。『時期未定』とは区別。</x:v>
      </x:c>
      <x:c r="I21" s="3023" t="str">
        <x:v>APPROVED / S社 Review Complete（2026-09-02）</x:v>
      </x:c>
      <x:c r="J21" s="3023" t="str">
        <x:v>顧客自己申告期限として部分対応。正式期限・外部要求とは区別。</x:v>
      </x:c>
    </x:row>
    <x:row r="22" ht="62" customHeight="1">
      <x:c r="A22" s="2364" t="str">
        <x:v>WQ-501</x:v>
      </x:c>
      <x:c r="B22" s="2364" t="str">
        <x:v>自由記入</x:v>
      </x:c>
      <x:c r="C22" s="2364" t="str">
        <x:v>現在、特に困っていることや確認したいことをご記入ください。</x:v>
      </x:c>
      <x:c r="D22" s="3023"/>
      <x:c r="E22" s="3023" t="str">
        <x:v>N/A</x:v>
      </x:c>
      <x:c r="F22" s="3023" t="str">
        <x:v>自由記述は正式Q回答ではなく、候補抽出・ヒアリング補助。AIが正式診断や順位を決定しない。</x:v>
      </x:c>
      <x:c r="G22" s="3023" t="str">
        <x:v>—</x:v>
      </x:c>
      <x:c r="H22" s="3023" t="str">
        <x:v>未記入可。KPI/TOP5へ直接採点しない。</x:v>
      </x:c>
      <x:c r="I22" s="3023" t="str">
        <x:v>APPROVED / S社 Review Complete（2026-09-02）</x:v>
      </x:c>
      <x:c r="J22" s="3023" t="str">
        <x:v>自由記述は候補抽出・個別ヒアリング補助。KPI/TOP5へ直接採点しない。</x:v>
      </x:c>
    </x:row>
  </x:sheetData>
  <x:mergeCells>
    <x:mergeCell ref="A1:J1"/>
    <x:mergeCell ref="A2:J2"/>
  </x:mergeCells>
  <x:pageMargins left="0.7" right="0.7" top="0.75" bottom="0.75" header="0.3" footer="0.3"/>
</x:worksheet>
</file>

<file path=xl/worksheets/sheet79.xml><?xml version="1.0" encoding="utf-8"?>
<x:worksheet xmlns:x="http://schemas.openxmlformats.org/spreadsheetml/2006/main">
  <x:sheetFormatPr defaultRowHeight="15"/>
  <x:cols>
    <x:col min="1" max="1" width="14" hidden="0" customWidth="1"/>
    <x:col min="2" max="2" width="24" hidden="0" customWidth="1"/>
    <x:col min="3" max="3" width="30" hidden="0" customWidth="1"/>
    <x:col min="4" max="4" width="52" hidden="0" customWidth="1"/>
    <x:col min="5" max="5" width="36" hidden="0" customWidth="1"/>
    <x:col min="6" max="6" width="36" hidden="0" customWidth="1"/>
    <x:col min="7" max="7" width="34" hidden="0" customWidth="1"/>
    <x:col min="8" max="8" width="28" hidden="0" customWidth="1"/>
  </x:cols>
  <x:sheetData>
    <x:row r="1">
      <x:c r="A1" s="2984" t="str">
        <x:v>78_Web診断Disposition</x:v>
      </x:c>
      <x:c r="B1" s="2984"/>
      <x:c r="C1" s="2984"/>
      <x:c r="D1" s="2984"/>
      <x:c r="E1" s="2984"/>
      <x:c r="F1" s="2984"/>
      <x:c r="G1" s="2984"/>
      <x:c r="H1" s="2984"/>
    </x:row>
    <x:row r="2">
      <x:c r="A2" s="2980" t="str">
        <x:v>S社 Design Disposition Decision Record Rev0.1（2026-09-02承認）を設計正本へ反映。ED-DI-003〜005の公開Web診断ルールを実装側の正式入力条件として定義する。</x:v>
      </x:c>
      <x:c r="B2" s="2980"/>
      <x:c r="C2" s="2980"/>
      <x:c r="D2" s="2980"/>
      <x:c r="E2" s="2980"/>
      <x:c r="F2" s="2980"/>
      <x:c r="G2" s="2980"/>
      <x:c r="H2" s="2980"/>
    </x:row>
    <x:row r="4">
      <x:c r="A4" s="2976" t="str">
        <x:v>Design Issue</x:v>
      </x:c>
      <x:c r="B4" s="2976" t="str">
        <x:v>設計対象</x:v>
      </x:c>
      <x:c r="C4" s="2976" t="str">
        <x:v>Approved Disposition</x:v>
      </x:c>
      <x:c r="D4" s="2976" t="str">
        <x:v>正式仕様</x:v>
      </x:c>
      <x:c r="E4" s="2976" t="str">
        <x:v>未確定事項</x:v>
      </x:c>
      <x:c r="F4" s="2976" t="str">
        <x:v>Engine影響</x:v>
      </x:c>
      <x:c r="G4" s="2976" t="str">
        <x:v>顧客表示影響</x:v>
      </x:c>
      <x:c r="H4" s="2976" t="str">
        <x:v>状態</x:v>
      </x:c>
    </x:row>
    <x:row r="5" ht="84" customHeight="1">
      <x:c r="A5" s="2364" t="str">
        <x:v>ED-DI-003</x:v>
      </x:c>
      <x:c r="B5" s="2364" t="str">
        <x:v>Unknown時KPI集約</x:v>
      </x:c>
      <x:c r="C5" s="2364" t="str">
        <x:v>残存ウェイト再正規化＋情報充足率</x:v>
      </x:c>
      <x:c r="D5" s="2364" t="str">
        <x:v>Unknownを除外し、残存ウェイトを100%へ再正規化。情報充足率を別管理。最低閾値未満はINSUFFICIENT_DATA。</x:v>
      </x:c>
      <x:c r="E5" s="2364" t="str">
        <x:v>最低情報充足率の数値、顧客向け文言</x:v>
      </x:c>
      <x:c r="F5" s="2364" t="str">
        <x:v>weighted_scoreを正式化。diagnosis_status正常系を維持。</x:v>
      </x:c>
      <x:c r="G5" s="2364" t="str">
        <x:v>KPI単独表示を避け情報充足率と併記</x:v>
      </x:c>
      <x:c r="H5" s="2364" t="str">
        <x:v>Approved / Threshold TBC</x:v>
      </x:c>
    </x:row>
    <x:row r="6" ht="84" customHeight="1">
      <x:c r="A6" s="2364" t="str">
        <x:v>ED-DI-003</x:v>
      </x:c>
      <x:c r="B6" s="2364" t="str">
        <x:v>Issue_Candidate Uへの適用</x:v>
      </x:c>
      <x:c r="C6" s="2364" t="str">
        <x:v>ED-DI-005と整合して明文化</x:v>
      </x:c>
      <x:c r="D6" s="2364" t="str">
        <x:v>Unknownを課題点数へ直接加算しないことを優先し、Uへの再正規化適用範囲はEngine Patch設計時に明示する。</x:v>
      </x:c>
      <x:c r="E6" s="2364" t="str">
        <x:v>U値の具体実装範囲</x:v>
      </x:c>
      <x:c r="F6" s="2364" t="str">
        <x:v>Patch指示時に現行挙動差分を明示</x:v>
      </x:c>
      <x:c r="G6" s="2364" t="str">
        <x:v>要確認事項とTOP5を分離</x:v>
      </x:c>
      <x:c r="H6" s="2364" t="str">
        <x:v>Approved / Implementation Detail Pending</x:v>
      </x:c>
    </x:row>
    <x:row r="7" ht="84" customHeight="1">
      <x:c r="A7" s="2364" t="str">
        <x:v>ED-DI-004</x:v>
      </x:c>
      <x:c r="B7" s="2364" t="str">
        <x:v>Web_EDI集約</x:v>
      </x:c>
      <x:c r="C7" s="2364" t="str">
        <x:v>40/20/20/20維持</x:v>
      </x:c>
      <x:c r="D7" s="2364" t="str">
        <x:v>設備40%、エネルギー20%、建屋20%、管理20%。Web_EDIは事業所全体の総合状態を示す参考指数。Worst-domain penaltyなし。</x:v>
      </x:c>
      <x:c r="E7" s="2364" t="str">
        <x:v>なし</x:v>
      </x:c>
      <x:c r="F7" s="2364" t="str">
        <x:v>現行数式維持。設計意図をコメント/ドキュメントへ追記。</x:v>
      </x:c>
      <x:c r="G7" s="2364" t="str">
        <x:v>4分野状態を併記</x:v>
      </x:c>
      <x:c r="H7" s="2364" t="str">
        <x:v>Approved</x:v>
      </x:c>
    </x:row>
    <x:row r="8" ht="84" customHeight="1">
      <x:c r="A8" s="2364" t="str">
        <x:v>ED-DI-005</x:v>
      </x:c>
      <x:c r="B8" s="2364" t="str">
        <x:v>Unknown時Issue可視化</x:v>
      </x:c>
      <x:c r="C8" s="2364" t="str">
        <x:v>要確認事項レイヤー新設</x:v>
      </x:c>
      <x:c r="D8" s="2364" t="str">
        <x:v>UnknownはTOP5課題点数へ直接加算せず、情報不足を要確認事項として別表示。</x:v>
      </x:c>
      <x:c r="E8" s="2364" t="str">
        <x:v>表示文言の最終調整</x:v>
      </x:c>
      <x:c r="F8" s="2364" t="str">
        <x:v>review_items出力を追加</x:v>
      </x:c>
      <x:c r="G8" s="2364" t="str">
        <x:v>Guardrail → 要確認事項 → TOP5</x:v>
      </x:c>
      <x:c r="H8" s="2364" t="str">
        <x:v>Approved</x:v>
      </x:c>
    </x:row>
    <x:row r="9" ht="84" customHeight="1">
      <x:c r="A9" s="2364" t="str">
        <x:v>ED-DI-005</x:v>
      </x:c>
      <x:c r="B9" s="2364" t="str">
        <x:v>Guardrail対象Unknown</x:v>
      </x:c>
      <x:c r="C9" s="2364" t="str">
        <x:v>Guardrail判定保留</x:v>
      </x:c>
      <x:c r="D9" s="2364" t="str">
        <x:v>安全・法令・品質・BCP等のUnknownはGuardrail判定保留として優先表示。</x:v>
      </x:c>
      <x:c r="E9" s="2364" t="str">
        <x:v>なし（対象Q-IDは77で確定済み）</x:v>
      </x:c>
      <x:c r="F9" s="2364" t="str">
        <x:v>guardrail_pending出力・表示を追加。対象は77の正式Traceabilityを参照。</x:v>
      </x:c>
      <x:c r="G9" s="2364" t="str">
        <x:v>重大事項の未確認を非表示にしない</x:v>
      </x:c>
      <x:c r="H9" s="2364" t="str">
        <x:v>Approved / Mapping Confirmed</x:v>
      </x:c>
    </x:row>
  </x:sheetData>
  <x:mergeCells>
    <x:mergeCell ref="A1:H1"/>
    <x:mergeCell ref="A2:H2"/>
  </x:mergeCells>
  <x:pageMargins left="0.7" right="0.7" top="0.75" bottom="0.75" header="0.3" footer="0.3"/>
</x:worksheet>
</file>

<file path=xl/worksheets/sheet80.xml><?xml version="1.0" encoding="utf-8"?>
<x:worksheet xmlns:x="http://schemas.openxmlformats.org/spreadsheetml/2006/main">
  <x:sheetFormatPr defaultRowHeight="15"/>
  <x:cols>
    <x:col min="1" max="1" width="12" hidden="0" customWidth="1"/>
    <x:col min="2" max="2" width="13" hidden="0" customWidth="1"/>
    <x:col min="3" max="3" width="38" hidden="0" customWidth="1"/>
    <x:col min="4" max="4" width="24" hidden="0" customWidth="1"/>
    <x:col min="5" max="5" width="26" hidden="0" customWidth="1"/>
    <x:col min="6" max="6" width="50" hidden="0" customWidth="1"/>
    <x:col min="7" max="7" width="42" hidden="0" customWidth="1"/>
    <x:col min="8" max="8" width="42" hidden="0" customWidth="1"/>
    <x:col min="9" max="9" width="38" hidden="0" customWidth="1"/>
    <x:col min="10" max="10" width="12" hidden="0" customWidth="1"/>
    <x:col min="11" max="11" width="36" hidden="0" customWidth="1"/>
    <x:col min="12" max="12" width="24" hidden="0" customWidth="1"/>
    <x:col min="13" max="13" width="28" hidden="0" customWidth="1"/>
    <x:col min="14" max="14" width="34" hidden="0" customWidth="1"/>
  </x:cols>
  <x:sheetData>
    <x:row r="1">
      <x:c r="A1" s="2991" t="str">
        <x:v>79_WQ-Q_Review｜S社承認用 Candidate Review</x:v>
      </x:c>
      <x:c r="B1" s="2991"/>
      <x:c r="C1" s="2991"/>
      <x:c r="D1" s="2991"/>
      <x:c r="E1" s="2991"/>
      <x:c r="F1" s="2991"/>
      <x:c r="G1" s="2991"/>
      <x:c r="H1" s="2991"/>
      <x:c r="I1" s="2991"/>
      <x:c r="J1" s="2991"/>
      <x:c r="K1" s="2991"/>
      <x:c r="L1" s="2991"/>
      <x:c r="M1" s="2991"/>
      <x:c r="N1" s="2991"/>
    </x:row>
    <x:row r="2">
      <x:c r="A2" s="2995" t="str">
        <x:v>ED-DI-002 S社レビュー完了。17件はCandidateどおり「○」、WQ-404のみ正式Q-IDを閉じた10項目へ修正承認。本シートのL/M列を確定結果とし、77_WQ-Q_Traceabilityへ正式転記する。公開WQ回答から正式Qの個別回答値を自動生成・転記しない。</x:v>
      </x:c>
      <x:c r="B2" s="2995"/>
      <x:c r="C2" s="2995"/>
      <x:c r="D2" s="2995"/>
      <x:c r="E2" s="2995"/>
      <x:c r="F2" s="2995"/>
      <x:c r="G2" s="2995"/>
      <x:c r="H2" s="2995"/>
      <x:c r="I2" s="2995"/>
      <x:c r="J2" s="2995"/>
      <x:c r="K2" s="2995"/>
      <x:c r="L2" s="2995"/>
      <x:c r="M2" s="2995"/>
      <x:c r="N2" s="2995"/>
    </x:row>
    <x:row r="4">
      <x:c r="A4" s="3001" t="str">
        <x:v>Web質問ID</x:v>
      </x:c>
      <x:c r="B4" s="3001" t="str">
        <x:v>分野</x:v>
      </x:c>
      <x:c r="C4" s="3001" t="str">
        <x:v>公開質問概要</x:v>
      </x:c>
      <x:c r="D4" s="3001" t="str">
        <x:v>推奨対応区分</x:v>
      </x:c>
      <x:c r="E4" s="3001" t="str">
        <x:v>推奨正式Q-ID</x:v>
      </x:c>
      <x:c r="F4" s="3001" t="str">
        <x:v>Candidate理由</x:v>
      </x:c>
      <x:c r="G4" s="3001" t="str">
        <x:v>正式Q側Unknown処理（参照）</x:v>
      </x:c>
      <x:c r="H4" s="3001" t="str">
        <x:v>公開Web推奨Unknown処理</x:v>
      </x:c>
      <x:c r="I4" s="3001" t="str">
        <x:v>Guardrail推奨扱い</x:v>
      </x:c>
      <x:c r="J4" s="3001" t="str">
        <x:v>S社判断</x:v>
      </x:c>
      <x:c r="K4" s="3001" t="str">
        <x:v>S社修正内容</x:v>
      </x:c>
      <x:c r="L4" s="3001" t="str">
        <x:v>確定対応区分</x:v>
      </x:c>
      <x:c r="M4" s="3001" t="str">
        <x:v>確定正式Q-ID</x:v>
      </x:c>
      <x:c r="N4" s="3001" t="str">
        <x:v>承認メモ</x:v>
      </x:c>
    </x:row>
    <x:row r="5" ht="96" customHeight="1">
      <x:c r="A5" s="3005" t="str">
        <x:v>WQ-001</x:v>
      </x:c>
      <x:c r="B5" s="3005" t="str">
        <x:v>基本</x:v>
      </x:c>
      <x:c r="C5" s="3005" t="str">
        <x:v>今回、最も確認したいテーマ</x:v>
      </x:c>
      <x:c r="D5" s="3005" t="str">
        <x:v>N/A</x:v>
      </x:c>
      <x:c r="E5" s="3005" t="str">
        <x:v>—</x:v>
      </x:c>
      <x:c r="F5" s="3005" t="str">
        <x:v>診断目的・営業フォロー用。正式KPIの単一Qに相当させない。</x:v>
      </x:c>
      <x:c r="G5" s="3005" t="str">
        <x:v>—</x:v>
      </x:c>
      <x:c r="H5" s="3005" t="str">
        <x:v>KPI算定対象外。未選択不可。</x:v>
      </x:c>
      <x:c r="I5" s="3005" t="str">
        <x:v>なし</x:v>
      </x:c>
      <x:c r="J5" s="3023" t="str">
        <x:v>○</x:v>
      </x:c>
      <x:c r="K5" s="3023" t="str"/>
      <x:c r="L5" s="3023" t="str">
        <x:v>N/A</x:v>
      </x:c>
      <x:c r="M5" s="3023" t="str">
        <x:v>—</x:v>
      </x:c>
      <x:c r="N5" s="3023" t="str">
        <x:v>診断目的・営業フォロー用。正式KPI/Q回答には接続しない。</x:v>
      </x:c>
    </x:row>
    <x:row r="6" ht="96" customHeight="1">
      <x:c r="A6" s="3005" t="str">
        <x:v>WQ-101</x:v>
      </x:c>
      <x:c r="B6" s="3005" t="str">
        <x:v>設備</x:v>
      </x:c>
      <x:c r="C6" s="3005" t="str">
        <x:v>主要設備の導入時期または経過年数を把握しているか</x:v>
      </x:c>
      <x:c r="D6" s="3005" t="str">
        <x:v>Partial</x:v>
      </x:c>
      <x:c r="E6" s="3005" t="str">
        <x:v>Q201 / Q261</x:v>
      </x:c>
      <x:c r="F6" s="3005" t="str">
        <x:v>Q201は設備年齢、Q261は設備台帳。公開問は『年式を把握しているか』で両者を部分的に含むが、実年齢や台帳Evidenceを直接取得しない。</x:v>
      </x:c>
      <x:c r="G6" s="3005" t="str">
        <x:v>Q201: UNKNOWN＝DRI/充足率へ減点 / Q261: UNKNOWN＝L1</x:v>
      </x:c>
      <x:c r="H6" s="3005" t="str">
        <x:v>UNKNOWNとして情報充足率へ反映。正式Q回答への転記はしない。</x:v>
      </x:c>
      <x:c r="I6" s="3005" t="str">
        <x:v>EOL候補のスクリーニングのみ</x:v>
      </x:c>
      <x:c r="J6" s="3023" t="str">
        <x:v>○</x:v>
      </x:c>
      <x:c r="K6" s="3023" t="str"/>
      <x:c r="L6" s="3023" t="str">
        <x:v>Partial</x:v>
      </x:c>
      <x:c r="M6" s="3023" t="str">
        <x:v>Q201 / Q261</x:v>
      </x:c>
      <x:c r="N6" s="3023" t="str">
        <x:v>設備年齢把握と設備台帳整備の一部を代理。正式Q回答値への転記はしない。</x:v>
      </x:c>
    </x:row>
    <x:row r="7" ht="96" customHeight="1">
      <x:c r="A7" s="3005" t="str">
        <x:v>WQ-102</x:v>
      </x:c>
      <x:c r="B7" s="3005" t="str">
        <x:v>設備</x:v>
      </x:c>
      <x:c r="C7" s="3005" t="str">
        <x:v>故障や停止の履歴を記録し、傾向確認しているか</x:v>
      </x:c>
      <x:c r="D7" s="3005" t="str">
        <x:v>Partial</x:v>
      </x:c>
      <x:c r="E7" s="3005" t="str">
        <x:v>Q203 / Q302</x:v>
      </x:c>
      <x:c r="F7" s="3005" t="str">
        <x:v>Q203は故障傾向、Q302は履歴追跡。公開問は記録と傾向確認を一問に集約しているためDirectではない。</x:v>
      </x:c>
      <x:c r="G7" s="3005" t="str">
        <x:v>Q203: UNKNOWN＝L1 / Q302: UNKNOWN＝L1</x:v>
      </x:c>
      <x:c r="H7" s="3005" t="str">
        <x:v>UNKNOWNは要確認事項候補。正式Qへは転記しない。</x:v>
      </x:c>
      <x:c r="I7" s="3005" t="str">
        <x:v>重大故障候補のスクリーニングのみ</x:v>
      </x:c>
      <x:c r="J7" s="3023" t="str">
        <x:v>○</x:v>
      </x:c>
      <x:c r="K7" s="3023" t="str"/>
      <x:c r="L7" s="3023" t="str">
        <x:v>Partial</x:v>
      </x:c>
      <x:c r="M7" s="3023" t="str">
        <x:v>Q203 / Q302</x:v>
      </x:c>
      <x:c r="N7" s="3023" t="str">
        <x:v>故障傾向と履歴追跡を一問で部分的に確認。正式Q回答値への転記はしない。</x:v>
      </x:c>
    </x:row>
    <x:row r="8" ht="96" customHeight="1">
      <x:c r="A8" s="3005" t="str">
        <x:v>WQ-103</x:v>
      </x:c>
      <x:c r="B8" s="3005" t="str">
        <x:v>設備</x:v>
      </x:c>
      <x:c r="C8" s="3005" t="str">
        <x:v>重要設備に代替手段があるか</x:v>
      </x:c>
      <x:c r="D8" s="3005" t="str">
        <x:v>Direct Candidate</x:v>
      </x:c>
      <x:c r="E8" s="3005" t="str">
        <x:v>Q109</x:v>
      </x:c>
      <x:c r="F8" s="3005" t="str">
        <x:v>公開問とQ109『代替手段』は意味が最も近い。ただし正式QはQ108停止影響との組合せGuardrailを含むため、Web単独で正式Guardrail確定はしない。</x:v>
      </x:c>
      <x:c r="G8" s="3005" t="str">
        <x:v>Q109: UNKNOWN＝L1</x:v>
      </x:c>
      <x:c r="H8" s="3005" t="str">
        <x:v>UNKNOWNは要確認事項。BCP関連のためGuardrail判定保留候補。</x:v>
      </x:c>
      <x:c r="I8" s="3005" t="str">
        <x:v>正式Guardrail確定ではなくBCP Screening</x:v>
      </x:c>
      <x:c r="J8" s="3023" t="str">
        <x:v>○</x:v>
      </x:c>
      <x:c r="K8" s="3023" t="str"/>
      <x:c r="L8" s="3023" t="str">
        <x:v>Direct</x:v>
      </x:c>
      <x:c r="M8" s="3023" t="str">
        <x:v>Q109</x:v>
      </x:c>
      <x:c r="N8" s="3023" t="str">
        <x:v>質問テーマはQ109『代替手段』と直接対応。ただし正式Guardrail確定は追加条件確認後。</x:v>
      </x:c>
    </x:row>
    <x:row r="9" ht="96" customHeight="1">
      <x:c r="A9" s="3005" t="str">
        <x:v>WQ-104</x:v>
      </x:c>
      <x:c r="B9" s="3005" t="str">
        <x:v>設備</x:v>
      </x:c>
      <x:c r="C9" s="3005" t="str">
        <x:v>メーカー保守・交換部品・予備品の入手性を確認しているか</x:v>
      </x:c>
      <x:c r="D9" s="3005" t="str">
        <x:v>Aggregated Candidate</x:v>
      </x:c>
      <x:c r="E9" s="3005" t="str">
        <x:v>Q106 / Q107 / Q206</x:v>
      </x:c>
      <x:c r="F9" s="3005" t="str">
        <x:v>Q106=保守終了、Q107=予備品、Q206=保守体制を一問にまとめている。個別のYES/NOやCoverageは取得していないためAggregated。</x:v>
      </x:c>
      <x:c r="G9" s="3005" t="str">
        <x:v>Q106: UNKNOWN＝L1 / Q107: UNKNOWN＝L1 / Q206: UNKNOWN＝L1</x:v>
      </x:c>
      <x:c r="H9" s="3005" t="str">
        <x:v>UNKNOWNは要確認事項。EOL/部品供給関連はGuardrail判定保留候補。</x:v>
      </x:c>
      <x:c r="I9" s="3005" t="str">
        <x:v>EOL・BCP Screening。正式Q回答にはしない。</x:v>
      </x:c>
      <x:c r="J9" s="3023" t="str">
        <x:v>○</x:v>
      </x:c>
      <x:c r="K9" s="3023" t="str"/>
      <x:c r="L9" s="3023" t="str">
        <x:v>Aggregated</x:v>
      </x:c>
      <x:c r="M9" s="3023" t="str">
        <x:v>Q106 / Q107 / Q206</x:v>
      </x:c>
      <x:c r="N9" s="3023" t="str">
        <x:v>保守終了・予備品・保守体制を一問に集約。EOL/BCP Screening用途。</x:v>
      </x:c>
    </x:row>
    <x:row r="10" ht="96" customHeight="1">
      <x:c r="A10" s="3005" t="str">
        <x:v>WQ-201</x:v>
      </x:c>
      <x:c r="B10" s="3005" t="str">
        <x:v>エネルギー</x:v>
      </x:c>
      <x:c r="C10" s="3005" t="str">
        <x:v>月別電力使用量と最大需要電力を確認しているか</x:v>
      </x:c>
      <x:c r="D10" s="3005" t="str">
        <x:v>Aggregated Candidate</x:v>
      </x:c>
      <x:c r="E10" s="3005" t="str">
        <x:v>Q221 / Q226</x:v>
      </x:c>
      <x:c r="F10" s="3005" t="str">
        <x:v>Q221=電力把握、Q226=デマンド管理。公開問が両要素を一問で確認する。</x:v>
      </x:c>
      <x:c r="G10" s="3005" t="str">
        <x:v>Q221: UNKNOWN＝L1 / Q226: UNKNOWN＝L1</x:v>
      </x:c>
      <x:c r="H10" s="3005" t="str">
        <x:v>UNKNOWNは情報充足率と要確認事項へ反映。</x:v>
      </x:c>
      <x:c r="I10" s="3005" t="str">
        <x:v>なし</x:v>
      </x:c>
      <x:c r="J10" s="3023" t="str">
        <x:v>○</x:v>
      </x:c>
      <x:c r="K10" s="3023" t="str"/>
      <x:c r="L10" s="3023" t="str">
        <x:v>Aggregated</x:v>
      </x:c>
      <x:c r="M10" s="3023" t="str">
        <x:v>Q221 / Q226</x:v>
      </x:c>
      <x:c r="N10" s="3023" t="str">
        <x:v>電力把握とデマンド管理を一問に集約。</x:v>
      </x:c>
    </x:row>
    <x:row r="11" ht="96" customHeight="1">
      <x:c r="A11" s="3005" t="str">
        <x:v>WQ-202</x:v>
      </x:c>
      <x:c r="B11" s="3005" t="str">
        <x:v>エネルギー</x:v>
      </x:c>
      <x:c r="C11" s="3005" t="str">
        <x:v>設備別・工程別・時間帯別の電力使用を把握しているか</x:v>
      </x:c>
      <x:c r="D11" s="3005" t="str">
        <x:v>Direct Candidate</x:v>
      </x:c>
      <x:c r="E11" s="3005" t="str">
        <x:v>Q222</x:v>
      </x:c>
      <x:c r="F11" s="3005" t="str">
        <x:v>Q222『設備別計測』と主要意図が一致。公開問は工程別・時間帯別まで含み範囲はやや広い。</x:v>
      </x:c>
      <x:c r="G11" s="3005" t="str">
        <x:v>Q222: UNKNOWN＝L1</x:v>
      </x:c>
      <x:c r="H11" s="3005" t="str">
        <x:v>UNKNOWNは情報充足率へ反映。</x:v>
      </x:c>
      <x:c r="I11" s="3005" t="str">
        <x:v>なし</x:v>
      </x:c>
      <x:c r="J11" s="3023" t="str">
        <x:v>○</x:v>
      </x:c>
      <x:c r="K11" s="3023" t="str"/>
      <x:c r="L11" s="3023" t="str">
        <x:v>Direct</x:v>
      </x:c>
      <x:c r="M11" s="3023" t="str">
        <x:v>Q222</x:v>
      </x:c>
      <x:c r="N11" s="3023" t="str">
        <x:v>設備別計測と主要意図が直接対応。</x:v>
      </x:c>
    </x:row>
    <x:row r="12" ht="96" customHeight="1">
      <x:c r="A12" s="3005" t="str">
        <x:v>WQ-203</x:v>
      </x:c>
      <x:c r="B12" s="3005" t="str">
        <x:v>エネルギー</x:v>
      </x:c>
      <x:c r="C12" s="3005" t="str">
        <x:v>電力異常時に原因を確認できるか</x:v>
      </x:c>
      <x:c r="D12" s="3005" t="str">
        <x:v>N/A Candidate</x:v>
      </x:c>
      <x:c r="E12" s="3005" t="str">
        <x:v>—</x:v>
      </x:c>
      <x:c r="F12" s="3005" t="str">
        <x:v>V2.2正式Q群に『電力異常時の原因特定能力』へ直接対応するQが確認できない。近似Qを無理に割り当てない。</x:v>
      </x:c>
      <x:c r="G12" s="3005" t="str">
        <x:v>—</x:v>
      </x:c>
      <x:c r="H12" s="3005" t="str">
        <x:v>現行Web独自評価を維持。UNKNOWNは要確認事項候補。</x:v>
      </x:c>
      <x:c r="I12" s="3005" t="str">
        <x:v>なし</x:v>
      </x:c>
      <x:c r="J12" s="3023" t="str">
        <x:v>○</x:v>
      </x:c>
      <x:c r="K12" s="3023" t="str"/>
      <x:c r="L12" s="3023" t="str">
        <x:v>N/A</x:v>
      </x:c>
      <x:c r="M12" s="3023" t="str">
        <x:v>—</x:v>
      </x:c>
      <x:c r="N12" s="3023" t="str">
        <x:v>正式Q側に直接対応なし。公開Web独自評価として保持。</x:v>
      </x:c>
    </x:row>
    <x:row r="13" ht="96" customHeight="1">
      <x:c r="A13" s="3005" t="str">
        <x:v>WQ-204</x:v>
      </x:c>
      <x:c r="B13" s="3005" t="str">
        <x:v>エネルギー</x:v>
      </x:c>
      <x:c r="C13" s="3005" t="str">
        <x:v>直近3年以内に省エネ改善を実施したか</x:v>
      </x:c>
      <x:c r="D13" s="3005" t="str">
        <x:v>Direct Candidate</x:v>
      </x:c>
      <x:c r="E13" s="3005" t="str">
        <x:v>Q224</x:v>
      </x:c>
      <x:c r="F13" s="3005" t="str">
        <x:v>Q224『省エネ改善』と主要意図が一致。公開問は直近3年という時間条件を追加している。</x:v>
      </x:c>
      <x:c r="G13" s="3005" t="str">
        <x:v>Q224: UNKNOWN＝L1</x:v>
      </x:c>
      <x:c r="H13" s="3005" t="str">
        <x:v>UNKNOWNは情報充足率へ反映。</x:v>
      </x:c>
      <x:c r="I13" s="3005" t="str">
        <x:v>補助金期限等は別情報がない限りGuardrail確定しない</x:v>
      </x:c>
      <x:c r="J13" s="3023" t="str">
        <x:v>○</x:v>
      </x:c>
      <x:c r="K13" s="3023" t="str"/>
      <x:c r="L13" s="3023" t="str">
        <x:v>Direct</x:v>
      </x:c>
      <x:c r="M13" s="3023" t="str">
        <x:v>Q224</x:v>
      </x:c>
      <x:c r="N13" s="3023" t="str">
        <x:v>省エネ改善と主要意図が直接対応。</x:v>
      </x:c>
    </x:row>
    <x:row r="14" ht="96" customHeight="1">
      <x:c r="A14" s="3005" t="str">
        <x:v>WQ-301</x:v>
      </x:c>
      <x:c r="B14" s="3005" t="str">
        <x:v>建屋・環境</x:v>
      </x:c>
      <x:c r="C14" s="3005" t="str">
        <x:v>結露・雨漏り・暑熱・寒冷・粉じん等の課題</x:v>
      </x:c>
      <x:c r="D14" s="3005" t="str">
        <x:v>Aggregated Screening</x:v>
      </x:c>
      <x:c r="E14" s="3005" t="str">
        <x:v>Q241 / Q242 / Q243 / Q244</x:v>
      </x:c>
      <x:c r="F14" s="3005" t="str">
        <x:v>Q241雨漏り、Q242結露、Q243暑熱、Q244腐食・劣化に一部対応。寒冷・粉じん・臭気は正式Qに直接対応がなく、複数選択式なのでScreeningとして扱う。</x:v>
      </x:c>
      <x:c r="G14" s="3005" t="str">
        <x:v>Q241〜Q244: いずれもUNKNOWN＝L1</x:v>
      </x:c>
      <x:c r="H14" s="3005" t="str">
        <x:v>UNKNOWNは建屋状況の要確認事項。安全・品質関連はGuardrail判定保留候補。</x:v>
      </x:c>
      <x:c r="I14" s="3005" t="str">
        <x:v>建屋安全・品質Screening。正式QのSeverityへ自動変換しない。</x:v>
      </x:c>
      <x:c r="J14" s="3023" t="str">
        <x:v>○</x:v>
      </x:c>
      <x:c r="K14" s="3023" t="str"/>
      <x:c r="L14" s="3023" t="str">
        <x:v>Aggregated</x:v>
      </x:c>
      <x:c r="M14" s="3023" t="str">
        <x:v>Q241 / Q242 / Q243 / Q244</x:v>
      </x:c>
      <x:c r="N14" s="3023" t="str">
        <x:v>建屋・環境の複数状態をスクリーニング。寒冷・粉じん・臭気は正式Qに直接転記しない。</x:v>
      </x:c>
    </x:row>
    <x:row r="15" ht="96" customHeight="1">
      <x:c r="A15" s="3005" t="str">
        <x:v>WQ-302</x:v>
      </x:c>
      <x:c r="B15" s="3005" t="str">
        <x:v>建屋・環境</x:v>
      </x:c>
      <x:c r="C15" s="3005" t="str">
        <x:v>屋根・外壁・天井・床の劣化を定期確認しているか</x:v>
      </x:c>
      <x:c r="D15" s="3005" t="str">
        <x:v>Partial</x:v>
      </x:c>
      <x:c r="E15" s="3005" t="str">
        <x:v>Q245</x:v>
      </x:c>
      <x:c r="F15" s="3005" t="str">
        <x:v>Q245は『修繕計画』であり、公開問の『定期点検』とは同一ではない。建屋管理成熟度の一部としてPartial。</x:v>
      </x:c>
      <x:c r="G15" s="3005" t="str">
        <x:v>Q245: UNKNOWN＝L1</x:v>
      </x:c>
      <x:c r="H15" s="3005" t="str">
        <x:v>UNKNOWNは情報充足率と要確認事項へ反映。</x:v>
      </x:c>
      <x:c r="I15" s="3005" t="str">
        <x:v>安全候補のScreeningのみ</x:v>
      </x:c>
      <x:c r="J15" s="3023" t="str">
        <x:v>○</x:v>
      </x:c>
      <x:c r="K15" s="3023" t="str"/>
      <x:c r="L15" s="3023" t="str">
        <x:v>Partial</x:v>
      </x:c>
      <x:c r="M15" s="3023" t="str">
        <x:v>Q245</x:v>
      </x:c>
      <x:c r="N15" s="3023" t="str">
        <x:v>定期点検と修繕計画は同一ではないため部分対応。</x:v>
      </x:c>
    </x:row>
    <x:row r="16" ht="96" customHeight="1">
      <x:c r="A16" s="3005" t="str">
        <x:v>WQ-303</x:v>
      </x:c>
      <x:c r="B16" s="3005" t="str">
        <x:v>建屋・環境</x:v>
      </x:c>
      <x:c r="C16" s="3005" t="str">
        <x:v>建屋課題が品質・設備停止・作業者負担へ影響しているか</x:v>
      </x:c>
      <x:c r="D16" s="3005" t="str">
        <x:v>Partial</x:v>
      </x:c>
      <x:c r="E16" s="3005" t="str">
        <x:v>Q112 / Q108</x:v>
      </x:c>
      <x:c r="F16" s="3005" t="str">
        <x:v>Q112=安全影響、Q108=停止影響に部分的に近いが、公開問は品質・停止・作業者負担を一つにまとめる。正式Impact回答への転記は不適切。</x:v>
      </x:c>
      <x:c r="G16" s="3005" t="str">
        <x:v>Q112: UNKNOWN＝L1 / Q108: UNKNOWN＝L1</x:v>
      </x:c>
      <x:c r="H16" s="3005" t="str">
        <x:v>UNKNOWNは要確認事項。安全・品質影響が不明ならGuardrail判定保留候補。</x:v>
      </x:c>
      <x:c r="I16" s="3005" t="str">
        <x:v>安全・品質・BCP Screeningのみ</x:v>
      </x:c>
      <x:c r="J16" s="3023" t="str">
        <x:v>○</x:v>
      </x:c>
      <x:c r="K16" s="3023" t="str"/>
      <x:c r="L16" s="3023" t="str">
        <x:v>Partial</x:v>
      </x:c>
      <x:c r="M16" s="3023" t="str">
        <x:v>Q112 / Q108</x:v>
      </x:c>
      <x:c r="N16" s="3023" t="str">
        <x:v>安全影響・停止影響を部分的にスクリーニング。正式Impact値へ自動変換しない。</x:v>
      </x:c>
    </x:row>
    <x:row r="17" ht="96" customHeight="1">
      <x:c r="A17" s="3005" t="str">
        <x:v>WQ-401</x:v>
      </x:c>
      <x:c r="B17" s="3005" t="str">
        <x:v>管理・運用</x:v>
      </x:c>
      <x:c r="C17" s="3005" t="str">
        <x:v>設備・エネルギー・建屋課題を一元整理する担当者/会議があるか</x:v>
      </x:c>
      <x:c r="D17" s="3005" t="str">
        <x:v>Partial</x:v>
      </x:c>
      <x:c r="E17" s="3005" t="str">
        <x:v>Q264 / Q309</x:v>
      </x:c>
      <x:c r="F17" s="3005" t="str">
        <x:v>Q264=責任体制、Q309=意思決定者。公開問は部門横断の管理体制を聞いており両者の一部に対応。</x:v>
      </x:c>
      <x:c r="G17" s="3005" t="str">
        <x:v>Q264: UNKNOWN＝L1 / Q309: UNKNOWN＝L1</x:v>
      </x:c>
      <x:c r="H17" s="3005" t="str">
        <x:v>UNKNOWNは情報充足率へ反映。</x:v>
      </x:c>
      <x:c r="I17" s="3005" t="str">
        <x:v>なし</x:v>
      </x:c>
      <x:c r="J17" s="3023" t="str">
        <x:v>○</x:v>
      </x:c>
      <x:c r="K17" s="3023" t="str"/>
      <x:c r="L17" s="3023" t="str">
        <x:v>Partial</x:v>
      </x:c>
      <x:c r="M17" s="3023" t="str">
        <x:v>Q264 / Q309</x:v>
      </x:c>
      <x:c r="N17" s="3023" t="str">
        <x:v>責任体制・意思決定体制の一部を代理。</x:v>
      </x:c>
    </x:row>
    <x:row r="18" ht="96" customHeight="1">
      <x:c r="A18" s="3005" t="str">
        <x:v>WQ-402</x:v>
      </x:c>
      <x:c r="B18" s="3005" t="str">
        <x:v>管理・運用</x:v>
      </x:c>
      <x:c r="C18" s="3005" t="str">
        <x:v>課題の優先順位を決める共通基準があるか</x:v>
      </x:c>
      <x:c r="D18" s="3005" t="str">
        <x:v>N/A Candidate</x:v>
      </x:c>
      <x:c r="E18" s="3005" t="str">
        <x:v>—</x:v>
      </x:c>
      <x:c r="F18" s="3005" t="str">
        <x:v>V2.2正式Q群に『共通優先順位基準』へ直接一致するQは確認できない。Web独自の管理成熟度質問として保持するのが安全。</x:v>
      </x:c>
      <x:c r="G18" s="3005" t="str">
        <x:v>—</x:v>
      </x:c>
      <x:c r="H18" s="3005" t="str">
        <x:v>現行Web独自評価を維持。UNKNOWNは要確認事項候補。</x:v>
      </x:c>
      <x:c r="I18" s="3005" t="str">
        <x:v>なし</x:v>
      </x:c>
      <x:c r="J18" s="3023" t="str">
        <x:v>○</x:v>
      </x:c>
      <x:c r="K18" s="3023" t="str"/>
      <x:c r="L18" s="3023" t="str">
        <x:v>N/A</x:v>
      </x:c>
      <x:c r="M18" s="3023" t="str">
        <x:v>—</x:v>
      </x:c>
      <x:c r="N18" s="3023" t="str">
        <x:v>正式Q側に直接対応なし。公開Web独自の管理成熟度評価として保持。</x:v>
      </x:c>
    </x:row>
    <x:row r="19" ht="96" customHeight="1">
      <x:c r="A19" s="3005" t="str">
        <x:v>WQ-403</x:v>
      </x:c>
      <x:c r="B19" s="3005" t="str">
        <x:v>管理・運用</x:v>
      </x:c>
      <x:c r="C19" s="3005" t="str">
        <x:v>設備更新や改善の中期計画があるか</x:v>
      </x:c>
      <x:c r="D19" s="3005" t="str">
        <x:v>Partial</x:v>
      </x:c>
      <x:c r="E19" s="3005" t="str">
        <x:v>Q262 / Q409</x:v>
      </x:c>
      <x:c r="F19" s="3005" t="str">
        <x:v>Q262=更新計画、Q409=事業計画連動。公開問は中期計画の有無までで、Evidenceや実施機会を直接確認しない。</x:v>
      </x:c>
      <x:c r="G19" s="3005" t="str">
        <x:v>Q262: UNKNOWN＝L1 / Q409: UNKNOWN＝L1</x:v>
      </x:c>
      <x:c r="H19" s="3005" t="str">
        <x:v>UNKNOWNは情報充足率へ反映。</x:v>
      </x:c>
      <x:c r="I19" s="3005" t="str">
        <x:v>期限候補のScreeningのみ</x:v>
      </x:c>
      <x:c r="J19" s="3023" t="str">
        <x:v>○</x:v>
      </x:c>
      <x:c r="K19" s="3023" t="str"/>
      <x:c r="L19" s="3023" t="str">
        <x:v>Partial</x:v>
      </x:c>
      <x:c r="M19" s="3023" t="str">
        <x:v>Q262 / Q409</x:v>
      </x:c>
      <x:c r="N19" s="3023" t="str">
        <x:v>更新計画・事業計画連動を部分的に代理。</x:v>
      </x:c>
    </x:row>
    <x:row r="20" ht="96" customHeight="1">
      <x:c r="A20" s="3005" t="str">
        <x:v>WQ-404</x:v>
      </x:c>
      <x:c r="B20" s="3005" t="str">
        <x:v>管理・運用</x:v>
      </x:c>
      <x:c r="C20" s="3005" t="str">
        <x:v>安全・法令・品質・供給継続の未解決課題</x:v>
      </x:c>
      <x:c r="D20" s="3005" t="str">
        <x:v>Aggregated Guardrail Screening</x:v>
      </x:c>
      <x:c r="E20" s="3005" t="str">
        <x:v>Q101–Q112 / Q404 等</x:v>
      </x:c>
      <x:c r="F20" s="3005" t="str">
        <x:v>正式Guardrail群を粗く横断する公開スクリーニング問。正式Qの個別回答へ転記せず、該当分類の『候補あり』または『判定保留』に限定する。</x:v>
      </x:c>
      <x:c r="G20" s="3005" t="str">
        <x:v>正式Qごとに異なる（例：Q103は不明＝Guardrail保留、Q101はスコア除外＋充足率/信頼度低下、Q104は充足率減、Q105〜112はL1系）</x:v>
      </x:c>
      <x:c r="H20" s="3005" t="str">
        <x:v>UNKNOWNは必ずGuardrail判定保留として優先表示。TOP5点数へ直接加算しない。</x:v>
      </x:c>
      <x:c r="I20" s="3005" t="str">
        <x:v>正式Guardrail確定禁止。Screening専用。</x:v>
      </x:c>
      <x:c r="J20" s="3024" t="str">
        <x:v>修正</x:v>
      </x:c>
      <x:c r="K20" s="3024" t="str">
        <x:v>正式Q-IDを閉じたリストへ限定：Q101 / Q103 / Q104 / Q106 / Q108 / Q109 / Q110 / Q112 / Q404 / Q408。公開WQ-404回答から各正式Qの個別回答値は生成・転記せず、Guardrail分類のスクリーニング入口としてのみ使用。</x:v>
      </x:c>
      <x:c r="L20" s="3024" t="str">
        <x:v>Aggregated</x:v>
      </x:c>
      <x:c r="M20" s="3024" t="str">
        <x:v>Q101 / Q103 / Q104 / Q106 / Q108 / Q109 / Q110 / Q112 / Q404 / Q408</x:v>
      </x:c>
      <x:c r="N20" s="3024" t="str">
        <x:v>安全・法令・品質・EOL/供給・BCPに直接関係する正式Guardrail入力へ閉じた対応。WQ-404単独では正式Guardrailを確定しない。</x:v>
      </x:c>
    </x:row>
    <x:row r="21" ht="96" customHeight="1">
      <x:c r="A21" s="3005" t="str">
        <x:v>WQ-405</x:v>
      </x:c>
      <x:c r="B21" s="3005" t="str">
        <x:v>管理・運用</x:v>
      </x:c>
      <x:c r="C21" s="3005" t="str">
        <x:v>いつまでに判断または対応したいか</x:v>
      </x:c>
      <x:c r="D21" s="3005" t="str">
        <x:v>Partial / Self-declared Deadline</x:v>
      </x:c>
      <x:c r="E21" s="3005" t="str">
        <x:v>Q111 / Q401</x:v>
      </x:c>
      <x:c r="F21" s="3005" t="str">
        <x:v>Q111=期限事項、Q401=対応期限に近いが、公開問は顧客の希望時期。正式期限・外部要求とは区別して扱う。</x:v>
      </x:c>
      <x:c r="G21" s="3005" t="str">
        <x:v>Q111: UNKNOWN＝L1 / Q401: UNKNOWN＝L1</x:v>
      </x:c>
      <x:c r="H21" s="3005" t="str">
        <x:v>UNKNOWNは『期限未確認』として要確認事項。時期未定とUNKNOWNを区別する。</x:v>
      </x:c>
      <x:c r="I21" s="3005" t="str">
        <x:v>期限Screening。正式Guardrail期限加点へ自動転記しない。</x:v>
      </x:c>
      <x:c r="J21" s="3023" t="str">
        <x:v>○</x:v>
      </x:c>
      <x:c r="K21" s="3023" t="str"/>
      <x:c r="L21" s="3023" t="str">
        <x:v>Partial</x:v>
      </x:c>
      <x:c r="M21" s="3023" t="str">
        <x:v>Q111 / Q401</x:v>
      </x:c>
      <x:c r="N21" s="3023" t="str">
        <x:v>顧客自己申告期限として部分対応。正式期限・外部要求とは区別。</x:v>
      </x:c>
    </x:row>
    <x:row r="22" ht="96" customHeight="1">
      <x:c r="A22" s="3005" t="str">
        <x:v>WQ-501</x:v>
      </x:c>
      <x:c r="B22" s="3005" t="str">
        <x:v>自由記入</x:v>
      </x:c>
      <x:c r="C22" s="3005" t="str">
        <x:v>特に困っていること・確認したいこと</x:v>
      </x:c>
      <x:c r="D22" s="3005" t="str">
        <x:v>N/A</x:v>
      </x:c>
      <x:c r="E22" s="3005" t="str">
        <x:v>—</x:v>
      </x:c>
      <x:c r="F22" s="3005" t="str">
        <x:v>自由記述は正式Q回答ではなく、候補抽出・ヒアリング補助。AIが正式診断や順位を決定しない。</x:v>
      </x:c>
      <x:c r="G22" s="3005" t="str">
        <x:v>—</x:v>
      </x:c>
      <x:c r="H22" s="3005" t="str">
        <x:v>未記入可。KPI/TOP5へ直接採点しない。</x:v>
      </x:c>
      <x:c r="I22" s="3005" t="str">
        <x:v>候補抽出のみ。担当者確認後に別途判断。</x:v>
      </x:c>
      <x:c r="J22" s="3023" t="str">
        <x:v>○</x:v>
      </x:c>
      <x:c r="K22" s="3023" t="str"/>
      <x:c r="L22" s="3023" t="str">
        <x:v>N/A</x:v>
      </x:c>
      <x:c r="M22" s="3023" t="str">
        <x:v>—</x:v>
      </x:c>
      <x:c r="N22" s="3023" t="str">
        <x:v>自由記述は候補抽出・個別ヒアリング補助。KPI/TOP5へ直接採点しない。</x:v>
      </x:c>
    </x:row>
    <x:row r="24" ht="54" customHeight="1">
      <x:c r="A24" s="3013" t="str">
        <x:v>S社判断ルール：J列は「○／修正／×」。○の場合は原則としてL・M列へCandidateを転記して確定。修正の場合はK列へ修正方針を記載し、L・M列に確定値を記載。×の場合は原則N/Aまたは別案をK列へ記載する。正式Q側の個別回答値を公開WQ回答から自動生成しない。</x:v>
      </x:c>
      <x:c r="B24" s="3013"/>
      <x:c r="C24" s="3013"/>
      <x:c r="D24" s="3013"/>
      <x:c r="E24" s="3013"/>
      <x:c r="F24" s="3013"/>
      <x:c r="G24" s="3013"/>
      <x:c r="H24" s="3013"/>
      <x:c r="I24" s="3013"/>
      <x:c r="J24" s="3013"/>
      <x:c r="K24" s="3013"/>
      <x:c r="L24" s="3013"/>
      <x:c r="M24" s="3013"/>
      <x:c r="N24" s="3013"/>
    </x:row>
  </x:sheetData>
  <x:mergeCells>
    <x:mergeCell ref="A1:N1"/>
    <x:mergeCell ref="A2:N2"/>
    <x:mergeCell ref="A24:N24"/>
  </x:mergeCells>
  <x:dataValidations count="2">
    <x:dataValidation type="list" sqref="J5:J22">
      <x:formula1>"未判定,○,修正,×"</x:formula1>
    </x:dataValidation>
    <x:dataValidation type="list" sqref="L5:L22">
      <x:formula1>",Direct,Aggregated,Partial,N/A,Aggregated Screening,Aggregated Guardrail Screening,Partial / Self-declared Deadline"</x:formula1>
    </x:dataValidation>
  </x:dataValidations>
  <x:pageMargins left="0.7" right="0.7" top="0.75" bottom="0.75" header="0.3" footer="0.3"/>
</x:worksheet>
</file>